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rontpage" sheetId="1" state="visible" r:id="rId3"/>
    <sheet name="Reformation &amp; Profitability" sheetId="2" state="visible" r:id="rId4"/>
    <sheet name="_CIQHiddenCacheSheet" sheetId="3" state="hidden" r:id="rId5"/>
    <sheet name="Reported Financials" sheetId="4" state="visible" r:id="rId6"/>
    <sheet name="Input financials" sheetId="5" state="visible" r:id="rId7"/>
    <sheet name="Log" sheetId="6" state="visible" r:id="rId8"/>
  </sheets>
  <definedNames>
    <definedName function="false" hidden="false" localSheetId="0" name="_xlnm.Print_Area" vbProcedure="false">Frontpage!$A$1:$K$31</definedName>
    <definedName function="false" hidden="false" localSheetId="4" name="_xlnm.Print_Area" vbProcedure="false">'Input financials'!$A$1:$M$315</definedName>
    <definedName function="false" hidden="false" localSheetId="5" name="_xlnm.Print_Area" vbProcedure="false">Log!$A$1:$N$74</definedName>
    <definedName function="false" hidden="false" localSheetId="1" name="_xlnm.Print_Area" vbProcedure="false">'Reformation &amp; Profitability'!$A$1:$K$559</definedName>
    <definedName function="false" hidden="false" localSheetId="3" name="_xlnm.Print_Area" vbProcedure="false">'Reported Financials'!$A$1:$K$315</definedName>
    <definedName function="false" hidden="true" name="a" vbProcedure="false">{#N/A,#N/A,FALSE,"Umsatz 99";#N/A,#N/A,FALSE,"ER 99 "}</definedName>
    <definedName function="false" hidden="true" name="a1a" vbProcedure="false">{#N/A,"PURCHM",FALSE,"Business Analysis";#N/A,"SPADD",FALSE,"Business Analysis"}</definedName>
    <definedName function="false" hidden="true" name="a1b" vbProcedure="false">{#N/A,"PURADD",FALSE,"Business Analysis";#N/A,"PURSPP",FALSE,"Business Analysis";#N/A,"CTGIND",FALSE,"Business Analysis";#N/A,"PURCHM",FALSE,"Business Analysis";#N/A,"SPADD",FALSE,"Business Analysis";#N/A,"EPOXY",FALSE,"Business Analysis";#N/A,"PURPER",FALSE,"Business Analysis"}</definedName>
    <definedName function="false" hidden="true" name="a2a" vbProcedure="false">{"detail",#N/A,FALSE,"mfg";"summary",#N/A,FALSE,"mfg"}</definedName>
    <definedName function="false" hidden="true" name="aa" vbProcedure="false">{#N/A,"PURADD",FALSE,"Business Analysis";#N/A,"PURSPP",FALSE,"Business Analysis";#N/A,"CTGIND",FALSE,"Business Analysis";#N/A,"PURCHM",FALSE,"Business Analysis";#N/A,"SPADD",FALSE,"Business Analysis";#N/A,"EPOXY",FALSE,"Business Analysis";#N/A,"PURPER",FALSE,"Business Analysis"}</definedName>
    <definedName function="false" hidden="true" name="aaa" vbProcedure="false">{#N/A,#N/A,FALSE,"Pharm";#N/A,#N/A,FALSE,"WWCM"}</definedName>
    <definedName function="false" hidden="true" name="aaaa" vbProcedure="false">{#N/A,#N/A,FALSE,"REPORT"}</definedName>
    <definedName function="false" hidden="true" name="aaaa.a"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aaaaa" vbProcedure="false">{#N/A,#N/A,FALSE,"REPORT"}</definedName>
    <definedName function="false" hidden="true" name="aaaaaa" vbProcedure="false">{#N/A,#N/A,FALSE,"REPORT"}</definedName>
    <definedName function="false" hidden="true" name="aaaaaaa" vbProcedure="false">{#N/A,#N/A,FALSE,"REPORT"}</definedName>
    <definedName function="false" hidden="true" name="aaaaaaaa" vbProcedure="false">{#N/A,#N/A,FALSE,"Presentation by Unit";#N/A,#N/A,FALSE,"Presentation by BD";#N/A,#N/A,FALSE,"Presentation Split by Biggest U";#N/A,#N/A,FALSE,"Presentation Split by Area";#N/A,#N/A,FALSE,"Presentation Split by BD"}</definedName>
    <definedName function="false" hidden="true" name="aaaaaaaaa" vbProcedure="false">{#N/A,"PURCHM",FALSE,"Business Analysis";#N/A,"SPADD",FALSE,"Business Analysis"}</definedName>
    <definedName function="false" hidden="true" name="aaaaaaaaaaa" vbProcedure="false">{#N/A,#N/A,FALSE,"REPORT"}</definedName>
    <definedName function="false" hidden="true" name="aaaaaaaaaaaaaaa" vbProcedure="false">{#N/A,#N/A,FALSE,"Pharm";#N/A,#N/A,FALSE,"WWCM"}</definedName>
    <definedName function="false" hidden="true" name="aaaaaaaaaaaaaaaaa" vbProcedure="false">{#N/A,"PURCHM",FALSE,"Business Analysis";#N/A,"SPADD",FALSE,"Business Analysis"}</definedName>
    <definedName function="false" hidden="true" name="aaaaaaaaaaaaaaaaaaaaaaaaaa" vbProcedure="false">{"detail",#N/A,FALSE,"mfg";"summary",#N/A,FALSE,"mfg"}</definedName>
    <definedName function="false" hidden="true" name="aaasb" vbProcedure="false">{#N/A,#N/A,FALSE,"Pharm";#N/A,#N/A,FALSE,"WWCM"}</definedName>
    <definedName function="false" hidden="true" name="AAA_DOCTOPS" vbProcedure="false">"AAA_SET"</definedName>
    <definedName function="false" hidden="true" name="AAA_duser" vbProcedure="false">"OFF"</definedName>
    <definedName function="false" hidden="true" name="aab" vbProcedure="false">{#N/A,#N/A,FALSE,"Pharm";#N/A,#N/A,FALSE,"WWCM"}</definedName>
    <definedName function="false" hidden="true" name="AAB_Addin5" vbProcedure="false">"AAB_Description for addin 5,Description for addin 5,Description for addin 5,Description for addin 5,Description for addin 5,Description for addin 5"</definedName>
    <definedName function="false" hidden="true" name="AAB_GSPPG" vbProcedure="false">"AAB_Goldman Sachs PPG Chart Utilities 1.0g"</definedName>
    <definedName function="false" hidden="true" name="aaddd" vbProcedure="false">{#N/A,#N/A,FALSE,"REPORT"}</definedName>
    <definedName function="false" hidden="true" name="aas" vbProcedure="false">{#N/A,#N/A,FALSE,"1";#N/A,#N/A,FALSE,"2";#N/A,#N/A,FALSE,"16 - 17";#N/A,#N/A,FALSE,"18 - 19";#N/A,#N/A,FALSE,"26";#N/A,#N/A,FALSE,"27";#N/A,#N/A,FALSE,"28"}</definedName>
    <definedName function="false" hidden="true" name="aass" vbProcedure="false">{"detail",#N/A,FALSE,"mfg";"summary",#N/A,FALSE,"mfg"}</definedName>
    <definedName function="false" hidden="true" name="aaww" vbProcedure="false">{"Polymers Details",#N/A,FALSE,"Current Yr";"Polymer Details",#N/A,FALSE,"Budget";"Polymer Details",#N/A,FALSE,"Prior Year"}</definedName>
    <definedName function="false" hidden="true" name="aax" vbProcedure="false">{"detail",#N/A,FALSE,"mfg";"summary",#N/A,FALSE,"mfg"}</definedName>
    <definedName function="false" hidden="true" name="ab" vbProcedure="false">{#N/A,#N/A,FALSE,"TB";#N/A,#N/A,FALSE,"DR";#N/A,#N/A,FALSE,"AR";#N/A,#N/A,FALSE,"PL";#N/A,#N/A,FALSE,"BS";#N/A,#N/A,FALSE,"NOTES";#N/A,#N/A,FALSE,"NOTES (2)";#N/A,#N/A,FALSE,"NOTES (3)";#N/A,#N/A,FALSE,"DPL";#N/A,#N/A,FALSE,"TAXC.INDEX";#N/A,#N/A,FALSE,"Schedule I";#N/A,#N/A,FALSE,"Adjustments"}</definedName>
    <definedName function="false" hidden="true" name="aba" vbProcedure="false">#REF!</definedName>
    <definedName function="false" hidden="true" name="abc" vbProcedure="false">{#N/A,#N/A,FALSE,"REPORT"}</definedName>
    <definedName function="false" hidden="true" name="abc0mq" vbProcedure="false">{#N/A,"PURCHM",FALSE,"Business Analysis";#N/A,"SPADD",FALSE,"Business Analysis"}</definedName>
    <definedName function="false" hidden="true" name="abc0nks" vbProcedure="false">{"detail",#N/A,FALSE,"mfg";"summary",#N/A,FALSE,"mfg"}</definedName>
    <definedName function="false" hidden="true" name="abc101a" vbProcedure="false">{#N/A,"PURCHM",FALSE,"Business Analysis";#N/A,"SPADD",FALSE,"Business Analysis"}</definedName>
    <definedName function="false" hidden="true" name="abc109a" vbProcedure="false">{"detail",#N/A,FALSE,"mfg";"summary",#N/A,FALSE,"mfg"}</definedName>
    <definedName function="false" hidden="true" name="abc11a" vbProcedure="false">{"detail",#N/A,FALSE,"mfg";"summary",#N/A,FALSE,"mfg"}</definedName>
    <definedName function="false" hidden="true" name="abc11ab" vbProcedure="false">{#N/A,"PURCHM",FALSE,"Business Analysis";#N/A,"SPADD",FALSE,"Business Analysis"}</definedName>
    <definedName function="false" hidden="true" name="abc12a" vbProcedure="false">{"detail",#N/A,FALSE,"mfg";"summary",#N/A,FALSE,"mfg"}</definedName>
    <definedName function="false" hidden="true" name="abc13a" vbProcedure="false">{"detail",#N/A,FALSE,"mfg";"summary",#N/A,FALSE,"mfg"}</definedName>
    <definedName function="false" hidden="true" name="abc14a" vbProcedure="false">{"detail",#N/A,FALSE,"mfg";"summary",#N/A,FALSE,"mfg"}</definedName>
    <definedName function="false" hidden="true" name="abc1b" vbProcedure="false">{#N/A,"PURCHM",FALSE,"Business Analysis";#N/A,"SPADD",FALSE,"Business Analysis"}</definedName>
    <definedName function="false" hidden="true" name="abc200a" vbProcedure="false">{"detail",#N/A,FALSE,"mfg";"summary",#N/A,FALSE,"mfg"}</definedName>
    <definedName function="false" hidden="true" name="abc202a" vbProcedure="false">{"detail",#N/A,FALSE,"mfg";"summary",#N/A,FALSE,"mfg"}</definedName>
    <definedName function="false" hidden="true" name="abc202b" vbProcedure="false">{#N/A,"PURCHM",FALSE,"Business Analysis";#N/A,"SPADD",FALSE,"Business Analysis"}</definedName>
    <definedName function="false" hidden="true" name="abc213a" vbProcedure="false">{"detail",#N/A,FALSE,"mfg";"summary",#N/A,FALSE,"mfg"}</definedName>
    <definedName function="false" hidden="true" name="abc2a" vbProcedure="false">{"detail",#N/A,FALSE,"mfg";"summary",#N/A,FALSE,"mfg"}</definedName>
    <definedName function="false" hidden="true" name="abc312b" vbProcedure="false">{"detail",#N/A,FALSE,"mfg";"summary",#N/A,FALSE,"mfg"}</definedName>
    <definedName function="false" hidden="true" name="abc31a" vbProcedure="false">{"detail",#N/A,FALSE,"mfg";"summary",#N/A,FALSE,"mfg"}</definedName>
    <definedName function="false" hidden="true" name="abc32b" vbProcedure="false">{"detail",#N/A,FALSE,"mfg";"summary",#N/A,FALSE,"mfg"}</definedName>
    <definedName function="false" hidden="true" name="abc35b" vbProcedure="false">{"detail",#N/A,FALSE,"mfg";"summary",#N/A,FALSE,"mfg"}</definedName>
    <definedName function="false" hidden="true" name="abc36b" vbProcedure="false">{"detail",#N/A,FALSE,"mfg";"summary",#N/A,FALSE,"mfg"}</definedName>
    <definedName function="false" hidden="true" name="abc37b" vbProcedure="false">{"detail",#N/A,FALSE,"mfg";"summary",#N/A,FALSE,"mfg"}</definedName>
    <definedName function="false" hidden="true" name="abc38b" vbProcedure="false">{"detail",#N/A,FALSE,"mfg";"summary",#N/A,FALSE,"mfg"}</definedName>
    <definedName function="false" hidden="true" name="abc41b" vbProcedure="false">{"detail",#N/A,FALSE,"mfg";"summary",#N/A,FALSE,"mfg"}</definedName>
    <definedName function="false" hidden="true" name="abc42b" vbProcedure="false">{"detail",#N/A,FALSE,"mfg";"summary",#N/A,FALSE,"mfg"}</definedName>
    <definedName function="false" hidden="true" name="abc51b" vbProcedure="false">{"detail",#N/A,FALSE,"mfg";"summary",#N/A,FALSE,"mfg"}</definedName>
    <definedName function="false" hidden="true" name="abc61b" vbProcedure="false">{"detail",#N/A,FALSE,"mfg";"summary",#N/A,FALSE,"mfg"}</definedName>
    <definedName function="false" hidden="true" name="abc67v" vbProcedure="false">{#N/A,"PURCHM",FALSE,"Business Analysis";#N/A,"SPADD",FALSE,"Business Analysis"}</definedName>
    <definedName function="false" hidden="true" name="abc71b" vbProcedure="false">{"detail",#N/A,FALSE,"mfg";"summary",#N/A,FALSE,"mfg"}</definedName>
    <definedName function="false" hidden="true" name="abc9bn" vbProcedure="false">{"detail",#N/A,FALSE,"mfg";"summary",#N/A,FALSE,"mfg"}</definedName>
    <definedName function="false" hidden="true" name="abc9er" vbProcedure="false">{"detail",#N/A,FALSE,"mfg";"summary",#N/A,FALSE,"mfg"}</definedName>
    <definedName function="false" hidden="true" name="abc9kn" vbProcedure="false">{"detail",#N/A,FALSE,"mfg";"summary",#N/A,FALSE,"mfg"}</definedName>
    <definedName function="false" hidden="true" name="abca312" vbProcedure="false">{"detail",#N/A,FALSE,"mfg";"summary",#N/A,FALSE,"mfg"}</definedName>
    <definedName function="false" hidden="true" name="abca312b" vbProcedure="false">{"detail",#N/A,FALSE,"mfg";"summary",#N/A,FALSE,"mfg"}</definedName>
    <definedName function="false" hidden="true" name="abcd" vbProcedure="false">{#N/A,"PURCHM",FALSE,"Business Analysis";#N/A,"SPADD",FALSE,"Business Analysis"}</definedName>
    <definedName function="false" hidden="true" name="abcd1" vbProcedure="false">{#N/A,"PURCHM",FALSE,"Business Analysis";#N/A,"SPADD",FALSE,"Business Analysis"}</definedName>
    <definedName function="false" hidden="true" name="abcd10" vbProcedure="false">{#N/A,"PURCHM",FALSE,"Business Analysis";#N/A,"SPADD",FALSE,"Business Analysis"}</definedName>
    <definedName function="false" hidden="true" name="abcd101" vbProcedure="false">{#N/A,"PURCHM",FALSE,"Business Analysis";#N/A,"SPADD",FALSE,"Business Analysis"}</definedName>
    <definedName function="false" hidden="true" name="abcd10a" vbProcedure="false">{#N/A,"PURCHM",FALSE,"Business Analysis";#N/A,"SPADD",FALSE,"Business Analysis"}</definedName>
    <definedName function="false" hidden="true" name="abcd11" vbProcedure="false">{#N/A,"PURCHM",FALSE,"Business Analysis";#N/A,"SPADD",FALSE,"Business Analysis"}</definedName>
    <definedName function="false" hidden="true" name="abcd12" vbProcedure="false">{#N/A,"PURCHM",FALSE,"Business Analysis";#N/A,"SPADD",FALSE,"Business Analysis"}</definedName>
    <definedName function="false" hidden="true" name="abcd12b" vbProcedure="false">{#N/A,"PURCHM",FALSE,"Business Analysis";#N/A,"SPADD",FALSE,"Business Analysis"}</definedName>
    <definedName function="false" hidden="true" name="abcd2" vbProcedure="false">{#N/A,"PURCHM",FALSE,"Business Analysis";#N/A,"SPADD",FALSE,"Business Analysis"}</definedName>
    <definedName function="false" hidden="true" name="abcd200" vbProcedure="false">{#N/A,"PURCHM",FALSE,"Business Analysis";#N/A,"SPADD",FALSE,"Business Analysis"}</definedName>
    <definedName function="false" hidden="true" name="abcd200b" vbProcedure="false">{#N/A,"PURCHM",FALSE,"Business Analysis";#N/A,"SPADD",FALSE,"Business Analysis"}</definedName>
    <definedName function="false" hidden="true" name="abcd202" vbProcedure="false">{#N/A,"PURCHM",FALSE,"Business Analysis";#N/A,"SPADD",FALSE,"Business Analysis"}</definedName>
    <definedName function="false" hidden="true" name="abcd21" vbProcedure="false">{#N/A,"PURCHM",FALSE,"Business Analysis";#N/A,"SPADD",FALSE,"Business Analysis"}</definedName>
    <definedName function="false" hidden="true" name="abcd212" vbProcedure="false">{#N/A,"PURCHM",FALSE,"Business Analysis";#N/A,"SPADD",FALSE,"Business Analysis"}</definedName>
    <definedName function="false" hidden="true" name="abcd21225b" vbProcedure="false">{#N/A,"PURCHM",FALSE,"Business Analysis";#N/A,"SPADD",FALSE,"Business Analysis"}</definedName>
    <definedName function="false" hidden="true" name="abcd212b" vbProcedure="false">{#N/A,"PURCHM",FALSE,"Business Analysis";#N/A,"SPADD",FALSE,"Business Analysis"}</definedName>
    <definedName function="false" hidden="true" name="abcd213" vbProcedure="false">{#N/A,"PURCHM",FALSE,"Business Analysis";#N/A,"SPADD",FALSE,"Business Analysis"}</definedName>
    <definedName function="false" hidden="true" name="abcd213b" vbProcedure="false">{#N/A,"PURCHM",FALSE,"Business Analysis";#N/A,"SPADD",FALSE,"Business Analysis"}</definedName>
    <definedName function="false" hidden="true" name="abcd21kb" vbProcedure="false">{#N/A,"PURCHM",FALSE,"Business Analysis";#N/A,"SPADD",FALSE,"Business Analysis"}</definedName>
    <definedName function="false" hidden="true" name="abcd254" vbProcedure="false">{#N/A,"PURCHM",FALSE,"Business Analysis";#N/A,"SPADD",FALSE,"Business Analysis"}</definedName>
    <definedName function="false" hidden="true" name="abcd2ab" vbProcedure="false">{#N/A,"PURCHM",FALSE,"Business Analysis";#N/A,"SPADD",FALSE,"Business Analysis"}</definedName>
    <definedName function="false" hidden="true" name="abcd312" vbProcedure="false">{#N/A,"PURCHM",FALSE,"Business Analysis";#N/A,"SPADD",FALSE,"Business Analysis"}</definedName>
    <definedName function="false" hidden="true" name="abcd312bd" vbProcedure="false">{#N/A,"PURCHM",FALSE,"Business Analysis";#N/A,"SPADD",FALSE,"Business Analysis"}</definedName>
    <definedName function="false" hidden="true" name="abcd32" vbProcedure="false">{#N/A,"PURCHM",FALSE,"Business Analysis";#N/A,"SPADD",FALSE,"Business Analysis"}</definedName>
    <definedName function="false" hidden="true" name="abcd32b" vbProcedure="false">{#N/A,"PURCHM",FALSE,"Business Analysis";#N/A,"SPADD",FALSE,"Business Analysis"}</definedName>
    <definedName function="false" hidden="true" name="abcd33" vbProcedure="false">{"detail",#N/A,FALSE,"mfg";"summary",#N/A,FALSE,"mfg"}</definedName>
    <definedName function="false" hidden="true" name="abcd33b" vbProcedure="false">{"detail",#N/A,FALSE,"mfg";"summary",#N/A,FALSE,"mfg"}</definedName>
    <definedName function="false" hidden="true" name="abcd34" vbProcedure="false">{#N/A,"PURCHM",FALSE,"Business Analysis";#N/A,"SPADD",FALSE,"Business Analysis"}</definedName>
    <definedName function="false" hidden="true" name="abcd34b" vbProcedure="false">{#N/A,"PURCHM",FALSE,"Business Analysis";#N/A,"SPADD",FALSE,"Business Analysis"}</definedName>
    <definedName function="false" hidden="true" name="abcd35" vbProcedure="false">{#N/A,"PURCHM",FALSE,"Business Analysis";#N/A,"SPADD",FALSE,"Business Analysis"}</definedName>
    <definedName function="false" hidden="true" name="abcd35b" vbProcedure="false">{#N/A,"PURCHM",FALSE,"Business Analysis";#N/A,"SPADD",FALSE,"Business Analysis"}</definedName>
    <definedName function="false" hidden="true" name="abcd36" vbProcedure="false">{"detail",#N/A,FALSE,"mfg";"summary",#N/A,FALSE,"mfg"}</definedName>
    <definedName function="false" hidden="true" name="abcd36b" vbProcedure="false">{"detail",#N/A,FALSE,"mfg";"summary",#N/A,FALSE,"mfg"}</definedName>
    <definedName function="false" hidden="true" name="abcd39" vbProcedure="false">{#N/A,"PURCHM",FALSE,"Business Analysis";#N/A,"SPADD",FALSE,"Business Analysis"}</definedName>
    <definedName function="false" hidden="true" name="abcd39bd" vbProcedure="false">{#N/A,"PURCHM",FALSE,"Business Analysis";#N/A,"SPADD",FALSE,"Business Analysis"}</definedName>
    <definedName function="false" hidden="true" name="ABCD41" vbProcedure="false">{#N/A,"PURCHM",FALSE,"Business Analysis";#N/A,"SPADD",FALSE,"Business Analysis"}</definedName>
    <definedName function="false" hidden="true" name="abcd412" vbProcedure="false">{#N/A,"PURCHM",FALSE,"Business Analysis";#N/A,"SPADD",FALSE,"Business Analysis"}</definedName>
    <definedName function="false" hidden="true" name="abcd412bd" vbProcedure="false">{#N/A,"PURCHM",FALSE,"Business Analysis";#N/A,"SPADD",FALSE,"Business Analysis"}</definedName>
    <definedName function="false" hidden="true" name="abcd41bd" vbProcedure="false">{#N/A,"PURCHM",FALSE,"Business Analysis";#N/A,"SPADD",FALSE,"Business Analysis"}</definedName>
    <definedName function="false" hidden="true" name="abcd42" vbProcedure="false">{#N/A,"PURCHM",FALSE,"Business Analysis";#N/A,"SPADD",FALSE,"Business Analysis"}</definedName>
    <definedName function="false" hidden="true" name="abcd42bd" vbProcedure="false">{#N/A,"PURCHM",FALSE,"Business Analysis";#N/A,"SPADD",FALSE,"Business Analysis"}</definedName>
    <definedName function="false" hidden="true" name="abcd45" vbProcedure="false">{#N/A,"PURCHM",FALSE,"Business Analysis";#N/A,"SPADD",FALSE,"Business Analysis"}</definedName>
    <definedName function="false" hidden="true" name="abcd45bd" vbProcedure="false">{#N/A,"PURCHM",FALSE,"Business Analysis";#N/A,"SPADD",FALSE,"Business Analysis"}</definedName>
    <definedName function="false" hidden="true" name="abcd50" vbProcedure="false">{#N/A,"PURCHM",FALSE,"Business Analysis";#N/A,"SPADD",FALSE,"Business Analysis"}</definedName>
    <definedName function="false" hidden="true" name="abcd51" vbProcedure="false">{#N/A,"PURCHM",FALSE,"Business Analysis";#N/A,"SPADD",FALSE,"Business Analysis"}</definedName>
    <definedName function="false" hidden="true" name="abcd51bd" vbProcedure="false">{#N/A,"PURCHM",FALSE,"Business Analysis";#N/A,"SPADD",FALSE,"Business Analysis"}</definedName>
    <definedName function="false" hidden="true" name="abcd61" vbProcedure="false">{#N/A,"PURCHM",FALSE,"Business Analysis";#N/A,"SPADD",FALSE,"Business Analysis"}</definedName>
    <definedName function="false" hidden="true" name="abcd61bd" vbProcedure="false">{#N/A,"PURCHM",FALSE,"Business Analysis";#N/A,"SPADD",FALSE,"Business Analysis"}</definedName>
    <definedName function="false" hidden="true" name="abcd71" vbProcedure="false">{#N/A,"PURCHM",FALSE,"Business Analysis";#N/A,"SPADD",FALSE,"Business Analysis"}</definedName>
    <definedName function="false" hidden="true" name="abcd71bd" vbProcedure="false">{#N/A,"PURCHM",FALSE,"Business Analysis";#N/A,"SPADD",FALSE,"Business Analysis"}</definedName>
    <definedName function="false" hidden="true" name="abcd90" vbProcedure="false">{#N/A,"PURCHM",FALSE,"Business Analysis";#N/A,"SPADD",FALSE,"Business Analysis"}</definedName>
    <definedName function="false" hidden="true" name="abcd98b" vbProcedure="false">{#N/A,"PURCHM",FALSE,"Business Analysis";#N/A,"SPADD",FALSE,"Business Analysis"}</definedName>
    <definedName function="false" hidden="true" name="abcda" vbProcedure="false">{#N/A,"PURCHM",FALSE,"Business Analysis";#N/A,"SPADD",FALSE,"Business Analysis"}</definedName>
    <definedName function="false" hidden="true" name="abcda101" vbProcedure="false">{#N/A,"PURCHM",FALSE,"Business Analysis";#N/A,"SPADD",FALSE,"Business Analysis"}</definedName>
    <definedName function="false" hidden="true" name="abcde" vbProcedure="false">{#N/A,#N/A,FALSE,"Title Page";#N/A,#N/A,FALSE,"Conclusions";#N/A,#N/A,FALSE,"Assum.";#N/A,#N/A,FALSE,"Sun  DCF-WC-Dep";#N/A,#N/A,FALSE,"MarketValue";#N/A,#N/A,FALSE,"BalSheet";#N/A,#N/A,FALSE,"WACC";#N/A,#N/A,FALSE,"PC+ Info.";#N/A,#N/A,FALSE,"PC+Info_2"}</definedName>
    <definedName function="false" hidden="true" name="abcdmibh" vbProcedure="false">{#N/A,"PURCHM",FALSE,"Business Analysis";#N/A,"SPADD",FALSE,"Business Analysis"}</definedName>
    <definedName function="false" hidden="true" name="abcdv102" vbProcedure="false">{#N/A,"PURCHM",FALSE,"Business Analysis";#N/A,"SPADD",FALSE,"Business Analysis"}</definedName>
    <definedName function="false" hidden="true" name="abcdv102d" vbProcedure="false">{#N/A,"PURCHM",FALSE,"Business Analysis";#N/A,"SPADD",FALSE,"Business Analysis"}</definedName>
    <definedName function="false" hidden="true" name="abci9" vbProcedure="false">{#N/A,"PURCHM",FALSE,"Business Analysis";#N/A,"SPADD",FALSE,"Business Analysis"}</definedName>
    <definedName function="false" hidden="true" name="abci92" vbProcedure="false">{#N/A,"PURCHM",FALSE,"Business Analysis";#N/A,"SPADD",FALSE,"Business Analysis"}</definedName>
    <definedName function="false" hidden="true" name="abcj9i" vbProcedure="false">{"detail",#N/A,FALSE,"mfg";"summary",#N/A,FALSE,"mfg"}</definedName>
    <definedName function="false" hidden="true" name="abckg" vbProcedure="false">{#N/A,"PURCHM",FALSE,"Business Analysis";#N/A,"SPADD",FALSE,"Business Analysis"}</definedName>
    <definedName function="false" hidden="true" name="abcklg" vbProcedure="false">{"detail",#N/A,FALSE,"mfg";"summary",#N/A,FALSE,"mfg"}</definedName>
    <definedName function="false" hidden="true" name="abcl96\" vbProcedure="false">{#N/A,"PURCHM",FALSE,"Business Analysis";#N/A,"SPADD",FALSE,"Business Analysis"}</definedName>
    <definedName function="false" hidden="true" name="abclkj" vbProcedure="false">{"detail",#N/A,FALSE,"mfg";"summary",#N/A,FALSE,"mfg"}</definedName>
    <definedName function="false" hidden="true" name="abclxs" vbProcedure="false">{"detail",#N/A,FALSE,"mfg";"summary",#N/A,FALSE,"mfg"}</definedName>
    <definedName function="false" hidden="true" name="abcoi" vbProcedure="false">{"detail",#N/A,FALSE,"mfg";"summary",#N/A,FALSE,"mfg"}</definedName>
    <definedName function="false" hidden="true" name="abcois" vbProcedure="false">{"detail",#N/A,FALSE,"mfg";"summary",#N/A,FALSE,"mfg"}</definedName>
    <definedName function="false" hidden="true" name="abji" vbProcedure="false">{#N/A,"PURCHM",FALSE,"Business Analysis";#N/A,"SPADD",FALSE,"Business Analysis"}</definedName>
    <definedName function="false" hidden="true" name="abki9" vbProcedure="false">{#N/A,"PURCHM",FALSE,"Business Analysis";#N/A,"SPADD",FALSE,"Business Analysis"}</definedName>
    <definedName function="false" hidden="true" name="ablo5" vbProcedure="false">{#N/A,"PURCHM",FALSE,"Business Analysis";#N/A,"SPADD",FALSE,"Business Analysis"}</definedName>
    <definedName function="false" hidden="true" name="abrff" vbProcedure="false">{"werbung",#N/A,FALSE,"GuV9900-0399";"betrieb",#N/A,FALSE,"GuV9900-0399";"personal",#N/A,FALSE,"GuV9900-0399";"tvg",#N/A,FALSE,"GuV9900-0399";"verwaltung",#N/A,FALSE,"GuV9900-0399"}</definedName>
    <definedName function="false" hidden="true" name="absorp" vbProcedure="false">{#N/A,#N/A,FALSE,"AHF"}</definedName>
    <definedName function="false" hidden="true" name="ac" vbProcedure="false">{#N/A,"PURCHM",FALSE,"Business Analysis";#N/A,"SPADD",FALSE,"Business Analysis"}</definedName>
    <definedName function="false" hidden="true" name="acac" vbProcedure="false">{0,0,0,0;0,0,0,0;0,0,0,0;0,0,0,0;0,0,0,0}</definedName>
    <definedName function="false" hidden="true" name="ACBU" vbProcedure="false">{#N/A,#N/A,FALSE,"00 P&amp;L vs 99"}</definedName>
    <definedName function="false" hidden="true" name="acc" vbProcedure="false">{"'comite'!$A$9:$G$44","'comite'!$A$1:$G$6"}</definedName>
    <definedName function="false" hidden="true" name="AccessDatabase" vbProcedure="false">"C:\FAME\famework\elyval.mdb"</definedName>
    <definedName function="false" hidden="true" name="Access_Button" vbProcedure="false">"REPIMSF_HTA_Market_List"</definedName>
    <definedName function="false" hidden="true" name="Access_Button1" vbProcedure="false">"Headcount_Workbook_Schedules_List"</definedName>
    <definedName function="false" hidden="true" name="accs" vbProcedure="false">{"detail",#N/A,FALSE,"mfg";"summary",#N/A,FALSE,"mfg"}</definedName>
    <definedName function="false" hidden="true" name="acctNoCol" vbProcedure="false">#REF!</definedName>
    <definedName function="false" hidden="true" name="acctSegCol" vbProcedure="false">#REF!</definedName>
    <definedName function="false" hidden="true" name="actionplan" vbProcedure="false">{#N/A,"PURADD",FALSE,"Business Analysis";#N/A,"PURSPP",FALSE,"Business Analysis";#N/A,"CTGIND",FALSE,"Business Analysis";#N/A,"PURCHM",FALSE,"Business Analysis";#N/A,"SPADD",FALSE,"Business Analysis";#N/A,"EPOXY",FALSE,"Business Analysis";#N/A,"PURPER",FALSE,"Business Analysis"}</definedName>
    <definedName function="false" hidden="true" name="ACwvu.ce_storici." vbProcedure="false">#REF!</definedName>
    <definedName function="false" hidden="true" name="ACwvu.dd." vbProcedure="false">#REF!</definedName>
    <definedName function="false" hidden="true" name="ad" vbProcedure="false">{#N/A,#N/A,FALSE,"TB";#N/A,#N/A,FALSE,"AR";#N/A,#N/A,FALSE,"BS";#N/A,#N/A,FALSE,"PL";#N/A,#N/A,FALSE,"NOTES";#N/A,#N/A,FALSE,"NOTES (2)";#N/A,#N/A,FALSE,"NOTES (3)";#N/A,#N/A,FALSE,"TAXC.INDEX";#N/A,#N/A,FALSE,"Schedule I";#N/A,#N/A,FALSE,"DPL";#N/A,#N/A,FALSE,"Schedule IV";#N/A,#N/A,FALSE,"Adjustments"}</definedName>
    <definedName function="false" hidden="true" name="ada" vbProcedure="false">{#N/A,#N/A,FALSE,"3";#N/A,#N/A,FALSE,"5";#N/A,#N/A,FALSE,"6";#N/A,#N/A,FALSE,"8";#N/A,#N/A,FALSE,"10";#N/A,#N/A,FALSE,"13";#N/A,#N/A,FALSE,"14";#N/A,#N/A,FALSE,"15";#N/A,#N/A,FALSE,"16"}</definedName>
    <definedName function="false" hidden="true" name="adaf"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adasd" vbProcedure="false">{#N/A,#N/A,FALSE,"KA CH  (2)"}</definedName>
    <definedName function="false" hidden="true" name="adc" vbProcedure="false">{#N/A,"PURCHM",FALSE,"Business Analysis";#N/A,"SPADD",FALSE,"Business Analysis"}</definedName>
    <definedName function="false" hidden="true" name="adcd" vbProcedure="false">{#N/A,#N/A,FALSE,"Sheet8";#N/A,#N/A,FALSE,"Sheet7"}</definedName>
    <definedName function="false" hidden="true" name="addb" vbProcedure="false">{#N/A,#N/A,FALSE,"CBE";#N/A,#N/A,FALSE,"SWK"}</definedName>
    <definedName function="false" hidden="true" name="addg" vbProcedure="false">{#N/A,#N/A,FALSE,"CBE";#N/A,#N/A,FALSE,"SWK"}</definedName>
    <definedName function="false" hidden="true" name="ade" vbProcedure="false">{#N/A,#N/A,FALSE,"Historical";#N/A,#N/A,FALSE,"EPS-Purchase";#N/A,#N/A,FALSE,"EPS-Pool";#N/A,#N/A,FALSE,"DCF";"Market Share",#N/A,FALSE,"Revenue";"Revenue",#N/A,FALSE,"Revenue"}</definedName>
    <definedName function="false" hidden="true" name="ADETRUIRE" vbProcedure="false">{#N/A,#N/A,TRUE,"Forecast &amp; Analysis";#N/A,#N/A,TRUE,"Market Values";#N/A,#N/A,TRUE,"Ratios";#N/A,#N/A,TRUE,"Regressions";#N/A,#N/A,TRUE,"Market Values";#N/A,#N/A,TRUE,"Parameters &amp; Results"}</definedName>
    <definedName function="false" hidden="true" name="adf" vbProcedure="false">{#N/A,#N/A,FALSE,"CHANGES";#N/A,#N/A,FALSE,"PROD SUMMARY";#N/A,#N/A,FALSE,"1995 PO SUM";#N/A,#N/A,FALSE,"1995 GEOG SUM";#N/A,#N/A,FALSE,"1996 PO SUM";#N/A,#N/A,FALSE,"1996 GEOG SUM"}</definedName>
    <definedName function="false" hidden="true" name="adfaf" vbProcedure="false">{"Merger Output",#N/A,FALSE,"Summary_Output";"Flowback Assesment dollars",#N/A,FALSE,"FLow";"Flowback assesment percent",#N/A,FALSE,"FLow";"Impact to Rubik Price",#N/A,FALSE,"FLow"}</definedName>
    <definedName function="false" hidden="true" name="adfd" vbProcedure="false">{"sales growth",#N/A,FALSE,"summary";"oper income",#N/A,FALSE,"summary";"oros rank",#N/A,FALSE,"summary";"net assets",#N/A,FALSE,"summary";"asset turnover",#N/A,FALSE,"summary";"orona",#N/A,FALSE,"summary"}</definedName>
    <definedName function="false" hidden="true" name="adff" vbProcedure="false">{"werbung",#N/A,FALSE,"GuV9900-0399";"betrieb",#N/A,FALSE,"GuV9900-0399";"personal",#N/A,FALSE,"GuV9900-0399";"tvg",#N/A,FALSE,"GuV9900-0399";"verwaltung",#N/A,FALSE,"GuV9900-0399"}</definedName>
    <definedName function="false" hidden="true" name="adfg" vbProcedure="false">{"Units A",#N/A,FALSE,"FY95SLS";"Units B",#N/A,FALSE,"FY95SLS"}</definedName>
    <definedName function="false" hidden="true" name="adfgadag" vbProcedure="false">{#N/A,#N/A,FALSE,"Calc";#N/A,#N/A,FALSE,"Sensitivity";#N/A,#N/A,FALSE,"LT Earn.Dil.";#N/A,#N/A,FALSE,"Dil. AVP"}</definedName>
    <definedName function="false" hidden="true" name="adfgadfb" vbProcedure="false">{"Units A",#N/A,FALSE,"FY95SLS";"Units B",#N/A,FALSE,"FY95SLS"}</definedName>
    <definedName function="false" hidden="true" name="adfgadg" vbProcedure="false">{"comps",#N/A,FALSE,"HANDPACK";"footnotes",#N/A,FALSE,"HANDPACK"}</definedName>
    <definedName function="false" hidden="true" name="adfgadga" vbProcedure="false">{#N/A,#N/A,FALSE,"Calc";#N/A,#N/A,FALSE,"Sensitivity";#N/A,#N/A,FALSE,"LT Earn.Dil.";#N/A,#N/A,FALSE,"Dil. AVP"}</definedName>
    <definedName function="false" hidden="true" name="adfgadgadg" vbProcedure="false">{"assumption 50 50",#N/A,TRUE,"Merger";"has gets cash",#N/A,TRUE,"Merger";"accretion dilution",#N/A,TRUE,"Merger";"comparison credit stats",#N/A,TRUE,"Merger";"pf credit stats",#N/A,TRUE,"Merger";"pf sheets",#N/A,TRUE,"Merger"}</definedName>
    <definedName function="false" hidden="true" name="adfgaer" vbProcedure="false">{"Units A",#N/A,FALSE,"FY95SLS";"Units B",#N/A,FALSE,"FY95SLS"}</definedName>
    <definedName function="false" hidden="true" name="adfgasdysty" vbProcedure="false">{#N/A,#N/A,FALSE,"REPORT"}</definedName>
    <definedName function="false" hidden="true" name="adfgdag" vbProcedure="false">{#N/A,#N/A,TRUE,"Pro Forma";#N/A,#N/A,TRUE,"PF_Bal";#N/A,#N/A,TRUE,"PF_INC";#N/A,#N/A,TRUE,"CBE";#N/A,#N/A,TRUE,"SWK"}</definedName>
    <definedName function="false" hidden="true" name="adfgdgdag"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adfgfg" vbProcedure="false">{#N/A,#N/A,FALSE,"Calc";#N/A,#N/A,FALSE,"Sensitivity";#N/A,#N/A,FALSE,"LT Earn.Dil.";#N/A,#N/A,FALSE,"Dil. AVP"}</definedName>
    <definedName function="false" hidden="true" name="adfnhdfa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adfsdf" vbProcedure="false">{"Units A",#N/A,FALSE,"FY95SLS";"Units B",#N/A,FALSE,"FY95SLS"}</definedName>
    <definedName function="false" hidden="true" name="adfsfjfjky" vbProcedure="false">{#N/A,#N/A,FALSE,"REPORT"}</definedName>
    <definedName function="false" hidden="true" name="adg" vbProcedure="false">{"'Sheet1'!$A$1:$O$40"}</definedName>
    <definedName function="false" hidden="true" name="adgfgd" vbProcedure="false">{"detail",#N/A,FALSE,"mfg";"summary",#N/A,FALSE,"mfg"}</definedName>
    <definedName function="false" hidden="true" name="adjusted" vbProcedure="false">#N/A</definedName>
    <definedName function="false" hidden="true" name="adnfadfnhf" vbProcedure="false">{"Units A",#N/A,FALSE,"FY95SLS";"Units B",#N/A,FALSE,"FY95SLS"}</definedName>
    <definedName function="false" hidden="true" name="ads" vbProcedure="false">{"detail",#N/A,FALSE,"mfg";"summary",#N/A,FALSE,"mfg"}</definedName>
    <definedName function="false" hidden="true" name="adsa" vbProcedure="false">{"Units A",#N/A,FALSE,"FY95SLS";"Units B",#N/A,FALSE,"FY95SLS"}</definedName>
    <definedName function="false" hidden="true" name="adsadas" vbProcedure="false">{"Pound Sterling",#N/A,TRUE,"PPD";"Pound Sterling",#N/A,TRUE,"Anaquest";"Pound Sterling",#N/A,TRUE,"Delta";"Pound Sterling",#N/A,TRUE,"INO"}</definedName>
    <definedName function="false" hidden="true" name="adsf" vbProcedure="false">{"QTD",#N/A,FALSE,"SUM"}</definedName>
    <definedName function="false" hidden="true" name="adsfa"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adsfdsf" vbProcedure="false">{"fis.dbo.r1_datasum"}</definedName>
    <definedName function="false" hidden="true" name="adsfgds" vbProcedure="false">{#N/A,#N/A,FALSE,"Umsatz CH";#N/A,#N/A,FALSE,"ER CH";#N/A,#N/A,FALSE,"EA CH (2) ";#N/A,#N/A,FALSE,"EA CH";#N/A,#N/A,FALSE,"EA CH (3) ";#N/A,#N/A,FALSE,"EA CH (4)";#N/A,#N/A,FALSE,"KA CH";#N/A,#N/A,FALSE,"KA CH  (2)";#N/A,#N/A,FALSE,"KA CH  (3)";#N/A,#N/A,FALSE,"KA CH (4)"}</definedName>
    <definedName function="false" hidden="true" name="ae" vbProcedure="false">{"'Inventory &amp; Anal-Cur Wkbk'!$A$7:$AP$71"}</definedName>
    <definedName function="false" hidden="true" name="aefaef" vbProcedure="false">{"werbung",#N/A,FALSE,"GuV9900-0399";"betrieb",#N/A,FALSE,"GuV9900-0399";"personal",#N/A,FALSE,"GuV9900-0399";"tvg",#N/A,FALSE,"GuV9900-0399";"verwaltung",#N/A,FALSE,"GuV9900-0399"}</definedName>
    <definedName function="false" hidden="true" name="aefe" vbProcedure="false">{"Pound Sterling",#N/A,TRUE,"PPD";"Pound Sterling",#N/A,TRUE,"Anaquest";"Pound Sterling",#N/A,TRUE,"Delta";"Pound Sterling",#N/A,TRUE,"INO"}</definedName>
    <definedName function="false" hidden="true" name="aegse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aem" vbProcedure="false">{#N/A,#N/A,TRUE,"AHFSTEP"}</definedName>
    <definedName function="false" hidden="true" name="aeot" vbProcedure="false">{#N/A,#N/A,FALSE,"TB";#N/A,#N/A,FALSE,"AR";#N/A,#N/A,FALSE,"BS";#N/A,#N/A,FALSE,"PL";#N/A,#N/A,FALSE,"NOTES";#N/A,#N/A,FALSE,"NOTES (2)";#N/A,#N/A,FALSE,"NOTES (3)";#N/A,#N/A,FALSE,"TAXC.INDEX";#N/A,#N/A,FALSE,"Schedule I";#N/A,#N/A,FALSE,"DPL";#N/A,#N/A,FALSE,"Schedule IV";#N/A,#N/A,FALSE,"Adjustments"}</definedName>
    <definedName function="false" hidden="true" name="aer" vbProcedure="false">{"werbung",#N/A,FALSE,"GuV9900-0399";"betrieb",#N/A,FALSE,"GuV9900-0399";"personal",#N/A,FALSE,"GuV9900-0399";"tvg",#N/A,FALSE,"GuV9900-0399";"verwaltung",#N/A,FALSE,"GuV9900-0399"}</definedName>
    <definedName function="false" hidden="true" name="aergea" vbProcedure="false">{"assumption 50 50",#N/A,TRUE,"Merger";"has gets cash",#N/A,TRUE,"Merger";"accretion dilution",#N/A,TRUE,"Merger";"comparison credit stats",#N/A,TRUE,"Merger";"pf credit stats",#N/A,TRUE,"Merger";"pf sheets",#N/A,TRUE,"Merger"}</definedName>
    <definedName function="false" hidden="true" name="aerhh" vbProcedure="false">{"Units A",#N/A,FALSE,"FY95SLS";"Units B",#N/A,FALSE,"FY95SLS"}</definedName>
    <definedName function="false" hidden="true" name="aerqeyqer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aertareygq" vbProcedure="false">{"Pound Sterling",#N/A,TRUE,"PPD";"Pound Sterling",#N/A,TRUE,"Anaquest";"Pound Sterling",#N/A,TRUE,"Delta";"Pound Sterling",#N/A,TRUE,"INO"}</definedName>
    <definedName function="false" hidden="true" name="aesdf" vbProcedure="false">main.sapf4help()</definedName>
    <definedName function="false" hidden="true" name="aew" vbProcedure="false">{#N/A,"PURCHM",FALSE,"Business Analysis";#N/A,"SPADD",FALSE,"Business Analysis"}</definedName>
    <definedName function="false" hidden="true" name="aezeazez" vbProcedure="false">{#VALUE!,#N/A,FALSE,0;#N/A,#N/A,FALSE,0;#N/A,#N/A,FALSE,0;#N/A,#N/A,FALSE,0;#N/A,#N/A,FALSE,0;#N/A,#N/A,FALSE,0;#N/A,#N/A,FALSE,0;#N/A,#N/A,FALSE,0;#N/A,#N/A,FALSE,0}</definedName>
    <definedName function="false" hidden="true" name="af" vbProcedure="false">{#N/A,#N/A,FALSE,"TAXC.INDEX";#N/A,#N/A,FALSE,"Schedule I";#N/A,#N/A,FALSE,"Schedule  II";#N/A,#N/A,FALSE,"Schedule III"}</definedName>
    <definedName function="false" hidden="true" name="afa" vbProcedure="false">{"Units A",#N/A,FALSE,"FY95SLS";"Units B",#N/A,FALSE,"FY95SLS"}</definedName>
    <definedName function="false" hidden="true" name="AFAFASF" vbProcedure="false">{#N/A,#N/A,FALSE,"00 P&amp;L vs 99"}</definedName>
    <definedName function="false" hidden="true" name="afag" vbProcedure="false">{"werbung",#N/A,FALSE,"GuV9900-0399";"betrieb",#N/A,FALSE,"GuV9900-0399";"personal",#N/A,FALSE,"GuV9900-0399";"tvg",#N/A,FALSE,"GuV9900-0399";"verwaltung",#N/A,FALSE,"GuV9900-0399"}</definedName>
    <definedName function="false" hidden="true" name="afasf" vbProcedure="false">{#N/A,#N/A,FALSE,"3";#N/A,#N/A,FALSE,"5";#N/A,#N/A,FALSE,"6";#N/A,#N/A,FALSE,"8";#N/A,#N/A,FALSE,"10";#N/A,#N/A,FALSE,"13";#N/A,#N/A,FALSE,"14";#N/A,#N/A,FALSE,"15";#N/A,#N/A,FALSE,"16"}</definedName>
    <definedName function="false" hidden="true" name="afc" vbProcedure="false">{"detail",#N/A,FALSE,"mfg";"summary",#N/A,FALSE,"mfg"}</definedName>
    <definedName function="false" hidden="true" name="afda" vbProcedure="false">{"Merger Output",#N/A,FALSE,"Summary_Output";"Flowback Assesment dollars",#N/A,FALSE,"FLow";"Flowback assesment percent",#N/A,FALSE,"FLow";"Impact to Rubik Price",#N/A,FALSE,"FLow"}</definedName>
    <definedName function="false" hidden="true" name="afdadg" vbProcedure="false">{"comp1",#N/A,FALSE,"COMPS";"footnotes",#N/A,FALSE,"COMPS"}</definedName>
    <definedName function="false" hidden="true" name="AFDADSFDAS" vbProcedure="false">{#N/A,#N/A,FALSE,"REPORT"}</definedName>
    <definedName function="false" hidden="true" name="afdf" vbProcedure="false">{"Standard",#N/A,FALSE,"Lab H Inc Stmt";"Standard",#N/A,FALSE,"Lab H Bal Sht";"Standard",#N/A,FALSE,"Lab H CFs";"Standard",#N/A,FALSE,"Lab P Inc Stmt";"Standard",#N/A,FALSE,"Lab P CFs Base";"Standard",#N/A,FALSE,"Lab DCF Base";"Standard",#N/A,FALSE,"DCF Sum"}</definedName>
    <definedName function="false" hidden="true" name="afdgafdga" vbProcedure="false">{"away stand alones",#N/A,FALSE,"Target"}</definedName>
    <definedName function="false" hidden="true" name="afdgafg" vbProcedure="false">{#N/A,#N/A,FALSE,"output";#N/A,#N/A,FALSE,"contrib";#N/A,#N/A,FALSE,"profile";#N/A,#N/A,FALSE,"comps"}</definedName>
    <definedName function="false" hidden="true" name="afds" vbProcedure="false">{"YTD",#N/A,FALSE,"SUM"}</definedName>
    <definedName function="false" hidden="true" name="afer" vbProcedure="false">{"standalone1",#N/A,FALSE,"DCFBase";"standalone2",#N/A,FALSE,"DCFBase"}</definedName>
    <definedName function="false" hidden="true" name="afga" vbProcedure="false">{#N/A,#N/A,FALSE,"Calc";#N/A,#N/A,FALSE,"Sensitivity";#N/A,#N/A,FALSE,"LT Earn.Dil.";#N/A,#N/A,FALSE,"Dil. AVP"}</definedName>
    <definedName function="false" hidden="true" name="afgadfg" vbProcedure="false">{#N/A,#N/A,FALSE,"Calc";#N/A,#N/A,FALSE,"Sensitivity";#N/A,#N/A,FALSE,"LT Earn.Dil.";#N/A,#N/A,FALSE,"Dil. AVP"}</definedName>
    <definedName function="false" hidden="true" name="afgafgadfgf" vbProcedure="false">{#N/A,#N/A,FALSE,"Calc";#N/A,#N/A,FALSE,"Sensitivity";#N/A,#N/A,FALSE,"LT Earn.Dil.";#N/A,#N/A,FALSE,"Dil. AVP"}</definedName>
    <definedName function="false" hidden="true" name="afgeag" vbProcedure="false">{#N/A,#N/A,FALSE,"Calc";#N/A,#N/A,FALSE,"Sensitivity";#N/A,#N/A,FALSE,"LT Earn.Dil.";#N/A,#N/A,FALSE,"Dil. AVP"}</definedName>
    <definedName function="false" hidden="true" name="afggf" vbProcedure="false">{#N/A,#N/A,FALSE,"CBE";#N/A,#N/A,FALSE,"SWK"}</definedName>
    <definedName function="false" hidden="true" name="AFGH" vbProcedure="false">{#N/A,#N/A,FALSE,"SUMMARY"}</definedName>
    <definedName function="false" hidden="true" name="africa" vbProcedure="false">{#N/A,#N/A,FALSE,"CNS";#N/A,#N/A,FALSE,"Serz";#N/A,#N/A,FALSE,"Ace"}</definedName>
    <definedName function="false" hidden="false" name="afskr_soft" vbProcedure="false">#REF!</definedName>
    <definedName function="false" hidden="true" name="afñh" vbProcedure="false">{"CAP VOL",#N/A,FALSE,"CAPITAL";"CAP VAR",#N/A,FALSE,"CAPITAL";"CAP FIJ",#N/A,FALSE,"CAPITAL";"CAP CONS",#N/A,FALSE,"CAPITAL";"CAP DATA",#N/A,FALSE,"CAPITAL"}</definedName>
    <definedName function="false" hidden="true" name="ag" vbProcedure="false">{"detail",#N/A,FALSE,"mfg";"summary",#N/A,FALSE,"mfg"}</definedName>
    <definedName function="false" hidden="true" name="ag4h" vbProcedure="false">{"werbung",#N/A,FALSE,"GuV9900-0399";"betrieb",#N/A,FALSE,"GuV9900-0399";"personal",#N/A,FALSE,"GuV9900-0399";"tvg",#N/A,FALSE,"GuV9900-0399";"verwaltung",#N/A,FALSE,"GuV9900-0399"}</definedName>
    <definedName function="false" hidden="true" name="aga" vbProcedure="false">{#N/A,#N/A,FALSE,"Calc";#N/A,#N/A,FALSE,"Sensitivity";#N/A,#N/A,FALSE,"LT Earn.Dil.";#N/A,#N/A,FALSE,"Dil. AVP"}</definedName>
    <definedName function="false" hidden="true" name="agaerger" vbProcedure="false">{"Pound Sterling",#N/A,TRUE,"PPD";"Pound Sterling",#N/A,TRUE,"Anaquest";"Pound Sterling",#N/A,TRUE,"Delta";"Pound Sterling",#N/A,TRUE,"INO"}</definedName>
    <definedName function="false" hidden="true" name="agafdhsdh" vbProcedure="false">{#N/A,#N/A,FALSE,"REPORT"}</definedName>
    <definedName function="false" hidden="true" name="agasdfr" vbProcedure="false">{#N/A,#N/A,FALSE,"DIR-REP";#N/A,#N/A,FALSE,"AUD-REPORT";#N/A,#N/A,FALSE,"P7L&amp;BS";#N/A,#N/A,FALSE,"NOTES";#N/A,#N/A,FALSE,"FA";#N/A,#N/A,FALSE,"NOTES (2)";#N/A,#N/A,FALSE,"Schedule  IV";#N/A,#N/A,FALSE,"Schedule V"}</definedName>
    <definedName function="false" hidden="true" name="agcd22" vbProcedure="false">{#N/A,"PURCHM",FALSE,"Business Analysis";#N/A,"SPADD",FALSE,"Business Analysis"}</definedName>
    <definedName function="false" hidden="true" name="agcd22bd" vbProcedure="false">{#N/A,"PURCHM",FALSE,"Business Analysis";#N/A,"SPADD",FALSE,"Business Analysis"}</definedName>
    <definedName function="false" hidden="true" name="agdg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Agenda" vbProcedure="false">{"Sum WW A",#N/A,FALSE,"FY95SLS";"Sum WW B",#N/A,FALSE,"FY95SLS";"Sum US A",#N/A,FALSE,"FY95SLS";"Sum US B",#N/A,FALSE,"FY95SLS";"Sum US Bocg",#N/A,FALSE,"FY95SLS";"Sum Can A",#N/A,FALSE,"FY95SLS";"Sum Can B",#N/A,FALSE,"FY95SLS";"Sum Europe",#N/A,FALSE,"FY95SLS";"Sum Row",#N/A,FALSE,"FY95SLS"}</definedName>
    <definedName function="false" hidden="true" name="agfdg" vbProcedure="false">{#N/A,#N/A,FALSE,"PMW Gruppe 99_98";#N/A,#N/A,FALSE,"PMW KG 98_99";#N/A,#N/A,FALSE,"PMW Inc. 99_98";#N/A,#N/A,FALSE,"PMW VTECH 99_98";#N/A,#N/A,FALSE,"PMW Thail. 99_98";#N/A,#N/A,FALSE,"PMW Canada 99_98";#N/A,#N/A,FALSE,"Währungsabw. 99_98"}</definedName>
    <definedName function="false" hidden="true" name="agfsd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agseg" vbProcedure="false">{"Units A",#N/A,FALSE,"FY95SLS";"Units B",#N/A,FALSE,"FY95SLS"}</definedName>
    <definedName function="false" hidden="true" name="agsgaghgfj" vbProcedure="false">{#N/A,#N/A,FALSE,"Pharm";#N/A,#N/A,FALSE,"WWCM"}</definedName>
    <definedName function="false" hidden="true" name="ah" vbProcedure="false">{"detail",#N/A,FALSE,"mfg";"summary",#N/A,FALSE,"mfg"}</definedName>
    <definedName function="false" hidden="true" name="ahfhasdg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ahre" vbProcedure="false">{"Pound Sterling",#N/A,TRUE,"PPD";"Pound Sterling",#N/A,TRUE,"Anaquest";"Pound Sterling",#N/A,TRUE,"Delta";"Pound Sterling",#N/A,TRUE,"INO"}</definedName>
    <definedName function="false" hidden="true" name="ahrh" vbProcedure="false">{"Sum WW A",#N/A,FALSE,"FY95SLS";"Sum WW B",#N/A,FALSE,"FY95SLS";"Sum US A",#N/A,FALSE,"FY95SLS";"Sum US B",#N/A,FALSE,"FY95SLS";"Sum US Bocg",#N/A,FALSE,"FY95SLS";"Sum Can A",#N/A,FALSE,"FY95SLS";"Sum Can B",#N/A,FALSE,"FY95SLS";"Sum Europe",#N/A,FALSE,"FY95SLS";"Sum Row",#N/A,FALSE,"FY95SLS"}</definedName>
    <definedName function="false" hidden="true" name="AIP" vbProcedure="false">{#N/A,#N/A,FALSE,"Presentation by Unit";#N/A,#N/A,FALSE,"Presentation by BD";#N/A,#N/A,FALSE,"Presentation Split by Biggest U";#N/A,#N/A,FALSE,"Presentation Split by Area";#N/A,#N/A,FALSE,"Presentation Split by BD"}</definedName>
    <definedName function="false" hidden="true" name="aj" vbProcedure="false">{"detail",#N/A,FALSE,"mfg";"summary",#N/A,FALSE,"mfg"}</definedName>
    <definedName function="false" hidden="true" name="Ajax" vbProcedure="false">{#N/A,#N/A,TRUE,"Pro Forma";#N/A,#N/A,TRUE,"PF_Bal";#N/A,#N/A,TRUE,"PF_INC";#N/A,#N/A,TRUE,"CBE";#N/A,#N/A,TRUE,"SWK"}</definedName>
    <definedName function="false" hidden="true" name="ajbo" vbProcedure="false">{#N/A,#N/A,FALSE,"TB";#N/A,#N/A,FALSE,"AR";#N/A,#N/A,FALSE,"BS";#N/A,#N/A,FALSE,"PL";#N/A,#N/A,FALSE,"NOTES";#N/A,#N/A,FALSE,"NOTES (2)";#N/A,#N/A,FALSE,"NOTES (3)";#N/A,#N/A,FALSE,"TAXC.INDEX";#N/A,#N/A,FALSE,"Schedule I";#N/A,#N/A,FALSE,"DPL";#N/A,#N/A,FALSE,"Schedule IV";#N/A,#N/A,FALSE,"Adjustments"}</definedName>
    <definedName function="false" hidden="true" name="ajdja" vbProcedure="false">"c269"</definedName>
    <definedName function="false" hidden="true" name="ajs" vbProcedure="false">{#N/A,#N/A,FALSE,"DIR-REP";#N/A,#N/A,FALSE,"AUD-REPORT";#N/A,#N/A,FALSE,"P7L&amp;BS";#N/A,#N/A,FALSE,"NOTES";#N/A,#N/A,FALSE,"FA";#N/A,#N/A,FALSE,"NOTES (2)";#N/A,#N/A,FALSE,"Schedule  IV";#N/A,#N/A,FALSE,"Schedule V"}</definedName>
    <definedName function="false" hidden="true" name="ajseo" vbProcedure="false">{#N/A,#N/A,FALSE,"CONTENTS";#N/A,#N/A,FALSE,"DR";#N/A,#N/A,FALSE,"PL";#N/A,#N/A,FALSE,"BS";#N/A,#N/A,FALSE,"Cash Flow";#N/A,#N/A,FALSE,"NOTES";#N/A,#N/A,FALSE,"NOTES (FA)";#N/A,#N/A,FALSE,"Notes(3)";#N/A,#N/A,FALSE,"NOTES (4)";#N/A,#N/A,FALSE,"DP&amp;L";#N/A,#N/A,FALSE,"EXPENSES";#N/A,#N/A,FALSE,"EXPENSES-1"}</definedName>
    <definedName function="false" hidden="true" name="ale"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alex" vbProcedure="false">{#N/A,#N/A,FALSE,"REPORT"}</definedName>
    <definedName function="false" hidden="true" name="alexan" vbProcedure="false">{#N/A,#N/A,FALSE,"REPORT"}</definedName>
    <definedName function="false" hidden="true" name="alexssss" vbProcedure="false">#REF!</definedName>
    <definedName function="false" hidden="true" name="alpha" vbProcedure="false">{#N/A,#N/A,FALSE,"CHANGES";#N/A,#N/A,FALSE,"PROD SUMMARY";#N/A,#N/A,FALSE,"1995 PO SUM";#N/A,#N/A,FALSE,"1995 GEOG SUM";#N/A,#N/A,FALSE,"1996 PO SUM";#N/A,#N/A,FALSE,"1996 GEOG SUM"}</definedName>
    <definedName function="false" hidden="true" name="ana" vbProcedure="false">#REF!</definedName>
    <definedName function="false" hidden="true" name="anabel" vbProcedure="false">{#N/A,#N/A,FALSE,"Eastern";#N/A,#N/A,FALSE,"Western"}</definedName>
    <definedName function="false" hidden="true" name="anacarre0" vbProcedure="false">#REF!</definedName>
    <definedName function="false" hidden="true" name="anacarreta" vbProcedure="false">#REF!</definedName>
    <definedName function="false" hidden="true" name="analysis" vbProcedure="false">{"OEE OAP",#N/A,FALSE,"oap";"OEE APAP",#N/A,FALSE,"apap";"OEE nitros",#N/A,FALSE,"nitros"}</definedName>
    <definedName function="false" hidden="true" name="ancusto"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ando" vbProcedure="false">{"'下期集計（10.27迄・速報値）'!$Q$16"}</definedName>
    <definedName function="false" hidden="true" name="andy" vbProcedure="false">{#N/A,#N/A,FALSE,"REPORT"}</definedName>
    <definedName function="false" hidden="true" name="anise" vbProcedure="false">{"charmin",#N/A,FALSE,"FMAM II"}</definedName>
    <definedName function="false" hidden="true" name="anise2" vbProcedure="false">{"charmin",#N/A,FALSE,"FMAM II"}</definedName>
    <definedName function="false" hidden="true" name="anisev" vbProcedure="false">{"charmin",#N/A,FALSE,"FMAM II"}</definedName>
    <definedName function="false" hidden="true" name="anisey" vbProcedure="false">{"charmin",#N/A,FALSE,"FMAM II"}</definedName>
    <definedName function="false" hidden="true" name="ANM" vbProcedure="false">{"'comite'!$A$9:$G$44","'comite'!$A$1:$G$6"}</definedName>
    <definedName function="false" hidden="true" name="anna" vbProcedure="false">{"Area1",#N/A,TRUE,"Obiettivo";"Area2",#N/A,TRUE,"Dati per Direzione"}</definedName>
    <definedName function="false" hidden="true" name="Annexe7" vbProcedure="false">{#N/A,#N/A,TRUE,"Sommaire";#N/A,#N/A,TRUE,"Alcatel Alsthom";#N/A,#N/A,TRUE,"CFA_CIM_SOFICIM";#N/A,#N/A,TRUE,"GO_SIKL_Cemilec";#N/A,#N/A,TRUE,"CIVELEC_OR";#N/A,#N/A,TRUE,"Tréso nette";#N/A,#N/A,TRUE,"Passage";#N/A,#N/A,TRUE,"Résultat financier";#N/A,#N/A,TRUE,"Résultat financier (suite)";#N/A,#N/A,TRUE,"Résultat cumulé";#N/A,#N/A,TRUE,"Annexe 1";#N/A,#N/A,TRUE,"Annexe 2";#N/A,#N/A,TRUE,"Annexe 3";#N/A,#N/A,TRUE,"Annexe 4";#N/A,#N/A,TRUE,"Annexe 5"}</definedName>
    <definedName function="false" hidden="true" name="ansa" vbProcedure="false">#REF!</definedName>
    <definedName function="false" hidden="true" name="anscount" vbProcedure="false">1</definedName>
    <definedName function="false" hidden="true" name="aosl" vbProcedure="false">{#N/A,#N/A,FALSE,"TB";#N/A,#N/A,FALSE,"AR";#N/A,#N/A,FALSE,"BS";#N/A,#N/A,FALSE,"PL";#N/A,#N/A,FALSE,"NOTES";#N/A,#N/A,FALSE,"NOTES (2)";#N/A,#N/A,FALSE,"NOTES (3)";#N/A,#N/A,FALSE,"TAXC.INDEX";#N/A,#N/A,FALSE,"Schedule I";#N/A,#N/A,FALSE,"DPL";#N/A,#N/A,FALSE,"Schedule IV";#N/A,#N/A,FALSE,"Adjustments"}</definedName>
    <definedName function="false" hidden="true" name="aowa" vbProcedure="false">{#N/A,#N/A,FALSE,"TAXC.INDEX";#N/A,#N/A,FALSE,"Schedule I";#N/A,#N/A,FALSE,"Schedule  II";#N/A,#N/A,FALSE,"Schedule III";#N/A,#N/A,FALSE,"Schedule IV";#N/A,#N/A,FALSE,"Schedule IV (Cont'd)";#N/A,#N/A,FALSE,"Schedule V";#N/A,#N/A,FALSE,"Schedule VI";#N/A,#N/A,FALSE,"Schedule VII"}</definedName>
    <definedName function="false" hidden="true" name="aowverusnaoter" vbProcedure="false">#REF!</definedName>
    <definedName function="false" hidden="true" name="appendix4" vbProcedure="false">{#N/A,#N/A,TRUE,"Cover sheet";#N/A,#N/A,TRUE,"Summary";#N/A,#N/A,TRUE,"Key Assumptions";#N/A,#N/A,TRUE,"Profit &amp; Loss";#N/A,#N/A,TRUE,"Balance Sheet";#N/A,#N/A,TRUE,"Cashflow";#N/A,#N/A,TRUE,"IRR";#N/A,#N/A,TRUE,"Ratios";#N/A,#N/A,TRUE,"Debt analysis"}</definedName>
    <definedName function="false" hidden="true" name="apple" vbProcedure="false">{#N/A,#N/A,FALSE,"TB";#N/A,#N/A,FALSE,"AR";#N/A,#N/A,FALSE,"BS";#N/A,#N/A,FALSE,"PL";#N/A,#N/A,FALSE,"NOTES";#N/A,#N/A,FALSE,"NOTES (2)";#N/A,#N/A,FALSE,"NOTES (3)";#N/A,#N/A,FALSE,"TAXC.INDEX";#N/A,#N/A,FALSE,"Schedule I";#N/A,#N/A,FALSE,"DPL";#N/A,#N/A,FALSE,"Schedule IV";#N/A,#N/A,FALSE,"Adjustments"}</definedName>
    <definedName function="false" hidden="true" name="apple1" vbProcedure="false">{#N/A,#N/A,FALSE,"TB";#N/A,#N/A,FALSE,"AR";#N/A,#N/A,FALSE,"BS";#N/A,#N/A,FALSE,"PL";#N/A,#N/A,FALSE,"NOTES";#N/A,#N/A,FALSE,"NOTES (2)";#N/A,#N/A,FALSE,"NOTES (3)";#N/A,#N/A,FALSE,"TAXC.INDEX";#N/A,#N/A,FALSE,"Schedule I";#N/A,#N/A,FALSE,"DPL";#N/A,#N/A,FALSE,"Schedule IV";#N/A,#N/A,FALSE,"Adjustments"}</definedName>
    <definedName function="false" hidden="true" name="APWREFVEND_DATE" vbProcedure="false">"'=C6"</definedName>
    <definedName function="false" hidden="true" name="APWREFVFREQUENCY" vbProcedure="false">"'=C7"</definedName>
    <definedName function="false" hidden="true" name="APWREFVMAIN_TICKER" vbProcedure="false">"'=C9"</definedName>
    <definedName function="false" hidden="true" name="APWREFVMRK" vbProcedure="false">"'='Cover'!$C$8"</definedName>
    <definedName function="false" hidden="true" name="APWREFVPEER1" vbProcedure="false">"'=C14"</definedName>
    <definedName function="false" hidden="true" name="APWREFVPEER2" vbProcedure="false">"'=C15"</definedName>
    <definedName function="false" hidden="true" name="APWREFVPEER3" vbProcedure="false">"'=C16"</definedName>
    <definedName function="false" hidden="true" name="APWREFVPEER4" vbProcedure="false">"'=C17"</definedName>
    <definedName function="false" hidden="true" name="APWREFVPEER5" vbProcedure="false">"'=C18"</definedName>
    <definedName function="false" hidden="true" name="APWREFVSTART_DATE" vbProcedure="false">"'=C5"</definedName>
    <definedName function="false" hidden="true" name="aqw" vbProcedure="false">{#N/A,"PURCHM",FALSE,"Business Analysis";#N/A,"SPADD",FALSE,"Business Analysis"}</definedName>
    <definedName function="false" hidden="true" name="aqz" vbProcedure="false">{#N/A,#N/A,FALSE,"Eastern";#N/A,#N/A,FALSE,"Western"}</definedName>
    <definedName function="false" hidden="true" name="argag" vbProcedure="false">{"comps",#N/A,FALSE,"comps";"notes",#N/A,FALSE,"comps"}</definedName>
    <definedName function="false" hidden="true" name="argdfae" vbProcedure="false">{"werbung",#N/A,FALSE,"GuV9900-0399";"betrieb",#N/A,FALSE,"GuV9900-0399";"personal",#N/A,FALSE,"GuV9900-0399";"tvg",#N/A,FALSE,"GuV9900-0399";"verwaltung",#N/A,FALSE,"GuV9900-0399"}</definedName>
    <definedName function="false" hidden="true" name="ArmaPPA" vbProcedure="false">{#N/A,#N/A,FALSE,"Sheet8";#N/A,#N/A,FALSE,"Sheet7"}</definedName>
    <definedName function="false" hidden="true" name="art" vbProcedure="false">{"First Page",#N/A,FALSE,"Surfactants LBO";"Second Page",#N/A,FALSE,"Surfactants LBO"}</definedName>
    <definedName function="false" hidden="true" name="Artems" vbProcedure="false">{"First Page",#N/A,FALSE,"Surfactants LBO";"Second Page",#N/A,FALSE,"Surfactants LBO"}</definedName>
    <definedName function="false" hidden="true" name="Artic" vbProcedure="false">{"First Page",#N/A,FALSE,"Surfactants LBO";"Second Page",#N/A,FALSE,"Surfactants LBO"}</definedName>
    <definedName function="false" hidden="true" name="AS" vbProcedure="false">{#N/A,#N/A,FALSE,"Pharm";#N/A,#N/A,FALSE,"WWCM"}</definedName>
    <definedName function="false" hidden="true" name="AS2DocOpenMode" vbProcedure="false">"AS2DocumentEdit"</definedName>
    <definedName function="false" hidden="true" name="AS2DocOpenMode_1" vbProcedure="false">"AS2DocumentEdit"</definedName>
    <definedName function="false" hidden="true" name="AS2HasNoAutoHeaderFooter" vbProcedure="false">" "</definedName>
    <definedName function="false" hidden="true" name="AS2NamedRange" vbProcedure="false">5</definedName>
    <definedName function="false" hidden="true" name="AS2ReportLS" vbProcedure="false">1</definedName>
    <definedName function="false" hidden="true" name="AS2StaticLS" vbProcedure="false">#REF!</definedName>
    <definedName function="false" hidden="true" name="AS2SyncStepLS" vbProcedure="false">0</definedName>
    <definedName function="false" hidden="true" name="AS2TickmarkLS" vbProcedure="false">#REF!</definedName>
    <definedName function="false" hidden="true" name="AS2VersionLS" vbProcedure="false">300</definedName>
    <definedName function="false" hidden="true" name="asas" vbProcedure="false">{#N/A,#N/A,FALSE,"Pharm";#N/A,#N/A,FALSE,"WWCM"}</definedName>
    <definedName function="false" hidden="true" name="asazs" vbProcedure="false">{#N/A,#N/A,FALSE,"Valuation Assumptions";#N/A,#N/A,FALSE,"Summary";#N/A,#N/A,FALSE,"DCF";#N/A,#N/A,FALSE,"Valuation";#N/A,#N/A,FALSE,"WACC";#N/A,#N/A,FALSE,"UBVH";#N/A,#N/A,FALSE,"Free Cash Flow"}</definedName>
    <definedName function="false" hidden="true" name="ASC" vbProcedure="false">{#N/A,#N/A,FALSE,"3";#N/A,#N/A,FALSE,"5";#N/A,#N/A,FALSE,"6";#N/A,#N/A,FALSE,"8";#N/A,#N/A,FALSE,"10";#N/A,#N/A,FALSE,"13";#N/A,#N/A,FALSE,"14";#N/A,#N/A,FALSE,"15";#N/A,#N/A,FALSE,"16"}</definedName>
    <definedName function="false" hidden="true" name="asd" vbProcedure="false">{#N/A,#N/A,FALSE,"Pharm";#N/A,#N/A,FALSE,"WWCM"}</definedName>
    <definedName function="false" hidden="true" name="asdasd" vbProcedure="false">{"Units A",#N/A,FALSE,"FY95SLS";"Units B",#N/A,FALSE,"FY95SLS"}</definedName>
    <definedName function="false" hidden="true" name="asdasdas" vbProcedure="false">{"Pound Sterling",#N/A,TRUE,"PPD";"Pound Sterling",#N/A,TRUE,"Anaquest";"Pound Sterling",#N/A,TRUE,"Delta";"Pound Sterling",#N/A,TRUE,"INO"}</definedName>
    <definedName function="false" hidden="true" name="asdasdgdf" vbProcedure="false">{"Pound Sterling",#N/A,TRUE,"PPD";"Pound Sterling",#N/A,TRUE,"Anaquest";"Pound Sterling",#N/A,TRUE,"Delta";"Pound Sterling",#N/A,TRUE,"INO"}</definedName>
    <definedName function="false" hidden="true" name="asdd" vbProcedure="false">{#N/A,#N/A,FALSE,"Sheet1";#N/A,#N/A,FALSE,"Sheet2";#N/A,#N/A,FALSE,"Sheet3";#N/A,#N/A,FALSE,"Sheet4";#N/A,#N/A,FALSE,"Sheet5";#N/A,#N/A,FALSE,"Sheet6"}</definedName>
    <definedName function="false" hidden="true" name="asddsads" vbProcedure="false">{"Units A",#N/A,FALSE,"FY95SLS";"Units B",#N/A,FALSE,"FY95SLS"}</definedName>
    <definedName function="false" hidden="false" name="asdf" vbProcedure="false">#REF!</definedName>
    <definedName function="false" hidden="true" name="asdfa" vbProcedure="false">{#N/A,#N/A,FALSE,"Presentation by Unit";#N/A,#N/A,FALSE,"Presentation by BD";#N/A,#N/A,FALSE,"Presentation Split by Biggest U";#N/A,#N/A,FALSE,"Presentation Split by Area";#N/A,#N/A,FALSE,"Presentation Split by BD"}</definedName>
    <definedName function="false" hidden="true" name="asdfasdf" vbProcedure="false">{#N/A,#N/A,FALSE,"CBE";#N/A,#N/A,FALSE,"SWK"}</definedName>
    <definedName function="false" hidden="true" name="asdfasdfasdf" vbProcedure="false">{"SUMMARY",#N/A,TRUE,"SUMMARY";"compare",#N/A,TRUE,"Vs. Bus Plan";"ratios",#N/A,TRUE,"Ratios";"REVENUE",#N/A,TRUE,"Revenue";"expenses",#N/A,TRUE,"1996 budget";"payroll",#N/A,TRUE,"Payroll"}</definedName>
    <definedName function="false" hidden="true" name="asdfasdfdddd" vbProcedure="false">{"DCF","UPSIDE CASE",FALSE,"Sheet1";"DCF","BASE CASE",FALSE,"Sheet1";"DCF","DOWNSIDE CASE",FALSE,"Sheet1"}</definedName>
    <definedName function="false" hidden="true" name="asdfasdfsad" vbProcedure="false">{#N/A,#N/A,FALSE,"output";#N/A,#N/A,FALSE,"contrib";#N/A,#N/A,FALSE,"profile";#N/A,#N/A,FALSE,"comps"}</definedName>
    <definedName function="false" hidden="true" name="asdfdfddfsf"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asdfef" vbProcedure="false">{"werbung",#N/A,FALSE,"GuV9900-0399";"betrieb",#N/A,FALSE,"GuV9900-0399";"personal",#N/A,FALSE,"GuV9900-0399";"tvg",#N/A,FALSE,"GuV9900-0399";"verwaltung",#N/A,FALSE,"GuV9900-0399"}</definedName>
    <definedName function="false" hidden="true" name="asdff" vbProcedure="false">{#N/A,#N/A,FALSE,"CHANGES";#N/A,#N/A,FALSE,"PROD SUMMARY";#N/A,#N/A,FALSE,"1995 PO SUM";#N/A,#N/A,FALSE,"1995 GEOG SUM";#N/A,#N/A,FALSE,"1996 PO SUM";#N/A,#N/A,FALSE,"1996 GEOG SUM"}</definedName>
    <definedName function="false" hidden="true" name="asdfg" vbProcedure="false">{#N/A,#N/A,FALSE,"Pharm";#N/A,#N/A,FALSE,"WWCM"}</definedName>
    <definedName function="false" hidden="true" name="asdgahdfhth" vbProcedure="false">{#N/A,#N/A,FALSE,"REPORT"}</definedName>
    <definedName function="false" hidden="true" name="asdgayery" vbProcedure="false">{#N/A,#N/A,FALSE,"Pharm";#N/A,#N/A,FALSE,"WWCM"}</definedName>
    <definedName function="false" hidden="true" name="asdgfdytyet" vbProcedure="false">{#N/A,#N/A,FALSE,"REPORT"}</definedName>
    <definedName function="false" hidden="true" name="asdgtryukuio" vbProcedure="false">{#N/A,#N/A,FALSE,"REPORT"}</definedName>
    <definedName function="false" hidden="true" name="asdjgkl" vbProcedure="false">{#N/A,#N/A,FALSE,"Pharm";#N/A,#N/A,FALSE,"WWCM"}</definedName>
    <definedName function="false" hidden="true" name="asds" vbProcedure="false">{#N/A,#N/A,FALSE,"Umsatz CH";#N/A,#N/A,FALSE,"ER CH";#N/A,#N/A,FALSE,"EA CH (2) ";#N/A,#N/A,FALSE,"EA CH";#N/A,#N/A,FALSE,"EA CH (3) ";#N/A,#N/A,FALSE,"EA CH (4)";#N/A,#N/A,FALSE,"KA CH";#N/A,#N/A,FALSE,"KA CH  (2)";#N/A,#N/A,FALSE,"KA CH  (3)";#N/A,#N/A,FALSE,"KA CH (4)"}</definedName>
    <definedName function="false" hidden="true" name="ase" vbProcedure="false">{#VALUE!,#N/A,FALSE,0;#N/A,#N/A,FALSE,0;#N/A,#N/A,FALSE,0;#N/A,#N/A,FALSE,0;#N/A,#N/A,FALSE,0;#N/A,#N/A,FALSE,0;#N/A,#N/A,FALSE,0;#N/A,#N/A,FALSE,0;#N/A,#N/A,FALSE,0}</definedName>
    <definedName function="false" hidden="true" name="asedfdf" vbProcedure="false">{"apci",#N/A,FALSE,"Chem_CY";"eastman",#N/A,FALSE,"Eastman";"betz",#N/A,FALSE,"Betz";"great lakes",#N/A,FALSE,"Great_Lakes";"hercules",#N/A,FALSE,"Hercules Chem Seg Data";"rohm",#N/A,FALSE,"Rohm";"union carbide",#N/A,FALSE,"Union";"witco",#N/A,FALSE,"Witco"}</definedName>
    <definedName function="false" hidden="true" name="asf" vbProcedure="false">{"QTD",#N/A,FALSE,"SUM"}</definedName>
    <definedName function="false" hidden="true" name="asffghujyki" vbProcedure="false">{#N/A,#N/A,FALSE,"Pharm";#N/A,#N/A,FALSE,"WWCM"}</definedName>
    <definedName function="false" hidden="true" name="ASFSDFA" vbProcedure="false">{#N/A,#N/A,FALSE,"00 P&amp;L vs 99"}</definedName>
    <definedName function="false" hidden="true" name="asfsf" vbProcedure="false">{#N/A,#N/A,FALSE,"3";#N/A,#N/A,FALSE,"5";#N/A,#N/A,FALSE,"6";#N/A,#N/A,FALSE,"8";#N/A,#N/A,FALSE,"10";#N/A,#N/A,FALSE,"13";#N/A,#N/A,FALSE,"14";#N/A,#N/A,FALSE,"15";#N/A,#N/A,FALSE,"16"}</definedName>
    <definedName function="false" hidden="true" name="asgasdg" vbProcedure="false">{"Units A",#N/A,FALSE,"FY95SLS";"Units B",#N/A,FALSE,"FY95SLS"}</definedName>
    <definedName function="false" hidden="true" name="ash" vbProcedure="false">{"Pound Sterling",#N/A,TRUE,"PPD";"Pound Sterling",#N/A,TRUE,"Anaquest";"Pound Sterling",#N/A,TRUE,"Delta";"Pound Sterling",#N/A,TRUE,"INO"}</definedName>
    <definedName function="false" hidden="true" name="askh" vbProcedure="false">{#N/A,#N/A,FALSE,"Annexe 1 EURO";#N/A,#N/A,FALSE,"Annexe 2 EURO";#N/A,#N/A,FALSE,"Annexe 3 EURO";#N/A,#N/A,FALSE,"Annexe 4 EURO";#N/A,#N/A,FALSE,"Annexe 5 EURO"}</definedName>
    <definedName function="false" hidden="true" name="asqq" vbProcedure="false">{"Performance Details",#N/A,FALSE,"Current Yr";"Performance Details",#N/A,FALSE,"Budget";"Performance Details",#N/A,FALSE,"Prior Year"}</definedName>
    <definedName function="false" hidden="true" name="ass" vbProcedure="false">{#N/A,#N/A,TRUE,"COVER";#N/A,#N/A,TRUE,"DIR";#N/A,#N/A,TRUE,"AUDIT"}</definedName>
    <definedName function="false" hidden="true" name="ASSA" vbProcedure="false">{#N/A,#N/A,FALSE,"1";#N/A,#N/A,FALSE,"2";#N/A,#N/A,FALSE,"16 - 17";#N/A,#N/A,FALSE,"18 - 19";#N/A,#N/A,FALSE,"26";#N/A,#N/A,FALSE,"27";#N/A,#N/A,FALSE,"28"}</definedName>
    <definedName function="false" hidden="true" name="ASSCCC" vbProcedure="false">{#N/A,#N/A,FALSE,"3";#N/A,#N/A,FALSE,"5";#N/A,#N/A,FALSE,"6";#N/A,#N/A,FALSE,"8";#N/A,#N/A,FALSE,"10";#N/A,#N/A,FALSE,"13";#N/A,#N/A,FALSE,"14";#N/A,#N/A,FALSE,"15";#N/A,#N/A,FALSE,"16"}</definedName>
    <definedName function="false" hidden="true" name="assl" vbProcedure="false">{#N/A,#N/A,FALSE,"CONTENTS";#N/A,#N/A,FALSE,"DR";#N/A,#N/A,FALSE,"PL";#N/A,#N/A,FALSE,"BS";#N/A,#N/A,FALSE,"Cash Flow";#N/A,#N/A,FALSE,"NOTES";#N/A,#N/A,FALSE,"NOTES (FA)";#N/A,#N/A,FALSE,"Notes(3)";#N/A,#N/A,FALSE,"NOTES (4)";#N/A,#N/A,FALSE,"DP&amp;L";#N/A,#N/A,FALSE,"EXPENSES";#N/A,#N/A,FALSE,"EXPENSES-1"}</definedName>
    <definedName function="false" hidden="true" name="aswe" vbProcedure="false">{"TXO2N2_GP",#N/A,FALSE,"MTHLYGP";"TXH2_GP",#N/A,FALSE,"MTHLYGP";"LOUIS_GP",#N/A,FALSE,"MTHLYGP";"H2_GP",#N/A,FALSE,"MTHLYGP";"O2N2_GP",#N/A,FALSE,"MTHLYGP";"PACKAGE_GP",#N/A,FALSE,"MTHLYGP";"OTHER_GP",#N/A,FALSE,"MTHLYGP"}</definedName>
    <definedName function="false" hidden="true" name="aszaz" vbProcedure="false">{#N/A,#N/A,FALSE,"ACQ_GRAPHS";#N/A,#N/A,FALSE,"T_1 GRAPHS";#N/A,#N/A,FALSE,"T_2 GRAPHS";#N/A,#N/A,FALSE,"COMB_GRAPHS"}</definedName>
    <definedName function="false" hidden="true" name="aszazs"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atr" vbProcedure="false">increment_piece</definedName>
    <definedName function="false" hidden="true" name="ATSeXToEUR" vbProcedure="false">1/eurextoats</definedName>
    <definedName function="false" hidden="true" name="ATSEXToEURO" vbProcedure="false">#N/A</definedName>
    <definedName function="false" hidden="true" name="att" vbProcedure="false">{#N/A,#N/A,FALSE,"DIR-REP";#N/A,#N/A,FALSE,"AUD-REPORT";#N/A,#N/A,FALSE,"P7L&amp;BS";#N/A,#N/A,FALSE,"NOTES";#N/A,#N/A,FALSE,"FA";#N/A,#N/A,FALSE,"NOTES (2)";#N/A,#N/A,FALSE,"Schedule  IV";#N/A,#N/A,FALSE,"Schedule V"}</definedName>
    <definedName function="false" hidden="true" name="AUNA" vbProcedure="false">{"Informes",#N/A,FALSE,"CA";"Informes",#N/A,FALSE,"CN";"Informes",#N/A,FALSE,"INVERSIONES";"Informes",#N/A,FALSE,"CN Oficial";"Informes",#N/A,FALSE,"CA Oficial";"Informes",#N/A,FALSE,"Res Datos Areas"}</definedName>
    <definedName function="false" hidden="true" name="avdd" vbProcedure="false">{#N/A,#N/A,FALSE,"Calc";#N/A,#N/A,FALSE,"Sensitivity";#N/A,#N/A,FALSE,"LT Earn.Dil.";#N/A,#N/A,FALSE,"Dil. AVP"}</definedName>
    <definedName function="false" hidden="true" name="awq" vbProcedure="false">{"YTD",#N/A,FALSE,"SUM"}</definedName>
    <definedName function="false" hidden="true" name="awqe" vbProcedure="false">{"net assets",#N/A,FALSE,"summary";"asset turnover",#N/A,FALSE,"summary";"orona",#N/A,FALSE,"summary"}</definedName>
    <definedName function="false" hidden="true" name="awqx" vbProcedure="false">{"Comp_of_Price_Effect",#N/A,FALSE,"QTRDPVAR"}</definedName>
    <definedName function="false" hidden="true" name="AX" vbProcedure="false">{#N/A,#N/A,FALSE,"Pharm";#N/A,#N/A,FALSE,"WWCM"}</definedName>
    <definedName function="false" hidden="true" name="axs" vbProcedure="false">{"QTD",#N/A,FALSE,"SUM"}</definedName>
    <definedName function="false" hidden="true" name="axz" vbProcedure="false">{#N/A,"PURCHM",FALSE,"Business Analysis";#N/A,"SPADD",FALSE,"Business Analysis"}</definedName>
    <definedName function="false" hidden="true" name="ayman" vbProcedure="false">{#N/A,#N/A,FALSE,"1";#N/A,#N/A,FALSE,"2";#N/A,#N/A,FALSE,"16 - 17";#N/A,#N/A,FALSE,"18 - 19";#N/A,#N/A,FALSE,"26";#N/A,#N/A,FALSE,"27";#N/A,#N/A,FALSE,"28"}</definedName>
    <definedName function="false" hidden="true" name="ayman1" vbProcedure="false">{#N/A,#N/A,FALSE,"Pharm";#N/A,#N/A,FALSE,"WWCM"}</definedName>
    <definedName function="false" hidden="true" name="ayman2" vbProcedure="false">{#N/A,#N/A,FALSE,"Pharm";#N/A,#N/A,FALSE,"WWCM"}</definedName>
    <definedName function="false" hidden="true" name="ayman7" vbProcedure="false">{#N/A,#N/A,FALSE,"REPORT"}</definedName>
    <definedName function="false" hidden="true" name="ayman8" vbProcedure="false">{#N/A,#N/A,FALSE,"REPORT"}</definedName>
    <definedName function="false" hidden="true" name="az" vbProcedure="false">{#N/A,#N/A,FALSE,"Pharm";#N/A,#N/A,FALSE,"WWCM"}</definedName>
    <definedName function="false" hidden="true" name="aze" vbProcedure="false">IF(COUNTA(#REF!)=0,0,INDEX(#REF!,MATCH(ROW(#REF!),#REF!,TRUE())))+1</definedName>
    <definedName function="false" hidden="true" name="azeazr" vbProcedure="false">{#N/A,#N/A,FALSE,"Sales Graph";#N/A,#N/A,FALSE,"BUC Graph";#N/A,#N/A,FALSE,"P&amp;L - YTD"}</definedName>
    <definedName function="false" hidden="true" name="AZEEDFG" vbProcedure="false">#REF!</definedName>
    <definedName function="false" hidden="true" name="AZER" vbProcedure="false">#REF!</definedName>
    <definedName function="false" hidden="true" name="azerety" vbProcedure="false">{#N/A,#N/A,FALSE,"Pharm";#N/A,#N/A,FALSE,"WWCM"}</definedName>
    <definedName function="false" hidden="true" name="azerty" vbProcedure="false">{#N/A,#N/A,FALSE,"INPUTS";#N/A,#N/A,FALSE,"PROFORMA BSHEET";#N/A,#N/A,FALSE,"COMBINED";#N/A,#N/A,FALSE,"HIGH YIELD";#N/A,#N/A,FALSE,"COMB_GRAPHS"}</definedName>
    <definedName function="false" hidden="true" name="azsa"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azsaz" vbProcedure="false">{#N/A,#N/A,FALSE,"INPUTS";#N/A,#N/A,FALSE,"PROFORMA BSHEET";#N/A,#N/A,FALSE,"COMBINED";#N/A,#N/A,FALSE,"ACQUIROR";#N/A,#N/A,FALSE,"TARGET 1";#N/A,#N/A,FALSE,"TARGET 2";#N/A,#N/A,FALSE,"HIGH YIELD";#N/A,#N/A,FALSE,"OVERFUND"}</definedName>
    <definedName function="false" hidden="true" name="azsazs" vbProcedure="false">{#N/A,#N/A,FALSE,"INPUTS";#N/A,#N/A,FALSE,"PROFORMA BSHEET";#N/A,#N/A,FALSE,"COMBINED";#N/A,#N/A,FALSE,"HIGH YIELD";#N/A,#N/A,FALSE,"COMB_GRAPHS"}</definedName>
    <definedName function="false" hidden="true" name="azzre" vbProcedure="false">#REF!</definedName>
    <definedName function="false" hidden="true" name="A_1" vbProcedure="false">{#N/A,#N/A,FALSE,"Bilan"}</definedName>
    <definedName function="false" hidden="true" name="añ" vbProcedure="false">{"Performance Details",#N/A,FALSE,"Current Yr";"Performance Details",#N/A,FALSE,"Budget";"Performance Details",#N/A,FALSE,"Prior Year"}</definedName>
    <definedName function="false" hidden="true" name="b" vbProcedure="false">{"histincome",#N/A,FALSE,"hyfins";"closing balance",#N/A,FALSE,"hyfins"}</definedName>
    <definedName function="false" hidden="true" name="bacd1101bd" vbProcedure="false">{#N/A,"PURCHM",FALSE,"Business Analysis";#N/A,"SPADD",FALSE,"Business Analysis"}</definedName>
    <definedName function="false" hidden="true" name="bacd31" vbProcedure="false">{#N/A,"PURCHM",FALSE,"Business Analysis";#N/A,"SPADD",FALSE,"Business Analysis"}</definedName>
    <definedName function="false" hidden="true" name="bacd31bd" vbProcedure="false">{#N/A,"PURCHM",FALSE,"Business Analysis";#N/A,"SPADD",FALSE,"Business Analysis"}</definedName>
    <definedName function="false" hidden="true" name="bad" vbProcedure="false">{#N/A,#N/A,FALSE,"Proj Cost";#N/A,#N/A,FALSE,"Fair Scenario";#N/A,#N/A,FALSE,"Wonderful Scenario";#N/A,#N/A,FALSE,"Awful Scenario"}</definedName>
    <definedName function="false" hidden="true" name="badfga"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BALANCE" vbProcedure="false">"997..6595"</definedName>
    <definedName function="false" hidden="true" name="bb" vbProcedure="false">{"vol data",#N/A,FALSE,"Datasheet";"vol graph",#N/A,FALSE,"Volume";"price data",#N/A,FALSE,"Datasheet";"price graph",#N/A,FALSE,"Price";"dp data",#N/A,FALSE,"Datasheet";"dp graph",#N/A,FALSE,"DirectProfit"}</definedName>
    <definedName function="false" hidden="true" name="bb.gb._98" vbProcedure="false">{#N/A,#N/A,FALSE,"Umsatz 99";#N/A,#N/A,FALSE,"ER 99 "}</definedName>
    <definedName function="false" hidden="true" name="bb.gb._99" vbProcedure="false">{#N/A,#N/A,FALSE,"Umsatz 99";#N/A,#N/A,FALSE,"ER 99 "}</definedName>
    <definedName function="false" hidden="true" name="bbb" vbProcedure="false">{#N/A,#N/A,FALSE,"Pharm";#N/A,#N/A,FALSE,"WWCM"}</definedName>
    <definedName function="false" hidden="true" name="bbbb" vbProcedure="false">{#N/A,#N/A,FALSE,"REPORT"}</definedName>
    <definedName function="false" hidden="true" name="bbbbb" vbProcedure="false">{#N/A,#N/A,FALSE,"Pharm";#N/A,#N/A,FALSE,"WWCM"}</definedName>
    <definedName function="false" hidden="true" name="BBBBBB" vbProcedure="false">{#N/A,#N/A,FALSE,"REPORT"}</definedName>
    <definedName function="false" hidden="true" name="bbbbbbb" vbProcedure="false">{"detail",#N/A,FALSE,"mfg";"summary",#N/A,FALSE,"mfg"}</definedName>
    <definedName function="false" hidden="true" name="bbbbbbbb" vbProcedure="false">{"Pound Sterling",#N/A,TRUE,"PPD";"Pound Sterling",#N/A,TRUE,"Anaquest";"Pound Sterling",#N/A,TRUE,"Delta";"Pound Sterling",#N/A,TRUE,"INO"}</definedName>
    <definedName function="false" hidden="true" name="BBBBBBBBB" vbProcedure="false">{#N/A,#N/A,FALSE,"REPORT"}</definedName>
    <definedName function="false" hidden="true" name="bbbbbbbbbb" vbProcedure="false">{"detail",#N/A,FALSE,"mfg";"summary",#N/A,FALSE,"mfg"}</definedName>
    <definedName function="false" hidden="true" name="bbbbbbbbbbbbb" vbProcedure="false">{#N/A,#N/A,FALSE,"Pharm";#N/A,#N/A,FALSE,"WWCM"}</definedName>
    <definedName function="false" hidden="true" name="bbbbbbbbbbbbbbbbbbbb" vbProcedure="false">{"detail",#N/A,FALSE,"mfg";"summary",#N/A,FALSE,"mfg"}</definedName>
    <definedName function="false" hidden="true" name="bbvcx" vbProcedure="false">{#N/A,#N/A,FALSE,"Umsatz HM";#N/A,#N/A,FALSE,"ER HM";#N/A,#N/A,FALSE,"EA HM  (2)";#N/A,#N/A,FALSE,"EA HM ";#N/A,#N/A,FALSE,"EA HM  (4)";#N/A,#N/A,FALSE,"EA HM  (3)";#N/A,#N/A,FALSE,"KA HM  (2)";#N/A,#N/A,FALSE,"KA HM";#N/A,#N/A,FALSE,"KA HM  (3)";#N/A,#N/A,FALSE,"KA HM (4)"}</definedName>
    <definedName function="false" hidden="true" name="bb_Qzg5OTUyODMzNDY4NEVCMU" vbProcedure="false">146.33110182756</definedName>
    <definedName function="false" hidden="true" name="bc" vbProcedure="false">{#N/A,#N/A,FALSE,"Presentation by Unit";#N/A,#N/A,FALSE,"Presentation by BD";#N/A,#N/A,FALSE,"Presentation Split by Biggest U";#N/A,#N/A,FALSE,"Presentation Split by Area";#N/A,#N/A,FALSE,"Presentation Split by BD"}</definedName>
    <definedName function="false" hidden="true" name="bcb" vbProcedure="false">{#N/A,#N/A,FALSE,"3";#N/A,#N/A,FALSE,"5";#N/A,#N/A,FALSE,"6";#N/A,#N/A,FALSE,"8";#N/A,#N/A,FALSE,"10";#N/A,#N/A,FALSE,"13";#N/A,#N/A,FALSE,"14";#N/A,#N/A,FALSE,"15";#N/A,#N/A,FALSE,"16"}</definedName>
    <definedName function="false" hidden="true" name="bcd" vbProcedure="false">{"detail",#N/A,FALSE,"mfg";"summary",#N/A,FALSE,"mfg"}</definedName>
    <definedName function="false" hidden="true" name="bcvb" vbProcedure="false">{#N/A,#N/A,FALSE,"3";#N/A,#N/A,FALSE,"5";#N/A,#N/A,FALSE,"6";#N/A,#N/A,FALSE,"8";#N/A,#N/A,FALSE,"10";#N/A,#N/A,FALSE,"13";#N/A,#N/A,FALSE,"14";#N/A,#N/A,FALSE,"15";#N/A,#N/A,FALSE,"16"}</definedName>
    <definedName function="false" hidden="true" name="bdfga" vbProcedure="false">{"Pound Sterling",#N/A,TRUE,"PPD";"Pound Sterling",#N/A,TRUE,"Anaquest";"Pound Sterling",#N/A,TRUE,"Delta";"Pound Sterling",#N/A,TRUE,"INO"}</definedName>
    <definedName function="false" hidden="true" name="BEFeXToEUR" vbProcedure="false">1/eurextobef</definedName>
    <definedName function="false" hidden="true" name="belnew" vbProcedure="false">{"IS",#N/A,FALSE,"IS";"RPTIS",#N/A,FALSE,"RPTIS";"STATS",#N/A,FALSE,"STATS";"CELL",#N/A,FALSE,"CELL";"BS",#N/A,FALSE,"BS"}</definedName>
    <definedName function="false" hidden="true" name="bernd" vbProcedure="false">{#N/A,#N/A,FALSE,"Presentation by Unit";#N/A,#N/A,FALSE,"Presentation by BD";#N/A,#N/A,FALSE,"Presentation Split by Biggest U";#N/A,#N/A,FALSE,"Presentation Split by Area";#N/A,#N/A,FALSE,"Presentation Split by BD"}</definedName>
    <definedName function="false" hidden="true" name="bestia" vbProcedure="false">{"Bilancio non rettificato",#N/A,FALSE,"A";"Bilancio Rettifiche",#N/A,FALSE,"B";"Bilancio Rettifiche",#N/A,FALSE,"C";"movimenti",#N/A,FALSE,"D";"amm",#N/A,FALSE,"D";"cpl",#N/A,FALSE,"D";"cola",#N/A,FALSE,"D";"imposte",#N/A,FALSE,"D"}</definedName>
    <definedName function="false" hidden="true" name="BETA" vbProcedure="false">{#N/A,#N/A,FALSE,"CHANGES";#N/A,#N/A,FALSE,"PROD SUMMARY";#N/A,#N/A,FALSE,"1995 PO SUM";#N/A,#N/A,FALSE,"1995 GEOG SUM";#N/A,#N/A,FALSE,"1996 PO SUM";#N/A,#N/A,FALSE,"1996 GEOG SUM"}</definedName>
    <definedName function="false" hidden="true" name="bfags" vbProcedure="false">{"Pound Sterling",#N/A,TRUE,"PPD";"Pound Sterling",#N/A,TRUE,"Anaquest";"Pound Sterling",#N/A,TRUE,"Delta";"Pound Sterling",#N/A,TRUE,"INO"}</definedName>
    <definedName function="false" hidden="true" name="bfgh" vbProcedure="false">{"Units A",#N/A,FALSE,"FY95SLS";"Units B",#N/A,FALSE,"FY95SLS"}</definedName>
    <definedName function="false" hidden="true" name="BFL_Dropdown" vbProcedure="false">#REF!</definedName>
    <definedName function="false" hidden="true" name="bg" vbProcedure="false">{"net assets",#N/A,FALSE,"summary";"asset turnover",#N/A,FALSE,"summary";"orona",#N/A,FALSE,"summary"}</definedName>
    <definedName function="false" hidden="true" name="bgf" vbProcedure="false">{"Sum WW A",#N/A,FALSE,"FY95SLS";"Sum WW B",#N/A,FALSE,"FY95SLS";"Sum US A",#N/A,FALSE,"FY95SLS";"Sum US B",#N/A,FALSE,"FY95SLS";"Sum US Bocg",#N/A,FALSE,"FY95SLS";"Sum Can A",#N/A,FALSE,"FY95SLS";"Sum Can B",#N/A,FALSE,"FY95SLS";"Sum Europe",#N/A,FALSE,"FY95SLS";"Sum Row",#N/A,FALSE,"FY95SLS"}</definedName>
    <definedName function="false" hidden="true" name="bgf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bgfhwrt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BG_Del" vbProcedure="false">15</definedName>
    <definedName function="false" hidden="true" name="BG_Ins" vbProcedure="false">4</definedName>
    <definedName function="false" hidden="true" name="BG_Mod" vbProcedure="false">6</definedName>
    <definedName function="false" hidden="true" name="bh" vbProcedure="false">{#N/A,#N/A,FALSE,"Title Page";#N/A,#N/A,FALSE,"Conclusions";#N/A,#N/A,FALSE,"Assum.";#N/A,#N/A,FALSE,"Sun  DCF-WC-Dep";#N/A,#N/A,FALSE,"MarketValue";#N/A,#N/A,FALSE,"BalSheet";#N/A,#N/A,FALSE,"WACC";#N/A,#N/A,FALSE,"PC+ Info.";#N/A,#N/A,FALSE,"PC+Info_2"}</definedName>
    <definedName function="false" hidden="true" name="BHGJ" vbProcedure="false">{"stepel",#N/A,FALSE,"AHFSTEP"}</definedName>
    <definedName function="false" hidden="true" name="bhljkbv" vbProcedure="false">{#N/A,#N/A,FALSE,"TB";#N/A,#N/A,FALSE,"DR";#N/A,#N/A,FALSE,"AR";#N/A,#N/A,FALSE,"BS";#N/A,#N/A,FALSE,"PL";#N/A,#N/A,FALSE,"NOTES";#N/A,#N/A,FALSE,"NOTES (2)";#N/A,#N/A,FALSE,"NOTES (3)";#N/A,#N/A,FALSE,"DPL";#N/A,#N/A,FALSE,"DPL"}</definedName>
    <definedName function="false" hidden="true" name="bikb" vbProcedure="false">{#N/A,#N/A,FALSE,"TB";#N/A,#N/A,FALSE,"AR";#N/A,#N/A,FALSE,"BS";#N/A,#N/A,FALSE,"PL";#N/A,#N/A,FALSE,"NOTES";#N/A,#N/A,FALSE,"NOTES (2)";#N/A,#N/A,FALSE,"NOTES (3)";#N/A,#N/A,FALSE,"TAXC.INDEX";#N/A,#N/A,FALSE,"Schedule I";#N/A,#N/A,FALSE,"DPL";#N/A,#N/A,FALSE,"Schedule IV";#N/A,#N/A,FALSE,"Adjustments"}</definedName>
    <definedName function="false" hidden="true" name="Bilan2004V2" vbProcedure="false">{#N/A,#N/A,FALSE,"INPUTS";#N/A,#N/A,FALSE,"PROFORMA BSHEET";#N/A,#N/A,FALSE,"COMBINED";#N/A,#N/A,FALSE,"ACQUIROR";#N/A,#N/A,FALSE,"TARGET 1";#N/A,#N/A,FALSE,"TARGET 2";#N/A,#N/A,FALSE,"HIGH YIELD";#N/A,#N/A,FALSE,"OVERFUND"}</definedName>
    <definedName function="false" hidden="true" name="Billie"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bimdk2" vbProcedure="false">{#N/A,"PURADD",FALSE,"Business Analysis";#N/A,"PURSPP",FALSE,"Business Analysis";#N/A,"CTGIND",FALSE,"Business Analysis";#N/A,"PURCHM",FALSE,"Business Analysis";#N/A,"SPADD",FALSE,"Business Analysis";#N/A,"EPOXY",FALSE,"Business Analysis";#N/A,"PURPER",FALSE,"Business Analysis"}</definedName>
    <definedName function="false" hidden="true" name="bimw09" vbProcedure="false">{#N/A,"PURADD",FALSE,"Business Analysis";#N/A,"PURSPP",FALSE,"Business Analysis";#N/A,"CTGIND",FALSE,"Business Analysis";#N/A,"PURCHM",FALSE,"Business Analysis";#N/A,"SPADD",FALSE,"Business Analysis";#N/A,"EPOXY",FALSE,"Business Analysis";#N/A,"PURPER",FALSE,"Business Analysis"}</definedName>
    <definedName function="false" hidden="true" name="Birth_Rate" vbProcedure="false">#REF!</definedName>
    <definedName function="false" hidden="true" name="bjafo" vbProcedure="false">{#N/A,#N/A,FALSE,"DIR-REP";#N/A,#N/A,FALSE,"AUD-REPORT";#N/A,#N/A,FALSE,"P7L&amp;BS";#N/A,#N/A,FALSE,"NOTES";#N/A,#N/A,FALSE,"FA";#N/A,#N/A,FALSE,"NOTES (2)";#N/A,#N/A,FALSE,"Schedule  IV";#N/A,#N/A,FALSE,"Schedule V"}</definedName>
    <definedName function="false" hidden="true" name="bjo" vbProcedure="false">{#N/A,#N/A,FALSE,"TB";#N/A,#N/A,FALSE,"AR";#N/A,#N/A,FALSE,"BS";#N/A,#N/A,FALSE,"PL";#N/A,#N/A,FALSE,"NOTES";#N/A,#N/A,FALSE,"NOTES (2)";#N/A,#N/A,FALSE,"NOTES (3)";#N/A,#N/A,FALSE,"TAXC.INDEX";#N/A,#N/A,FALSE,"Schedule I";#N/A,#N/A,FALSE,"DPL";#N/A,#N/A,FALSE,"Schedule IV";#N/A,#N/A,FALSE,"Adjustments"}</definedName>
    <definedName function="false" hidden="true" name="bjoafjawe" vbProcedure="false">{#N/A,#N/A,FALSE,"TB";#N/A,#N/A,FALSE,"DR";#N/A,#N/A,FALSE,"AR";#N/A,#N/A,FALSE,"PL";#N/A,#N/A,FALSE,"BS";#N/A,#N/A,FALSE,"NOTES";#N/A,#N/A,FALSE,"NOTES (2)";#N/A,#N/A,FALSE,"NOTES (3)";#N/A,#N/A,FALSE,"DPL";#N/A,#N/A,FALSE,"TAXC.INDEX";#N/A,#N/A,FALSE,"Schedule I";#N/A,#N/A,FALSE,"Adjustments"}</definedName>
    <definedName function="false" hidden="true" name="bjos" vbProcedure="false">{#N/A,#N/A,FALSE,"DIR-REP";#N/A,#N/A,FALSE,"AUD-REPORT";#N/A,#N/A,FALSE,"P7L&amp;BS";#N/A,#N/A,FALSE,"NOTES";#N/A,#N/A,FALSE,"FA";#N/A,#N/A,FALSE,"NOTES (2)";#N/A,#N/A,FALSE,"Schedule  IV";#N/A,#N/A,FALSE,"Schedule V"}</definedName>
    <definedName function="false" hidden="true" name="bjosds" vbProcedure="false">{#N/A,#N/A,FALSE,"TAXC.INDEX";#N/A,#N/A,FALSE,"Schedule I";#N/A,#N/A,FALSE,"Schedule  II";#N/A,#N/A,FALSE,"Schedule III";#N/A,#N/A,FALSE,"Schedule IV";#N/A,#N/A,FALSE,"Schedule IV (Cont'd)";#N/A,#N/A,FALSE,"Schedule V";#N/A,#N/A,FALSE,"Schedule VI";#N/A,#N/A,FALSE,"Schedule VII"}</definedName>
    <definedName function="false" hidden="true" name="bjosl" vbProcedure="false">{#N/A,#N/A,FALSE,"TB";#N/A,#N/A,FALSE,"AR";#N/A,#N/A,FALSE,"BS";#N/A,#N/A,FALSE,"PL";#N/A,#N/A,FALSE,"NOTES";#N/A,#N/A,FALSE,"NOTES (2)";#N/A,#N/A,FALSE,"NOTES (3)";#N/A,#N/A,FALSE,"TAXC.INDEX";#N/A,#N/A,FALSE,"Schedule I";#N/A,#N/A,FALSE,"DPL";#N/A,#N/A,FALSE,"Schedule IV";#N/A,#N/A,FALSE,"Adjustments"}</definedName>
    <definedName function="false" hidden="true" name="bjosle" vbProcedure="false">{#N/A,#N/A,FALSE,"TB";#N/A,#N/A,FALSE,"DR";#N/A,#N/A,FALSE,"AR";#N/A,#N/A,FALSE,"BS";#N/A,#N/A,FALSE,"PL";#N/A,#N/A,FALSE,"NOTES";#N/A,#N/A,FALSE,"NOTES (2)";#N/A,#N/A,FALSE,"NOTES (3)";#N/A,#N/A,FALSE,"DPL";#N/A,#N/A,FALSE,"DPL"}</definedName>
    <definedName function="false" hidden="true" name="bjoss" vbProcedure="false">{#N/A,#N/A,FALSE,"TAXC.INDEX";#N/A,#N/A,FALSE,"Schedule I";#N/A,#N/A,FALSE,"Schedule  II";#N/A,#N/A,FALSE,"Schedule III";#N/A,#N/A,FALSE,"Schedule IV";#N/A,#N/A,FALSE,"Schedule IV (Cont'd)";#N/A,#N/A,FALSE,"Schedule V";#N/A,#N/A,FALSE,"Schedule VI";#N/A,#N/A,FALSE,"Schedule VII"}</definedName>
    <definedName function="false" hidden="true" name="bjs" vbProcedure="false">{#N/A,#N/A,TRUE,"COVER";#N/A,#N/A,TRUE,"DIR";#N/A,#N/A,TRUE,"AUDIT"}</definedName>
    <definedName function="false" hidden="true" name="bkb" vbProcedure="false">{#N/A,#N/A,TRUE,"COVER";#N/A,#N/A,TRUE,"DIR";#N/A,#N/A,TRUE,"AUDIT"}</definedName>
    <definedName function="false" hidden="true" name="bkiuygv" vbProcedure="false">{#N/A,#N/A,FALSE,"DIR-REP";#N/A,#N/A,FALSE,"AUD-REPORT";#N/A,#N/A,FALSE,"P7L&amp;BS";#N/A,#N/A,FALSE,"NOTES";#N/A,#N/A,FALSE,"FA";#N/A,#N/A,FALSE,"NOTES (2)";#N/A,#N/A,FALSE,"Schedule  IV";#N/A,#N/A,FALSE,"Schedule V"}</definedName>
    <definedName function="false" hidden="true" name="bkls" vbProcedure="false">{#N/A,"PURCHM",FALSE,"Business Analysis";#N/A,"SPADD",FALSE,"Business Analysis"}</definedName>
    <definedName function="false" hidden="true" name="Blah" vbProcedure="false">#REF!</definedName>
    <definedName function="false" hidden="true" name="blahblah" vbProcedure="false">#REF!</definedName>
    <definedName function="false" hidden="true" name="blahblah2" vbProcedure="false">#REF!</definedName>
    <definedName function="false" hidden="true" name="blahblah3" vbProcedure="false">#REF!</definedName>
    <definedName function="false" hidden="true" name="blahblah4" vbProcedure="false">#REF!</definedName>
    <definedName function="false" hidden="tru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true" name="BLPB1" vbProcedure="false">#REF!</definedName>
    <definedName function="false" hidden="true" name="BLPH1" vbProcedure="false">#REF!</definedName>
    <definedName function="false" hidden="true" name="BLPH10" vbProcedure="false">#REF!</definedName>
    <definedName function="false" hidden="true" name="BLPH100" vbProcedure="false">#REF!</definedName>
    <definedName function="false" hidden="true" name="BLPH101" vbProcedure="false">#REF!</definedName>
    <definedName function="false" hidden="true" name="BLPH102" vbProcedure="false">#REF!</definedName>
    <definedName function="false" hidden="true" name="BLPH103" vbProcedure="false">#REF!</definedName>
    <definedName function="false" hidden="true" name="BLPH104" vbProcedure="false">#REF!</definedName>
    <definedName function="false" hidden="true" name="BLPH105" vbProcedure="false">#REF!</definedName>
    <definedName function="false" hidden="true" name="BLPH106" vbProcedure="false">#REF!</definedName>
    <definedName function="false" hidden="true" name="BLPH107" vbProcedure="false">#REF!</definedName>
    <definedName function="false" hidden="true" name="BLPH108" vbProcedure="false">#REF!</definedName>
    <definedName function="false" hidden="true" name="BLPH109" vbProcedure="false">#REF!</definedName>
    <definedName function="false" hidden="true" name="BLPH11" vbProcedure="false">#REF!</definedName>
    <definedName function="false" hidden="true" name="BLPH110" vbProcedure="false">#REF!</definedName>
    <definedName function="false" hidden="true" name="BLPH111" vbProcedure="false">#REF!</definedName>
    <definedName function="false" hidden="true" name="BLPH112" vbProcedure="false">#REF!</definedName>
    <definedName function="false" hidden="true" name="BLPH113" vbProcedure="false">#REF!</definedName>
    <definedName function="false" hidden="true" name="BLPH114" vbProcedure="false">#REF!</definedName>
    <definedName function="false" hidden="true" name="BLPH12" vbProcedure="false">#REF!</definedName>
    <definedName function="false" hidden="true" name="BLPH13" vbProcedure="false">#REF!</definedName>
    <definedName function="false" hidden="true" name="BLPH14" vbProcedure="false">#REF!</definedName>
    <definedName function="false" hidden="true" name="BLPH15" vbProcedure="false">#REF!</definedName>
    <definedName function="false" hidden="true" name="BLPH16" vbProcedure="false">#REF!</definedName>
    <definedName function="false" hidden="true" name="BLPH17" vbProcedure="false">#REF!</definedName>
    <definedName function="false" hidden="true" name="BLPH18" vbProcedure="false">#REF!</definedName>
    <definedName function="false" hidden="true" name="BLPH19" vbProcedure="false">#REF!</definedName>
    <definedName function="false" hidden="true" name="BLPH2" vbProcedure="false">#REF!</definedName>
    <definedName function="false" hidden="true" name="BLPH20" vbProcedure="false">#REF!</definedName>
    <definedName function="false" hidden="true" name="BLPH21" vbProcedure="false">#REF!</definedName>
    <definedName function="false" hidden="true" name="BLPH22" vbProcedure="false">#REF!</definedName>
    <definedName function="false" hidden="true" name="BLPH23" vbProcedure="false">#REF!</definedName>
    <definedName function="false" hidden="true" name="BLPH24" vbProcedure="false">#REF!</definedName>
    <definedName function="false" hidden="true" name="BLPH25" vbProcedure="false">#REF!</definedName>
    <definedName function="false" hidden="true" name="BLPH26" vbProcedure="false">#REF!</definedName>
    <definedName function="false" hidden="true" name="BLPH27" vbProcedure="false">#REF!</definedName>
    <definedName function="false" hidden="true" name="BLPH28" vbProcedure="false">#REF!</definedName>
    <definedName function="false" hidden="true" name="BLPH29" vbProcedure="false">#REF!</definedName>
    <definedName function="false" hidden="true" name="BLPH3" vbProcedure="false">#REF!</definedName>
    <definedName function="false" hidden="true" name="BLPH30" vbProcedure="false">#REF!</definedName>
    <definedName function="false" hidden="true" name="BLPH31" vbProcedure="false">#REF!</definedName>
    <definedName function="false" hidden="true" name="BLPH32" vbProcedure="false">#REF!</definedName>
    <definedName function="false" hidden="true" name="BLPH33" vbProcedure="false">#REF!</definedName>
    <definedName function="false" hidden="true" name="BLPH34" vbProcedure="false">#REF!</definedName>
    <definedName function="false" hidden="true" name="BLPH35" vbProcedure="false">#REF!</definedName>
    <definedName function="false" hidden="true" name="BLPH36" vbProcedure="false">#REF!</definedName>
    <definedName function="false" hidden="true" name="BLPH37" vbProcedure="false">#REF!</definedName>
    <definedName function="false" hidden="true" name="BLPH38" vbProcedure="false">#REF!</definedName>
    <definedName function="false" hidden="true" name="BLPH39" vbProcedure="false">#REF!</definedName>
    <definedName function="false" hidden="true" name="BLPH4" vbProcedure="false">#REF!</definedName>
    <definedName function="false" hidden="true" name="BLPH40" vbProcedure="false">#REF!</definedName>
    <definedName function="false" hidden="true" name="BLPH41" vbProcedure="false">#REF!</definedName>
    <definedName function="false" hidden="true" name="BLPH42" vbProcedure="false">#REF!</definedName>
    <definedName function="false" hidden="true" name="BLPH43" vbProcedure="false">#REF!</definedName>
    <definedName function="false" hidden="true" name="BLPH44" vbProcedure="false">#REF!</definedName>
    <definedName function="false" hidden="true" name="BLPH45" vbProcedure="false">#REF!</definedName>
    <definedName function="false" hidden="true" name="BLPH46" vbProcedure="false">#REF!</definedName>
    <definedName function="false" hidden="true" name="BLPH47" vbProcedure="false">#REF!</definedName>
    <definedName function="false" hidden="true" name="BLPH48" vbProcedure="false">#REF!</definedName>
    <definedName function="false" hidden="true" name="BLPH49" vbProcedure="false">#REF!</definedName>
    <definedName function="false" hidden="true" name="BLPH5" vbProcedure="false">#REF!</definedName>
    <definedName function="false" hidden="true" name="BLPH50" vbProcedure="false">#REF!</definedName>
    <definedName function="false" hidden="true" name="BLPH51" vbProcedure="false">#REF!</definedName>
    <definedName function="false" hidden="true" name="BLPH52" vbProcedure="false">#REF!</definedName>
    <definedName function="false" hidden="true" name="BLPH53" vbProcedure="false">#REF!</definedName>
    <definedName function="false" hidden="true" name="BLPH54" vbProcedure="false">#REF!</definedName>
    <definedName function="false" hidden="true" name="BLPH55" vbProcedure="false">#REF!</definedName>
    <definedName function="false" hidden="true" name="BLPH56" vbProcedure="false">#REF!</definedName>
    <definedName function="false" hidden="true" name="BLPH57" vbProcedure="false">#REF!</definedName>
    <definedName function="false" hidden="true" name="BLPH58" vbProcedure="false">#REF!</definedName>
    <definedName function="false" hidden="true" name="BLPH59" vbProcedure="false">#REF!</definedName>
    <definedName function="false" hidden="true" name="BLPH6" vbProcedure="false">#REF!</definedName>
    <definedName function="false" hidden="true" name="BLPH60" vbProcedure="false">#REF!</definedName>
    <definedName function="false" hidden="true" name="BLPH61" vbProcedure="false">#REF!</definedName>
    <definedName function="false" hidden="true" name="BLPH62" vbProcedure="false">#REF!</definedName>
    <definedName function="false" hidden="true" name="BLPH63" vbProcedure="false">#REF!</definedName>
    <definedName function="false" hidden="true" name="BLPH64" vbProcedure="false">#REF!</definedName>
    <definedName function="false" hidden="true" name="BLPH65" vbProcedure="false">#REF!</definedName>
    <definedName function="false" hidden="true" name="BLPH66" vbProcedure="false">#REF!</definedName>
    <definedName function="false" hidden="true" name="BLPH67" vbProcedure="false">#REF!</definedName>
    <definedName function="false" hidden="true" name="BLPH68" vbProcedure="false">#REF!</definedName>
    <definedName function="false" hidden="true" name="BLPH69" vbProcedure="false">#REF!</definedName>
    <definedName function="false" hidden="true" name="BLPH7" vbProcedure="false">#REF!</definedName>
    <definedName function="false" hidden="true" name="BLPH70" vbProcedure="false">#REF!</definedName>
    <definedName function="false" hidden="true" name="BLPH71" vbProcedure="false">#REF!</definedName>
    <definedName function="false" hidden="true" name="BLPH72" vbProcedure="false">#REF!</definedName>
    <definedName function="false" hidden="true" name="BLPH73" vbProcedure="false">#REF!</definedName>
    <definedName function="false" hidden="true" name="BLPH74" vbProcedure="false">#REF!</definedName>
    <definedName function="false" hidden="true" name="BLPH75" vbProcedure="false">#REF!</definedName>
    <definedName function="false" hidden="true" name="BLPH76" vbProcedure="false">#REF!</definedName>
    <definedName function="false" hidden="true" name="BLPH77" vbProcedure="false">#REF!</definedName>
    <definedName function="false" hidden="true" name="BLPH78" vbProcedure="false">#REF!</definedName>
    <definedName function="false" hidden="true" name="BLPH79" vbProcedure="false">#REF!</definedName>
    <definedName function="false" hidden="true" name="BLPH8" vbProcedure="false">#REF!</definedName>
    <definedName function="false" hidden="true" name="BLPH80" vbProcedure="false">#REF!</definedName>
    <definedName function="false" hidden="true" name="BLPH81" vbProcedure="false">#REF!</definedName>
    <definedName function="false" hidden="true" name="BLPH82" vbProcedure="false">#REF!</definedName>
    <definedName function="false" hidden="true" name="BLPH83" vbProcedure="false">#REF!</definedName>
    <definedName function="false" hidden="true" name="BLPH84" vbProcedure="false">#REF!</definedName>
    <definedName function="false" hidden="true" name="BLPH85" vbProcedure="false">#REF!</definedName>
    <definedName function="false" hidden="true" name="BLPH86" vbProcedure="false">#REF!</definedName>
    <definedName function="false" hidden="true" name="BLPH87" vbProcedure="false">#REF!</definedName>
    <definedName function="false" hidden="true" name="BLPH88" vbProcedure="false">#REF!</definedName>
    <definedName function="false" hidden="true" name="BLPH89" vbProcedure="false">#REF!</definedName>
    <definedName function="false" hidden="true" name="BLPH9" vbProcedure="false">#REF!</definedName>
    <definedName function="false" hidden="true" name="BLPH90" vbProcedure="false">#REF!</definedName>
    <definedName function="false" hidden="true" name="BLPH91" vbProcedure="false">#REF!</definedName>
    <definedName function="false" hidden="true" name="BLPH92" vbProcedure="false">#REF!</definedName>
    <definedName function="false" hidden="true" name="BLPH93" vbProcedure="false">#REF!</definedName>
    <definedName function="false" hidden="true" name="BLPH94" vbProcedure="false">#REF!</definedName>
    <definedName function="false" hidden="true" name="BLPH95" vbProcedure="false">#REF!</definedName>
    <definedName function="false" hidden="true" name="BLPH96" vbProcedure="false">#REF!</definedName>
    <definedName function="false" hidden="true" name="BLPH97" vbProcedure="false">#REF!</definedName>
    <definedName function="false" hidden="true" name="BLPH98" vbProcedure="false">#REF!</definedName>
    <definedName function="false" hidden="true" name="BLPH99" vbProcedure="false">#REF!</definedName>
    <definedName function="false" hidden="true"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name="bmbnmn" vbProcedure="false">{#N/A,#N/A,FALSE,"KA CH  (2)"}</definedName>
    <definedName function="false" hidden="true" name="bn"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bnbn" vbProcedure="false">{"oct_res_comm",#N/A,FALSE,"VarToBud"}</definedName>
    <definedName function="false" hidden="true" name="BNH" vbProcedure="false">{"COMP CF",#N/A,FALSE,"Comp CF"}</definedName>
    <definedName function="false" hidden="true" name="bnkj" vbProcedure="false">{#N/A,#N/A,FALSE,"output";#N/A,#N/A,FALSE,"contrib";#N/A,#N/A,FALSE,"profile";#N/A,#N/A,FALSE,"comps"}</definedName>
    <definedName function="false" hidden="true" name="bnm" vbProcedure="false">{#N/A,#N/A,FALSE,"REPORT"}</definedName>
    <definedName function="false" hidden="true" name="bnmbm" vbProcedure="false">{#N/A,#N/A,TRUE,"Main Issues";#N/A,#N/A,TRUE,"Income statement ($)"}</definedName>
    <definedName function="false" hidden="true" name="bnmk" vbProcedure="false">{#N/A,#N/A,FALSE,"Produkte Erw.";#N/A,#N/A,FALSE,"Produkte Plan";#N/A,#N/A,FALSE,"Leistungen Erw.";#N/A,#N/A,FALSE,"Leistungen Plan";#N/A,#N/A,FALSE,"KA Allg.Kosten (2)";#N/A,#N/A,FALSE,"KA All.Kosten"}</definedName>
    <definedName function="false" hidden="true" name="bnmm" vbProcedure="false">{"detail",#N/A,FALSE,"mfg";"summary",#N/A,FALSE,"mfg"}</definedName>
    <definedName function="false" hidden="true" name="bnnn" vbProcedure="false">{"consolidated",#N/A,FALSE,"Sheet1";"cms",#N/A,FALSE,"Sheet1";"fse",#N/A,FALSE,"Sheet1"}</definedName>
    <definedName function="false" hidden="true" name="bo" vbProcedure="false">{#N/A,#N/A,FALSE,"TAXC.INDEX";#N/A,#N/A,FALSE,"Schedule I";#N/A,#N/A,FALSE,"Schedule  II";#N/A,#N/A,FALSE,"Schedule III"}</definedName>
    <definedName function="false" hidden="true" name="boel" vbProcedure="false">{#N/A,#N/A,FALSE,"TB";#N/A,#N/A,FALSE,"DR";#N/A,#N/A,FALSE,"AR";#N/A,#N/A,FALSE,"PL";#N/A,#N/A,FALSE,"BS";#N/A,#N/A,FALSE,"NOTES";#N/A,#N/A,FALSE,"NOTES (2)";#N/A,#N/A,FALSE,"NOTES (3)";#N/A,#N/A,FALSE,"DPL";#N/A,#N/A,FALSE,"TAXC.INDEX";#N/A,#N/A,FALSE,"Schedule I";#N/A,#N/A,FALSE,"Adjustments"}</definedName>
    <definedName function="false" hidden="false" name="bogf_soft" vbProcedure="false">#REF!</definedName>
    <definedName function="false" hidden="true" name="bos" vbProcedure="false">{#N/A,#N/A,FALSE,"TB";#N/A,#N/A,FALSE,"AR";#N/A,#N/A,FALSE,"BS";#N/A,#N/A,FALSE,"PL";#N/A,#N/A,FALSE,"NOTES";#N/A,#N/A,FALSE,"NOTES (2)";#N/A,#N/A,FALSE,"NOTES (3)";#N/A,#N/A,FALSE,"TAXC.INDEX";#N/A,#N/A,FALSE,"Schedule I";#N/A,#N/A,FALSE,"DPL";#N/A,#N/A,FALSE,"Schedule IV";#N/A,#N/A,FALSE,"Adjustments"}</definedName>
    <definedName function="false" hidden="true" name="both203" vbProcedure="false">{"detail",#N/A,FALSE,"mfg";"summary",#N/A,FALSE,"mfg"}</definedName>
    <definedName function="false" hidden="true" name="both204" vbProcedure="false">{"detail",#N/A,FALSE,"mfg";"summary",#N/A,FALSE,"mfg"}</definedName>
    <definedName function="false" hidden="true" name="both89n" vbProcedure="false">{"detail",#N/A,FALSE,"mfg";"summary",#N/A,FALSE,"mfg"}</definedName>
    <definedName function="false" hidden="true" name="both8mj" vbProcedure="false">{"detail",#N/A,FALSE,"mfg";"summary",#N/A,FALSE,"mfg"}</definedName>
    <definedName function="false" hidden="true" name="bowl" vbProcedure="false">{#N/A,#N/A,FALSE,"DIR-REP";#N/A,#N/A,FALSE,"AUD-REPORT";#N/A,#N/A,FALSE,"P7L&amp;BS";#N/A,#N/A,FALSE,"NOTES";#N/A,#N/A,FALSE,"FA";#N/A,#N/A,FALSE,"NOTES (2)";#N/A,#N/A,FALSE,"Schedule  IV";#N/A,#N/A,FALSE,"Schedule V"}</definedName>
    <definedName function="false" hidden="true" name="BP" vbProcedure="false">{"vue1",#N/A,FALSE,"synthese";"vue2",#N/A,FALSE,"synthese"}</definedName>
    <definedName function="false" hidden="true" name="br" vbProcedure="false">{"oct_res_comm",#N/A,FALSE,"VarToBud"}</definedName>
    <definedName function="false" hidden="true" name="BRDDEP" vbProcedure="false">#REF!</definedName>
    <definedName function="false" hidden="true" name="Bridge" vbProcedure="false">{"'Highlights'!$A$1:$M$123"}</definedName>
    <definedName function="false" hidden="tru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true" name="Bryan" vbProcedure="false">{#N/A,"PURADD",FALSE,"Business Analysis";#N/A,"PURSPP",FALSE,"Business Analysis";#N/A,"CTGIND",FALSE,"Business Analysis";#N/A,"PURCHM",FALSE,"Business Analysis";#N/A,"SPADD",FALSE,"Business Analysis";#N/A,"EPOXY",FALSE,"Business Analysis";#N/A,"PURPER",FALSE,"Business Analysis"}</definedName>
    <definedName function="false" hidden="true"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BSExrateRow" vbProcedure="false">#REF!</definedName>
    <definedName function="false" hidden="true" name="bsfdg" vbProcedure="false">{"Pound Sterling",#N/A,TRUE,"PPD";"Pound Sterling",#N/A,TRUE,"Anaquest";"Pound Sterling",#N/A,TRUE,"Delta";"Pound Sterling",#N/A,TRUE,"INO"}</definedName>
    <definedName function="false" hidden="true" name="bt" vbProcedure="false">{"QTR_ACT",#N/A,FALSE,"PROP_PBIT_DEV_Q3";"QTR_BUD",#N/A,FALSE,"PROP_PBIT_DEV_Q3";"YTD_BUD",#N/A,FALSE,"PROP_PBIT_DEV_Q3";"YTD_ACT",#N/A,FALSE,"PROP_PBIT_DEV_Q3";"FY95 SNAP3",#N/A,FALSE,"PROP_PBIT_DEV_Q3";"FY95_BUD",#N/A,FALSE,"PROP_PBIT_DEV_Q3";"FY96_BUD",#N/A,FALSE,"PROP_PBIT_DEV_Q3"}</definedName>
    <definedName function="false" hidden="false" name="BtfeIndexSheetTable" vbProcedure="false">#REF!</definedName>
    <definedName function="false" hidden="true" name="BUDGET" vbProcedure="false">2000</definedName>
    <definedName function="false" hidden="true" name="budgetIdRow" vbProcedure="false">#REF!</definedName>
    <definedName function="false" hidden="true" name="BUDGETNAME" vbProcedure="false">2003</definedName>
    <definedName function="false" hidden="true" name="buibd"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ll" vbProcedure="false">{"detail",#N/A,FALSE,"mfg";"summary",#N/A,FALSE,"mfg"}</definedName>
    <definedName function="false" hidden="true" name="bull2" vbProcedure="false">{#N/A,"PURCHM",FALSE,"Business Analysis";#N/A,"SPADD",FALSE,"Business Analysis"}</definedName>
    <definedName function="false" hidden="true" name="bull3" vbProcedure="false">{"detail",#N/A,FALSE,"mfg";"summary",#N/A,FALSE,"mfg"}</definedName>
    <definedName function="false" hidden="true" name="bull4" vbProcedure="false">{#N/A,"PURCHM",FALSE,"Business Analysis";#N/A,"SPADD",FALSE,"Business Analysis"}</definedName>
    <definedName function="false" hidden="true" name="bull5" vbProcedure="false">{#N/A,"PURADD",FALSE,"Business Analysis";#N/A,"PURSPP",FALSE,"Business Analysis";#N/A,"CTGIND",FALSE,"Business Analysis";#N/A,"PURCHM",FALSE,"Business Analysis";#N/A,"SPADD",FALSE,"Business Analysis";#N/A,"EPOXY",FALSE,"Business Analysis";#N/A,"PURPER",FALSE,"Business Analysis"}</definedName>
    <definedName function="false" hidden="true" name="buod" vbProcedure="false">{#N/A,#N/A,FALSE,"TB";#N/A,#N/A,FALSE,"AR";#N/A,#N/A,FALSE,"BS";#N/A,#N/A,FALSE,"PL";#N/A,#N/A,FALSE,"NOTES";#N/A,#N/A,FALSE,"NOTES (2)";#N/A,#N/A,FALSE,"NOTES (3)";#N/A,#N/A,FALSE,"TAXC.INDEX";#N/A,#N/A,FALSE,"Schedule I";#N/A,#N/A,FALSE,"DPL";#N/A,#N/A,FALSE,"Schedule IV";#N/A,#N/A,FALSE,"Adjustments"}</definedName>
    <definedName function="false" hidden="true" name="busais"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sarea20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sarea203"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SECONCERN" vbProcedure="false">FALSE()</definedName>
    <definedName function="false" hidden="true" name="busiz" vbProcedure="false">{#N/A,#N/A,FALSE,"Eastern";#N/A,#N/A,FALSE,"Western"}</definedName>
    <definedName function="false" hidden="true" name="bv" vbProcedure="false">{"net assets",#N/A,FALSE,"summary";"asset turnover",#N/A,FALSE,"summary";"orona",#N/A,FALSE,"summary"}</definedName>
    <definedName function="false" hidden="true" name="bvcx" vbProcedure="false">{"apci",#N/A,FALSE,"Chem_CY";"eastman",#N/A,FALSE,"Eastman";"betz",#N/A,FALSE,"Betz";"great lakes",#N/A,FALSE,"Great_Lakes";"hercules",#N/A,FALSE,"Hercules Chem Seg Data";"rohm",#N/A,FALSE,"Rohm";"union carbide",#N/A,FALSE,"Union";"witco",#N/A,FALSE,"Witco"}</definedName>
    <definedName function="false" hidden="true" name="bvn" vbProcedure="false">{"Units A",#N/A,FALSE,"FY95SLS";"Units B",#N/A,FALSE,"FY95SLS"}</definedName>
    <definedName function="false" hidden="true" name="bvnbn" vbProcedure="false">{#N/A,#N/A,FALSE,"Historical";#N/A,#N/A,FALSE,"EPS-Purchase";#N/A,#N/A,FALSE,"EPS-Pool";#N/A,#N/A,FALSE,"DCF";"Market Share",#N/A,FALSE,"Revenue";"Revenue",#N/A,FALSE,"Revenue"}</definedName>
    <definedName function="false" hidden="true" name="bz" vbProcedure="false">{"sales growth",#N/A,FALSE,"summary";"oper income",#N/A,FALSE,"summary";"oros rank",#N/A,FALSE,"summary";"net assets",#N/A,FALSE,"summary";"asset turnover",#N/A,FALSE,"summary";"orona",#N/A,FALSE,"summary"}</definedName>
    <definedName function="false" hidden="true" name="bzxcfg" vbProcedure="false">{"Units A",#N/A,FALSE,"FY95SLS";"Units B",#N/A,FALSE,"FY95SLS"}</definedName>
    <definedName function="false" hidden="true" name="ca" vbProcedure="false">#REF!</definedName>
    <definedName function="false" hidden="true" name="caarapo"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Cable" vbProcedure="false">{#N/A,#N/A,FALSE,"Operations";#N/A,#N/A,FALSE,"Financials"}</definedName>
    <definedName function="false" hidden="true" name="Cable2" vbProcedure="false">{#N/A,#N/A,FALSE,"Operations";#N/A,#N/A,FALSE,"Financials"}</definedName>
    <definedName function="false" hidden="true" name="cacctid" vbProcedure="false">#REF!</definedName>
    <definedName function="false" hidden="true" name="Calcs"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CAPEXXXX" vbProcedure="false">{#N/A,#N/A,FALSE,"3";#N/A,#N/A,FALSE,"5";#N/A,#N/A,FALSE,"6";#N/A,#N/A,FALSE,"8";#N/A,#N/A,FALSE,"10";#N/A,#N/A,FALSE,"13";#N/A,#N/A,FALSE,"14";#N/A,#N/A,FALSE,"15";#N/A,#N/A,FALSE,"16"}</definedName>
    <definedName function="false" hidden="true" name="capitalized" vbProcedure="false">{#N/A,#N/A,FALSE,"Title Page";#N/A,#N/A,FALSE,"Conclusions";#N/A,#N/A,FALSE,"Assum.";#N/A,#N/A,FALSE,"Sun  DCF-WC-Dep";#N/A,#N/A,FALSE,"MarketValue";#N/A,#N/A,FALSE,"BalSheet";#N/A,#N/A,FALSE,"WACC";#N/A,#N/A,FALSE,"PC+ Info.";#N/A,#N/A,FALSE,"PC+Info_2"}</definedName>
    <definedName function="false" hidden="true" name="CapSpendingExcludesSanFu" vbProcedure="false">{"detail",#N/A,FALSE,"mfg";"summary",#N/A,FALSE,"mfg"}</definedName>
    <definedName function="false" hidden="true" name="Cark" vbProcedure="false">{#N/A,#N/A,TRUE,"Summary";#N/A,#N/A,TRUE,"Input";#N/A,#N/A,TRUE,"Other Assump";#N/A,#N/A,TRUE,"Construction Period";#N/A,#N/A,TRUE,"Escalation";#N/A,#N/A,TRUE,"Debt";#N/A,#N/A,TRUE,"Revs&amp;Costs";#N/A,#N/A,TRUE,"Depreciation";#N/A,#N/A,TRUE,"TAX";#N/A,#N/A,TRUE,"Cash-flow";#N/A,#N/A,TRUE,"VAT";#N/A,#N/A,TRUE,"P&amp;L-BS";#N/A,#N/A,TRUE,"IRR"}</definedName>
    <definedName function="false" hidden="true" name="carritus" vbProcedure="false">#REF!</definedName>
    <definedName function="false" hidden="true" name="ca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Category_1" vbProcedure="false">#REF!</definedName>
    <definedName function="false" hidden="false" name="Category_2" vbProcedure="false">#REF!</definedName>
    <definedName function="false" hidden="true" name="cay" vbProcedure="false">{#N/A,#N/A,FALSE,"TB";#N/A,#N/A,FALSE,"AR";#N/A,#N/A,FALSE,"BS";#N/A,#N/A,FALSE,"PL";#N/A,#N/A,FALSE,"NOTES";#N/A,#N/A,FALSE,"NOTES (2)";#N/A,#N/A,FALSE,"NOTES (3)";#N/A,#N/A,FALSE,"TAXC.INDEX";#N/A,#N/A,FALSE,"Schedule I";#N/A,#N/A,FALSE,"DPL";#N/A,#N/A,FALSE,"Schedule IV";#N/A,#N/A,FALSE,"Adjustments"}</definedName>
    <definedName function="false" hidden="true" name="CBWorkbookPriority" vbProcedure="false">-331169869</definedName>
    <definedName function="false" hidden="true" name="cb_Chart_1_opts" vbProcedure="false">"1, 5, 1, False, 2, True, False, , 0, False, False, 1, 1"</definedName>
    <definedName function="false" hidden="true" name="cb_Chart_2_opts" vbProcedure="false">"1, 1, 1, False, 2, False, False, , 0, False, False, 1, 1"</definedName>
    <definedName function="false" hidden="true" name="cb_Chart_3_opts" vbProcedure="false">"1, 1, 1, False, 2, False, False, , 0, False, False, 1, 1"</definedName>
    <definedName function="false" hidden="true" name="cb_sChart10D6460A_opts" vbProcedure="false">"1, 1, 1, False, 2, True, False, , 0, False, False, 1, 1"</definedName>
    <definedName function="false" hidden="true" name="cb_sChart10D65256_opts" vbProcedure="false">"1, 1, 1, False, 2, True, False, , 0, False, False, 1, 1"</definedName>
    <definedName function="false" hidden="true" name="cb_sChart10D653EB_opts" vbProcedure="false">"1, 1, 1, False, 2, True, False, , 0, False, False, 1, 1"</definedName>
    <definedName function="false" hidden="true" name="cb_sChart10D65893_opts" vbProcedure="false">"1, 1, 1, False, 2, True, False, , 0, False, False, 1, 1"</definedName>
    <definedName function="false" hidden="true" name="cb_sChart1489E789_opts" vbProcedure="false">"2, 1, 2, True, 2, False, False, , 0, False, True, 2, 2"</definedName>
    <definedName function="false" hidden="true" name="cb_sChart1489EC54_opts" vbProcedure="false">"2, 1, 2, True, 2, False, False, , 0, False, True, 2, 2"</definedName>
    <definedName function="false" hidden="true" name="cb_sChart16EBA7BA_opts" vbProcedure="false">"1, 1, 1, False, 2, True, False, , 0, False, True, 1, 2"</definedName>
    <definedName function="false" hidden="true" name="cb_sChart1747F65E_opts" vbProcedure="false">"2, 1, 2, True, 2, False, False, , 0, False, True, 1, 1"</definedName>
    <definedName function="false" hidden="true" name="cb_sChart1749F803_opts" vbProcedure="false">"1, 1, 1, False, 2, True, False, , 0, False, False, 1, 1"</definedName>
    <definedName function="false" hidden="true" name="cb_sChart174A0AB0_opts" vbProcedure="false">"1, 1, 1, False, 2, False, False, , 0, False, False, 2, 1"</definedName>
    <definedName function="false" hidden="true" name="cb_sChart174C8BEB_opts" vbProcedure="false">"1, 9, 1, False, 2, False, False, , 0, False, True, 1, 1"</definedName>
    <definedName function="false" hidden="true" name="cb_sChart174C8EAD_opts" vbProcedure="false">"1, 9, 1, False, 2, False, False, , 0, False, False, 1, 1"</definedName>
    <definedName function="false" hidden="true" name="cb_sChart174C909E_opts" vbProcedure="false">"1, 9, 1, False, 2, False, False, , 0, False, True, 1, 1"</definedName>
    <definedName function="false" hidden="true" name="cb_sChart174E2C44_opts" vbProcedure="false">"2, 1, 2, True, 2, False, False, , 0, False, True, 1, 1"</definedName>
    <definedName function="false" hidden="true" name="cb_sChart1754A686_opts" vbProcedure="false">"1, 10, 1, False, 2, False, False, , 0, False, False, 2, 2"</definedName>
    <definedName function="false" hidden="true" name="cb_sChart1755F643_opts" vbProcedure="false">"1, 1, 1, False, 2, False, False, , 0, False, False, 2, 1"</definedName>
    <definedName function="false" hidden="true" name="cb_sChart1755FC0D_opts" vbProcedure="false">"1, 1, 1, False, 2, True, False, , 0, False, False, 2, 1"</definedName>
    <definedName function="false" hidden="true" name="cb_sChart175849A6_opts" vbProcedure="false">"1, 1, 1, False, 2, False, False, , 0, False, False, 2, 1"</definedName>
    <definedName function="false" hidden="true" name="cb_sChart175885B1_opts" vbProcedure="false">"1, 1, 1, False, 2, False, False, , 0, False, False, 1, 1"</definedName>
    <definedName function="false" hidden="true" name="cb_sChart175890FE_opts" vbProcedure="false">"1, 1, 1, False, 2, True, False, , 0, False, False, 1, 1"</definedName>
    <definedName function="false" hidden="true" name="cb_sChart1765309A_opts" vbProcedure="false">"2, 1, 2, True, 2, False, False, , 0, False, True, 1, 1"</definedName>
    <definedName function="false" hidden="true" name="cb_sChart1769A36D_opts" vbProcedure="false">"2, 1, 2, True, 2, False, False, , 0, False, True, 1, 1"</definedName>
    <definedName function="false" hidden="true" name="cb_sChart1769CA15_opts" vbProcedure="false">"1, 9, 1, False, 2, False, False, , 0, False, True, 1, 1"</definedName>
    <definedName function="false" hidden="true" name="cb_sChart182C6410_opts" vbProcedure="false">"1, 1, 1, False, 2, True, False, , 0, False, False, 2, 2"</definedName>
    <definedName function="false" hidden="true" name="cb_sChart182C682D_opts" vbProcedure="false">"2, 1, 1, False, 2, False, False, , 0, False, False, 2, 2"</definedName>
    <definedName function="false" hidden="true" name="cb_sChart182C6A08_opts" vbProcedure="false">"2, 1, 1, True, 2, False, False, , 0, False, True, 2, 2"</definedName>
    <definedName function="false" hidden="true" name="cb_sChart182C8139_opts" vbProcedure="false">"1, 10, 1, False, 2, False, False, , 0, False, False, 1, 1"</definedName>
    <definedName function="false" hidden="true" name="cb_sChart182CA784_opts" vbProcedure="false">"2, 1, 1, True, 2, False, False, , 0, False, True, 2, 2"</definedName>
    <definedName function="false" hidden="true" name="cb_sChart182CB588_opts" vbProcedure="false">"1, 1, 1, False, 2, True, False, , 0, False, False, 2, 2"</definedName>
    <definedName function="false" hidden="true" name="cb_sChart182CB687_opts" vbProcedure="false">"1, 1, 1, False, 2, True, False, , 0, False, False, 2, 2"</definedName>
    <definedName function="false" hidden="true" name="cb_sChart182CB729_opts" vbProcedure="false">"1, 1, 1, False, 2, True, False, , 0, False, False, 2, 2"</definedName>
    <definedName function="false" hidden="true" name="cb_sChart182CB879_opts" vbProcedure="false">"1, 1, 1, False, 2, True, False, , 0, False, False, 2, 2"</definedName>
    <definedName function="false" hidden="true" name="cb_sChart182CCD73_opts" vbProcedure="false">"2, 1, 2, True, 2, False, False, , 0, False, True, 1, 1"</definedName>
    <definedName function="false" hidden="true" name="cb_sChart182D26A7_opts" vbProcedure="false">"1, 9, 1, False, 2, False, False, , 0, False, True, 1, 1"</definedName>
    <definedName function="false" hidden="true" name="cb_sChart182EE412_opts" vbProcedure="false">"1, 3, 1, False, 2, False, False, , 0, False, False, 2, 2"</definedName>
    <definedName function="false" hidden="true" name="cb_sChart182EE7EA_opts" vbProcedure="false">"1, 3, 1, False, 2, True, False, , 0, False, True, 2, 2"</definedName>
    <definedName function="false" hidden="true" name="cb_sChart182EEAFD_opts" vbProcedure="false">"1, 3, 1, False, 2, False, False, , 0, False, True, 1, 1"</definedName>
    <definedName function="false" hidden="true" name="cb_sChart182EEB7C_opts" vbProcedure="false">"1, 3, 1, False, 2, False, False, , 0, False, True, 2, 2"</definedName>
    <definedName function="false" hidden="true" name="cb_sChart182EFA23_opts" vbProcedure="false">"1, 3, 1, False, 2, False, False, , 0, False, True, 2, 2"</definedName>
    <definedName function="false" hidden="true" name="cb_sChart182F2AF6_opts" vbProcedure="false">"1, 10, 1, False, 2, False, False, , 0, False, False, 1, 1"</definedName>
    <definedName function="false" hidden="true" name="cb_sChart182F2C80_opts" vbProcedure="false">"1, 10, 1, False, 2, False, False, , 0, False, False, 1, 1"</definedName>
    <definedName function="false" hidden="true" name="cb_sChart182F3616_opts" vbProcedure="false">"1, 10, 1, False, 2, False, False, , 0, False, False, 1, 1"</definedName>
    <definedName function="false" hidden="true" name="cb_sChart182F379F_opts" vbProcedure="false">"1, 10, 1, False, 2, False, False, , 0, False, False, 1, 1"</definedName>
    <definedName function="false" hidden="true" name="cb_sChart182F6E6B_opts" vbProcedure="false">"1, 1, 1, False, 2, True, False, , 0, False, False, 1, 2"</definedName>
    <definedName function="false" hidden="true" name="cb_sChart182F8534_opts" vbProcedure="false">"1, 1, 1, False, 2, True, False, , 0, False, False, 2, 2"</definedName>
    <definedName function="false" hidden="true" name="cb_sChart182F90BC_opts" vbProcedure="false">"1, 1, 1, False, 2, True, False, , 0, False, False, 2, 2"</definedName>
    <definedName function="false" hidden="true" name="cb_sChart18446126_opts" vbProcedure="false">"2, 1, 2, True, 2, False, False, , 0, False, True, 1, 1"</definedName>
    <definedName function="false" hidden="true" name="cb_sChart1844654F_opts" vbProcedure="false">"1, 9, 1, False, 2, False, False, , 0, False, True, 1, 1"</definedName>
    <definedName function="false" hidden="true" name="cb_sChart189C3065_opts" vbProcedure="false">"2, 1, 2, True, 2, False, False, , 0, False, True, 1, 1"</definedName>
    <definedName function="false" hidden="true" name="cb_sChart18D72224_opts" vbProcedure="false">"2, 1, 2, True, 2, False, False, , 0, False, True, 1, 1"</definedName>
    <definedName function="false" hidden="true" name="cb_sChart1AC0211C_opts" vbProcedure="false">"1, 1, 1, False, 2, False, False, , 0, False, False, 2, 2"</definedName>
    <definedName function="false" hidden="true" name="cb_sChart1AC021B3_opts" vbProcedure="false">"1, 1, 1, False, 2, False, False, , 0, False, False, 2, 2"</definedName>
    <definedName function="false" hidden="true" name="cb_sChart1AC02226_opts" vbProcedure="false">"1, 1, 1, False, 2, False, False, , 0, False, False, 2, 2"</definedName>
    <definedName function="false" hidden="true" name="cb_sChart1AC02446_opts" vbProcedure="false">"1, 1, 1, False, 2, True, False, , 0, False, True, 2, 2"</definedName>
    <definedName function="false" hidden="true" name="cb_sChart1AC02765_opts" vbProcedure="false">"1, 1, 1, False, 2, True, False, , 0, False, True, 2, 2"</definedName>
    <definedName function="false" hidden="true" name="cb_sChart1AC027D9_opts" vbProcedure="false">"1, 1, 1, False, 2, True, False, , 0, False, True, 2, 2"</definedName>
    <definedName function="false" hidden="true" name="cb_sChart1B1BE962_opts" vbProcedure="false">"1, 1, 1, False, 2, True, False, , 0, False, True, 1, 1"</definedName>
    <definedName function="false" hidden="true" name="cb_sChart1B1BEC47_opts" vbProcedure="false">"1, 1, 1, False, 2, True, False, , 0, False, False, 1, 1"</definedName>
    <definedName function="false" hidden="true" name="cb_sChart1B1BEDFF_opts" vbProcedure="false">"1, 1, 1, False, 2, True, False, , 0, False, False, 1, 1"</definedName>
    <definedName function="false" hidden="true" name="cb_sChart1B1BF0B5_opts" vbProcedure="false">"1, 1, 1, False, 2, True, False, , 0, False, False, 1, 1"</definedName>
    <definedName function="false" hidden="true" name="cb_sChart1B1BF228_opts" vbProcedure="false">"1, 1, 1, False, 2, True, False, , 0, False, False, 1, 1"</definedName>
    <definedName function="false" hidden="true" name="cb_sChart1B1BF30F_opts" vbProcedure="false">"1, 1, 1, False, 2, True, False, , 0, False, False, 1, 2"</definedName>
    <definedName function="false" hidden="true" name="cb_sChart1B1BF48D_opts" vbProcedure="false">"1, 1, 1, False, 2, True, False, , 0, False, False, 1, 1"</definedName>
    <definedName function="false" hidden="true" name="cb_sChart1B1BF772_opts" vbProcedure="false">"2, 1, 1, False, 2, False, False, , 0, False, False, 1, 1"</definedName>
    <definedName function="false" hidden="true" name="cb_sChart1B2A786B_opts" vbProcedure="false">"1, 9, 1, False, 2, False, False, , 0, False, True, 1, 1"</definedName>
    <definedName function="false" hidden="true" name="cb_sChart1B36F9D3_opts" vbProcedure="false">"2, 1, 1, False, 2, False, False, , 0, False, False, 1, 1"</definedName>
    <definedName function="false" hidden="true" name="cb_sChart1B36FA69_opts" vbProcedure="false">"2, 1, 1, True, 2, False, False, , 0, False, True, 1, 1"</definedName>
    <definedName function="false" hidden="true" name="cb_sChart1B36FB17_opts" vbProcedure="false">"2, 1, 2, True, 2, False, False, , 0, False, True, 1, 1"</definedName>
    <definedName function="false" hidden="true" name="cb_sChart1B3899A2_opts" vbProcedure="false">"1, 9, 1, False, 2, False, False, , 0, False, True, 1, 1"</definedName>
    <definedName function="false" hidden="true" name="cb_sChart1B597E8A_opts" vbProcedure="false">"1, 3, 1, False, 2, False, False, , 0, False, False, 1, 1"</definedName>
    <definedName function="false" hidden="true" name="cb_sChart1B598BC9_opts" vbProcedure="false">"1, 3, 1, False, 2, False, False, , 0, False, True, 1, 1"</definedName>
    <definedName function="false" hidden="true" name="cb_sChart1B598CA5_opts" vbProcedure="false">"1, 3, 1, False, 2, True, False, , 0, False, False, 1, 1"</definedName>
    <definedName function="false" hidden="true" name="cb_sChart1B598D98_opts" vbProcedure="false">"1, 5, 1, False, 2, False, False, , 0, False, False, 1, 1"</definedName>
    <definedName function="false" hidden="true" name="cb_sChart1B598E69_opts" vbProcedure="false">"1, 3, 1, False, 2, False, False, , 0, False, True, 1, 1"</definedName>
    <definedName function="false" hidden="true" name="cb_sChart1B59DA46_opts" vbProcedure="false">"1, 3, 1, False, 2, True, False, , 0, False, True, 1, 2"</definedName>
    <definedName function="false" hidden="true" name="cb_sChart1B59F03F_opts" vbProcedure="false">"1, 3, 1, False, 2, True, False, , 0, False, True, 1, 2"</definedName>
    <definedName function="false" hidden="true" name="cb_sChart1B76B73C_opts" vbProcedure="false">"2, 1, 2, True, 2, False, False, , 0, False, True, 1, 1"</definedName>
    <definedName function="false" hidden="true" name="cb_sChart1B76EB51_opts" vbProcedure="false">"1, 9, 1, False, 2, False, False, , 0, False, True, 1, 1"</definedName>
    <definedName function="false" hidden="true" name="cb_sChart1B854864_opts" vbProcedure="false">"2, 1, 2, True, 2, False, False, , 0, False, True, 1, 1"</definedName>
    <definedName function="false" hidden="true" name="cb_sChart1B855A06_opts" vbProcedure="false">"2, 1, 2, True, 2, False, False, , 0, False, True, 1, 1"</definedName>
    <definedName function="false" hidden="true" name="cb_sChart1B857654_opts" vbProcedure="false">"1, 3, 1, False, 2, True, False, , 0, False, True, 1, 1"</definedName>
    <definedName function="false" hidden="true" name="cb_sChart1B8582DA_opts" vbProcedure="false">"1, 5, 1, False, 2, False, False, , 0, False, False, 1, 1"</definedName>
    <definedName function="false" hidden="true" name="cb_sChart1B85949E_opts" vbProcedure="false">"2, 1, 1, False, 2, False, False, , 0, False, False, 1, 1"</definedName>
    <definedName function="false" hidden="true" name="cb_sChart1B90E804_opts" vbProcedure="false">"1, 1, 1, False, 2, True, False, , 0, False, False, 1, 1"</definedName>
    <definedName function="false" hidden="true" name="cb_sChart1B90EF28_opts" vbProcedure="false">"1, 1, 1, False, 2, True, False, , 0, False, False, 1, 1"</definedName>
    <definedName function="false" hidden="true" name="cb_sChart1B90FE93_opts" vbProcedure="false">"1, 1, 1, False, 2, True, False, , 0, False, False, 1, 1"</definedName>
    <definedName function="false" hidden="true" name="cb_sChart1B910758_opts" vbProcedure="false">"2, 1, 2, True, 2, False, False, , 0, False, True, 1, 1"</definedName>
    <definedName function="false" hidden="true" name="cb_sChart1B911376_opts" vbProcedure="false">"1, 1, 1, False, 2, True, False, , 0, False, False, 1, 1"</definedName>
    <definedName function="false" hidden="true" name="cb_sChart1B911C6A_opts" vbProcedure="false">"2, 1, 1, False, 2, True, False, , 0, False, False, 1, 1"</definedName>
    <definedName function="false" hidden="true" name="cb_sChart1B912893_opts" vbProcedure="false">"1, 6, 1, False, 2, False, False, , 0, False, False, 1, 1"</definedName>
    <definedName function="false" hidden="true" name="cb_sChart1C3BD6A6_opts" vbProcedure="false">"1, 10, 1, False, 2, False, False, , 0, False, False, 1, 1"</definedName>
    <definedName function="false" hidden="true" name="cb_sChart1C57CB5C_opts" vbProcedure="false">"1, 10, 1, False, 2, False, False, , 0, False, False, 1, 1"</definedName>
    <definedName function="false" hidden="true" name="cb_sChart1C5896AD_opts" vbProcedure="false">"1, 10, 1, False, 2, False, False, , 0, False, False, 1, 1"</definedName>
    <definedName function="false" hidden="true" name="cb_sChart1C589842_opts" vbProcedure="false">"1, 10, 1, False, 2, False, False, , 0, False, False, 1, 1"</definedName>
    <definedName function="false" hidden="true" name="cb_sChart1C5FD194_opts" vbProcedure="false">"2, 1, 2, True, 2, False, False, , 0, False, True, 1, 1"</definedName>
    <definedName function="false" hidden="true" name="cb_sChart1C5FEB93_opts" vbProcedure="false">"2, 1, 2, True, 2, False, False, , 0, False, True, 1, 1"</definedName>
    <definedName function="false" hidden="true" name="cb_sChart1C6D61E4_opts" vbProcedure="false">"2, 1, 3, False, 2, False, False, , 0, False, False, 1, 1"</definedName>
    <definedName function="false" hidden="true" name="cb_sChart1D5372A5_opts" vbProcedure="false">"1, 5, 1, False, 2, False, False, , 0, False, False, 1, 1"</definedName>
    <definedName function="false" hidden="true" name="cb_sChart41E9A35_opts" vbProcedure="false">"1, 9, 1, False, 2, False, False, , 0, False, True, 1, 1"</definedName>
    <definedName function="false" hidden="true" name="cb_sChart68E08A4_opts" vbProcedure="false">"1, 1, 1, False, 2, True, False, , 0, False, False, 2, 2"</definedName>
    <definedName function="false" hidden="true" name="cb_sChart6F544DD_opts" vbProcedure="false">"1, 3, 1, False, 2, False, False, , 0, False, False, 2, 1"</definedName>
    <definedName function="false" hidden="true" name="cb_sChart74FE4B0_opts" vbProcedure="false">"1, 4, 1, False, 2, True, False, , 0, False, False, 1, 1"</definedName>
    <definedName function="false" hidden="true" name="cb_sChart74FE8FC_opts" vbProcedure="false">"1, 4, 1, False, 2, True, False, , 0, False, False, 1, 1"</definedName>
    <definedName function="false" hidden="true" name="cb_sChartE2218BA_opts" vbProcedure="false">"1, 4, 1, False, 2, False, False, , 0, False, True, 1, 1"</definedName>
    <definedName function="false" hidden="true" name="cb_sChartE221ADA_opts" vbProcedure="false">"1, 5, 1, False, 2, False, False, , 0, False, False, 1, 1"</definedName>
    <definedName function="false" hidden="true" name="cb_sChartEE4CE1B_opts" vbProcedure="false">"1, 4, 1, False, 2, False, False, , 0, False, False, 1, 1"</definedName>
    <definedName function="false" hidden="true" name="cb_sChartEE4CF99_opts" vbProcedure="false">"1, 1, 1, False, 2, False, False, , 0, False, False, 1, 1"</definedName>
    <definedName function="false" hidden="true" name="cb_sChartEE4DD06_opts" vbProcedure="false">"1, 1, 1, False, 2, False, False, , 0, False, False, 1, 2"</definedName>
    <definedName function="false" hidden="true" name="cb_sChartEE4E93B_opts" vbProcedure="false">"1, 1, 1, False, 2, False, False, , 0, False, False, 1, 1"</definedName>
    <definedName function="false" hidden="true" name="cb_sChartEE51E95_opts" vbProcedure="false">"1, 1, 1, False, 2, False, False, , 0, False, False, 1, 1"</definedName>
    <definedName function="false" hidden="true" name="cb_sChartEED7645_opts" vbProcedure="false">"1, 1, 1, False, 2, False, False, , 0, False, False, 1, 1"</definedName>
    <definedName function="false" hidden="true" name="cb_sChartEEDA195_opts" vbProcedure="false">"1, 1, 1, False, 2, False, False, , 0, False, False, 1, 1"</definedName>
    <definedName function="false" hidden="true" name="cb_sChartEEDC338_opts" vbProcedure="false">"1, 1, 1, False, 2, False, False, , 0, False, False, 1, 1"</definedName>
    <definedName function="false" hidden="true" name="cb_sChartEEDEDB8_opts" vbProcedure="false">"1, 1, 1, False, 2, False, False, , 0, False, True, 1, 1"</definedName>
    <definedName function="false" hidden="true" name="cb_sChartEEDEE5A_opts" vbProcedure="false">"1, 3, 1, False, 2, True, False, , 0, False, True, 1, 1"</definedName>
    <definedName function="false" hidden="true" name="cb_sChartEEDF178_opts" vbProcedure="false">"1, 3, 1, False, 2, False, False, , 0, False, True, 1, 1"</definedName>
    <definedName function="false" hidden="true" name="cb_sChartF046D89_opts" vbProcedure="false">"1, 1, 1, False, 2, True, False, , 1, False, False, 1, 1"</definedName>
    <definedName function="false" hidden="true" name="cb_sChartF048B26_opts" vbProcedure="false">"1, 5, 1, False, 2, False, False, , 1, False, False, 1, 2"</definedName>
    <definedName function="false" hidden="true" name="cb_sChartF2B7B01_opts" vbProcedure="false">"1, 1, 1, False, 2, True, False, , 1, False, False, 1, 1"</definedName>
    <definedName function="false" hidden="true" name="cb_sChartF6A6B11_opts" vbProcedure="false">"1, 1, 1, False, 2, True, False, , 0, False, False, 1, 1"</definedName>
    <definedName function="false" hidden="true" name="cb_sChartFD191DC_opts" vbProcedure="false">"1, 3, 1, False, 2, True, False, , 0, False, True, 1, 1"</definedName>
    <definedName function="false" hidden="true" name="cb_sChartFD1A245_opts" vbProcedure="false">"1, 3, 1, False, 2, True, False, , 0, False, True, 1, 1"</definedName>
    <definedName function="false" hidden="true" name="cb_sChartFD3F0E9_opts" vbProcedure="false">"1, 3, 1, False, 2, True, False, , 0, False, False, 1, 1"</definedName>
    <definedName function="false" hidden="true" name="cb_sChartFD3F27E_opts" vbProcedure="false">"1, 3, 1, False, 2, True, False, , 0, False, True, 1, 1"</definedName>
    <definedName function="false" hidden="true" name="cb_sChartFD58483_opts" vbProcedure="false">"1, 1, 1, False, 2, True, False, , 0, False, False, 1, 1"</definedName>
    <definedName function="false" hidden="true" name="cb_sChartFD5C4CD_opts" vbProcedure="false">"1, 1, 1, False, 2, True, False, , 0, False, False, 1, 1"</definedName>
    <definedName function="false" hidden="true" name="cb_sChartFD5D4CE_opts" vbProcedure="false">"1, 1, 1, False, 2, True, False, , 0, False, False, 1, 1"</definedName>
    <definedName function="false" hidden="true" name="cb_sChartFD5DF34_opts" vbProcedure="false">"1, 1, 1, False, 2, True, False, , 0, False, False, 1, 1"</definedName>
    <definedName function="false" hidden="true" name="cb_sChartFD5EFC0_opts" vbProcedure="false">"1, 1, 1, False, 2, True, False, , 0, False, False, 1, 1"</definedName>
    <definedName function="false" hidden="true" name="cb_sChartFD5FDB9_opts" vbProcedure="false">"1, 1, 1, False, 2, True, False, , 0, False, False, 1, 1"</definedName>
    <definedName function="false" hidden="true" name="cb_sChartFE54712_opts" vbProcedure="false">"1, 3, 1, False, 2, True, False, , 0, False, True, 1, 1"</definedName>
    <definedName function="false" hidden="true" name="cc" vbProcedure="false">{#N/A,"PURADD",FALSE,"Business Analysis";#N/A,"PURSPP",FALSE,"Business Analysis";#N/A,"CTGIND",FALSE,"Business Analysis";#N/A,"PURCHM",FALSE,"Business Analysis";#N/A,"SPADD",FALSE,"Business Analysis";#N/A,"EPOXY",FALSE,"Business Analysis";#N/A,"PURPER",FALSE,"Business Analysis"}</definedName>
    <definedName function="false" hidden="true" name="ccb" vbProcedure="false">{#N/A,#N/A,FALSE,"TAXC.INDEX";#N/A,#N/A,FALSE,"Schedule I";#N/A,#N/A,FALSE,"Schedule  II";#N/A,#N/A,FALSE,"Schedule III"}</definedName>
    <definedName function="false" hidden="true" name="ccc" vbProcedure="false">{"detail",#N/A,FALSE,"mfg";"summary",#N/A,FALSE,"mfg"}</definedName>
    <definedName function="false" hidden="true" name="cccc" vbProcedure="false">{#N/A,#N/A,FALSE,"Operations";#N/A,#N/A,FALSE,"Financials"}</definedName>
    <definedName function="false" hidden="true" name="ccccc" vbProcedure="false">{"10yp key data",#N/A,FALSE,"Market Data"}</definedName>
    <definedName function="false" hidden="true" name="cccccccccc" vbProcedure="false">{#N/A,#N/A,FALSE,"CBE";#N/A,#N/A,FALSE,"SWK"}</definedName>
    <definedName function="false" hidden="true" name="ccf" vbProcedure="false">{"YD PRS",#N/A,FALSE,"YTD"}</definedName>
    <definedName function="false" hidden="false" name="CCY" vbProcedure="false">#REF!</definedName>
    <definedName function="false" hidden="true" name="cdds" vbProcedure="false">{"detail",#N/A,FALSE,"mfg";"summary",#N/A,FALSE,"mfg"}</definedName>
    <definedName function="false" hidden="true" name="cdf" vbProcedure="false">{"sales growth",#N/A,FALSE,"summary";"oper income",#N/A,FALSE,"summary";"oros rank",#N/A,FALSE,"summary";"net assets",#N/A,FALSE,"summary";"asset turnover",#N/A,FALSE,"summary";"orona",#N/A,FALSE,"summary"}</definedName>
    <definedName function="false" hidden="true" name="cds" vbProcedure="false">{"detail",#N/A,FALSE,"mfg";"summary",#N/A,FALSE,"mfg"}</definedName>
    <definedName function="false" hidden="true" name="ce" vbProcedure="false">{#N/A,#N/A,FALSE,"TB";#N/A,#N/A,FALSE,"AR";#N/A,#N/A,FALSE,"BS";#N/A,#N/A,FALSE,"PL";#N/A,#N/A,FALSE,"NOTES";#N/A,#N/A,FALSE,"NOTES (2)";#N/A,#N/A,FALSE,"NOTES (3)";#N/A,#N/A,FALSE,"TAXC.INDEX";#N/A,#N/A,FALSE,"Schedule I";#N/A,#N/A,FALSE,"DPL";#N/A,#N/A,FALSE,"Schedule IV";#N/A,#N/A,FALSE,"Adjustments"}</definedName>
    <definedName function="false" hidden="true" name="cea"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ceawr" vbProcedure="false">{"werbung",#N/A,FALSE,"GuV9900-0399";"betrieb",#N/A,FALSE,"GuV9900-0399";"personal",#N/A,FALSE,"GuV9900-0399";"tvg",#N/A,FALSE,"GuV9900-0399";"verwaltung",#N/A,FALSE,"GuV9900-0399"}</definedName>
    <definedName function="false" hidden="true" name="cedt" vbProcedure="false">{#N/A,#N/A,FALSE,"DIR-REP";#N/A,#N/A,FALSE,"AUD-REPORT";#N/A,#N/A,FALSE,"P7L&amp;BS";#N/A,#N/A,FALSE,"NOTES";#N/A,#N/A,FALSE,"FA";#N/A,#N/A,FALSE,"NOTES (2)";#N/A,#N/A,FALSE,"Schedule  IV";#N/A,#N/A,FALSE,"Schedule V"}</definedName>
    <definedName function="false" hidden="true" name="cert" vbProcedure="false">{"fis.dbo.r1_datasum"}</definedName>
    <definedName function="false" hidden="true" name="cert1" vbProcedure="false">{"fis.dbo.r1_datasum"}</definedName>
    <definedName function="false" hidden="true" name="cew" vbProcedure="false">{"ICD Details",#N/A,FALSE,"Current Yr";"ICD Details",#N/A,FALSE,"Budget";"ICD Details",#N/A,FALSE,"Prior Year"}</definedName>
    <definedName function="false" hidden="true" name="cf" vbProcedure="false">{"detail",#N/A,FALSE,"mfg";"summary",#N/A,FALSE,"mfg"}</definedName>
    <definedName function="false" hidden="true" name="cfg" vbProcedure="false">{"Act_vs_Budget",#N/A,FALSE,"QTRDPVAR";"Act_vs_Prior_Year",#N/A,FALSE,"QTRDPVAR"}</definedName>
    <definedName function="false" hidden="true" name="cfs" vbProcedure="false">{"YD LOUISIANA",#N/A,FALSE,"YTD"}</definedName>
    <definedName function="false" hidden="true" name="CFW" vbProcedure="false">#REF!</definedName>
    <definedName function="false" hidden="true" name="cg" vbProcedure="false">{#N/A,#N/A,FALSE,"TB";#N/A,#N/A,FALSE,"AR";#N/A,#N/A,FALSE,"BS";#N/A,#N/A,FALSE,"PL";#N/A,#N/A,FALSE,"NOTES";#N/A,#N/A,FALSE,"NOTES (2)";#N/A,#N/A,FALSE,"NOTES (3)";#N/A,#N/A,FALSE,"TAXC.INDEX";#N/A,#N/A,FALSE,"Schedule I";#N/A,#N/A,FALSE,"DPL";#N/A,#N/A,FALSE,"Schedule IV";#N/A,#N/A,FALSE,"Adjustments"}</definedName>
    <definedName function="false" hidden="true" name="cgtat" vbProcedure="false">{#N/A,#N/A,FALSE,"TB";#N/A,#N/A,FALSE,"DR";#N/A,#N/A,FALSE,"AR";#N/A,#N/A,FALSE,"BS";#N/A,#N/A,FALSE,"PL";#N/A,#N/A,FALSE,"NOTES";#N/A,#N/A,FALSE,"NOTES (2)";#N/A,#N/A,FALSE,"NOTES (3)";#N/A,#N/A,FALSE,"DPL";#N/A,#N/A,FALSE,"DPL"}</definedName>
    <definedName function="false" hidden="true" name="cgtg" vbProcedure="false">{#N/A,#N/A,FALSE,"TB";#N/A,#N/A,FALSE,"DR";#N/A,#N/A,FALSE,"AR";#N/A,#N/A,FALSE,"PL";#N/A,#N/A,FALSE,"BS";#N/A,#N/A,FALSE,"NOTES";#N/A,#N/A,FALSE,"NOTES (2)";#N/A,#N/A,FALSE,"NOTES (3)";#N/A,#N/A,FALSE,"DPL";#N/A,#N/A,FALSE,"TAXC.INDEX";#N/A,#N/A,FALSE,"Schedule I";#N/A,#N/A,FALSE,"Adjustments"}</definedName>
    <definedName function="false" hidden="true" name="cgtjot" vbProcedure="false">{#N/A,#N/A,FALSE,"TAXC.INDEX";#N/A,#N/A,FALSE,"Schedule I";#N/A,#N/A,FALSE,"Schedule  II";#N/A,#N/A,FALSE,"Schedule III"}</definedName>
    <definedName function="false" hidden="true" name="Change" vbProcedure="false">#N/A</definedName>
    <definedName function="false" hidden="true" name="Change2" vbProcedure="false">#N/A</definedName>
    <definedName function="false" hidden="true" name="Change3" vbProcedure="false">#N/A</definedName>
    <definedName function="false" hidden="true" name="Change4" vbProcedure="false">#N/A</definedName>
    <definedName function="false" hidden="true" name="ChangeRange" vbProcedure="false">#N/A</definedName>
    <definedName function="false" hidden="true" name="ChangeRange2" vbProcedure="false">#N/A</definedName>
    <definedName function="false" hidden="true" name="Chart" vbProcedure="false">{#N/A,#N/A,FALSE,"Pharm";#N/A,#N/A,FALSE,"WWCM"}</definedName>
    <definedName function="false" hidden="false" name="Check" vbProcedure="false">#REF!</definedName>
    <definedName function="false" hidden="true" name="check2" vbProcedure="false">{#N/A,#N/A,FALSE,"Res.2"}</definedName>
    <definedName function="false" hidden="false" name="CheckLimit" vbProcedure="false">#REF!</definedName>
    <definedName function="false" hidden="true" name="CHERCHE1" vbProcedure="false">{#N/A,#N/A,FALSE,"Presentation by Unit";#N/A,#N/A,FALSE,"Presentation by BD";#N/A,#N/A,FALSE,"Presentation Split by Biggest U";#N/A,#N/A,FALSE,"Presentation Split by Area";#N/A,#N/A,FALSE,"Presentation Split by BD"}</definedName>
    <definedName function="false" hidden="true" name="CHERCHE2" vbProcedure="false">{#N/A,#N/A,FALSE,"Presentation by Unit";#N/A,#N/A,FALSE,"Presentation by BD";#N/A,#N/A,FALSE,"Presentation Split by Biggest U";#N/A,#N/A,FALSE,"Presentation Split by Area";#N/A,#N/A,FALSE,"Presentation Split by BD"}</definedName>
    <definedName function="false" hidden="true" name="CHERCHE4" vbProcedure="false">{#N/A,#N/A,FALSE,"Presentation by Unit";#N/A,#N/A,FALSE,"Presentation by BD";#N/A,#N/A,FALSE,"Presentation Split by Biggest U";#N/A,#N/A,FALSE,"Presentation Split by Area";#N/A,#N/A,FALSE,"Presentation Split by BD"}</definedName>
    <definedName function="false" hidden="true" name="CHERCHE5" vbProcedure="false">{#N/A,#N/A,FALSE,"Presentation by Unit";#N/A,#N/A,FALSE,"Presentation by BD";#N/A,#N/A,FALSE,"Presentation Split by Biggest U";#N/A,#N/A,FALSE,"Presentation Split by Area";#N/A,#N/A,FALSE,"Presentation Split by BD"}</definedName>
    <definedName function="false" hidden="true" name="chiho" vbProcedure="false">{"'下期集計（10.27迄・速報値）'!$Q$16"}</definedName>
    <definedName function="false" hidden="true" name="chosie" vbProcedure="false">{#N/A,#N/A,FALSE,"Pharm";#N/A,#N/A,FALSE,"WWCM"}</definedName>
    <definedName function="false" hidden="true" name="christine" vbProcedure="false">{#N/A,#N/A,FALSE,"3";#N/A,#N/A,FALSE,"5";#N/A,#N/A,FALSE,"6";#N/A,#N/A,FALSE,"8";#N/A,#N/A,FALSE,"10";#N/A,#N/A,FALSE,"13";#N/A,#N/A,FALSE,"14";#N/A,#N/A,FALSE,"15";#N/A,#N/A,FALSE,"16"}</definedName>
    <definedName function="false" hidden="true" name="Christinea" vbProcedure="false">{#N/A,#N/A,FALSE,"3";#N/A,#N/A,FALSE,"5";#N/A,#N/A,FALSE,"6";#N/A,#N/A,FALSE,"8";#N/A,#N/A,FALSE,"10";#N/A,#N/A,FALSE,"13";#N/A,#N/A,FALSE,"14";#N/A,#N/A,FALSE,"15";#N/A,#N/A,FALSE,"16"}</definedName>
    <definedName function="false" hidden="true" name="CIQANR_0a24032824d14cec8b66e1cde760c44e" vbProcedure="false">#REF!</definedName>
    <definedName function="false" hidden="true" name="CIQANR_201e972a0e02462ea4e9e6f6fd5235ca" vbProcedure="false">#REF!</definedName>
    <definedName function="false" hidden="true" name="CIQWBGuid" vbProcedure="false">"ffc3fc28-a095-48ae-b78a-269f6d41994d"</definedName>
    <definedName function="false" hidden="true" name="CIQWBGuid_1" vbProcedure="false">"Project Spa Analysis v14.xlsx"</definedName>
    <definedName function="false" hidden="true" name="CIQWBInfo" vbProcedure="false">"{ ""CIQVersion"":""9.53.6531.4508"" }"</definedName>
    <definedName function="false" hidden="false" name="circ" vbProcedure="false">#REF!</definedName>
    <definedName function="false" hidden="true" name="cjbao" vbProcedure="false">{#N/A,#N/A,FALSE,"TAXC.INDEX";#N/A,#N/A,FALSE,"Schedule I";#N/A,#N/A,FALSE,"Schedule  II";#N/A,#N/A,FALSE,"Schedule III"}</definedName>
    <definedName function="false" hidden="true" name="cjbg" vbProcedure="false">{#N/A,#N/A,FALSE,"TB";#N/A,#N/A,FALSE,"DR";#N/A,#N/A,FALSE,"AR";#N/A,#N/A,FALSE,"BS";#N/A,#N/A,FALSE,"PL";#N/A,#N/A,FALSE,"NOTES";#N/A,#N/A,FALSE,"NOTES (2)";#N/A,#N/A,FALSE,"NOTES (3)";#N/A,#N/A,FALSE,"DPL";#N/A,#N/A,FALSE,"DPL"}</definedName>
    <definedName function="false" hidden="true" name="cjboag" vbProcedure="false">{#N/A,#N/A,FALSE,"TB";#N/A,#N/A,FALSE,"AR";#N/A,#N/A,FALSE,"BS";#N/A,#N/A,FALSE,"PL";#N/A,#N/A,FALSE,"NOTES";#N/A,#N/A,FALSE,"NOTES (2)";#N/A,#N/A,FALSE,"NOTES (3)";#N/A,#N/A,FALSE,"TAXC.INDEX";#N/A,#N/A,FALSE,"Schedule I";#N/A,#N/A,FALSE,"DPL";#N/A,#N/A,FALSE,"Schedule IV";#N/A,#N/A,FALSE,"Adjustments"}</definedName>
    <definedName function="false" hidden="true" name="cjgboat" vbProcedure="false">{#N/A,#N/A,FALSE,"TAXC.INDEX";#N/A,#N/A,FALSE,"Schedule I";#N/A,#N/A,FALSE,"Schedule  II";#N/A,#N/A,FALSE,"Schedule III"}</definedName>
    <definedName function="false" hidden="true" name="cjghjhj" vbProcedure="false">{#N/A,#N/A,FALSE,"Umsatz CH";#N/A,#N/A,FALSE,"ER CH";#N/A,#N/A,FALSE,"EA CH (2) ";#N/A,#N/A,FALSE,"EA CH";#N/A,#N/A,FALSE,"EA CH (3) ";#N/A,#N/A,FALSE,"EA CH (4)";#N/A,#N/A,FALSE,"KA CH";#N/A,#N/A,FALSE,"KA CH  (2)";#N/A,#N/A,FALSE,"KA CH  (3)";#N/A,#N/A,FALSE,"KA CH (4)"}</definedName>
    <definedName function="false" hidden="true" name="cjjg" vbProcedure="false">{#N/A,#N/A,FALSE,"DIR-REP";#N/A,#N/A,FALSE,"AUD-REPORT";#N/A,#N/A,FALSE,"P7L&amp;BS";#N/A,#N/A,FALSE,"NOTES";#N/A,#N/A,FALSE,"FA";#N/A,#N/A,FALSE,"NOTES (2)";#N/A,#N/A,FALSE,"Schedule  IV";#N/A,#N/A,FALSE,"Schedule V"}</definedName>
    <definedName function="false" hidden="true" name="cjlds" vbProcedure="false">{#N/A,#N/A,FALSE,"CONTENTS";#N/A,#N/A,FALSE,"DR";#N/A,#N/A,FALSE,"PL";#N/A,#N/A,FALSE,"BS";#N/A,#N/A,FALSE,"Cash Flow";#N/A,#N/A,FALSE,"NOTES";#N/A,#N/A,FALSE,"NOTES (FA)";#N/A,#N/A,FALSE,"Notes(3)";#N/A,#N/A,FALSE,"NOTES (4)";#N/A,#N/A,FALSE,"DP&amp;L";#N/A,#N/A,FALSE,"EXPENSES";#N/A,#N/A,FALSE,"EXPENSES-1"}</definedName>
    <definedName function="false" hidden="true" name="cjlg" vbProcedure="false">{#N/A,#N/A,FALSE,"DIR-REP";#N/A,#N/A,FALSE,"AUD-REPORT";#N/A,#N/A,FALSE,"P7L&amp;BS";#N/A,#N/A,FALSE,"NOTES";#N/A,#N/A,FALSE,"FA";#N/A,#N/A,FALSE,"NOTES (2)";#N/A,#N/A,FALSE,"Schedule  IV";#N/A,#N/A,FALSE,"Schedule V"}</definedName>
    <definedName function="false" hidden="true" name="cjoga" vbProcedure="false">{#N/A,#N/A,FALSE,"TAXC.INDEX";#N/A,#N/A,FALSE,"Schedule I";#N/A,#N/A,FALSE,"Schedule  II";#N/A,#N/A,FALSE,"Schedule III";#N/A,#N/A,FALSE,"Schedule IV";#N/A,#N/A,FALSE,"Schedule IV (Cont'd)";#N/A,#N/A,FALSE,"Schedule V";#N/A,#N/A,FALSE,"Schedule VI";#N/A,#N/A,FALSE,"Schedule VII"}</definedName>
    <definedName function="false" hidden="true" name="cjtoat" vbProcedure="false">{#N/A,#N/A,FALSE,"TB";#N/A,#N/A,FALSE,"AR";#N/A,#N/A,FALSE,"BS";#N/A,#N/A,FALSE,"PL";#N/A,#N/A,FALSE,"NOTES";#N/A,#N/A,FALSE,"NOTES (2)";#N/A,#N/A,FALSE,"NOTES (3)";#N/A,#N/A,FALSE,"TAXC.INDEX";#N/A,#N/A,FALSE,"Schedule I";#N/A,#N/A,FALSE,"DPL";#N/A,#N/A,FALSE,"Schedule IV";#N/A,#N/A,FALSE,"Adjustments"}</definedName>
    <definedName function="false" hidden="true" name="ckde" vbProcedure="false">{#N/A,#N/A,FALSE,"TB";#N/A,#N/A,FALSE,"DR";#N/A,#N/A,FALSE,"AR";#N/A,#N/A,FALSE,"PL";#N/A,#N/A,FALSE,"BS";#N/A,#N/A,FALSE,"NOTES";#N/A,#N/A,FALSE,"NOTES (2)";#N/A,#N/A,FALSE,"NOTES (3)";#N/A,#N/A,FALSE,"DPL";#N/A,#N/A,FALSE,"TAXC.INDEX";#N/A,#N/A,FALSE,"Schedule I";#N/A,#N/A,FALSE,"Adjustments"}</definedName>
    <definedName function="false" hidden="true" name="CKFGKG" vbProcedure="false">{#N/A,#N/A,FALSE,"00 P&amp;L vs 99"}</definedName>
    <definedName function="false" hidden="true" name="CL" vbProcedure="false">1</definedName>
    <definedName function="false" hidden="true" name="cls." vbProcedure="false">{#N/A,#N/A,TRUE,"COVER";#N/A,#N/A,TRUE,"DIR";#N/A,#N/A,TRUE,"AUDIT"}</definedName>
    <definedName function="false" hidden="true" name="CLsysID" vbProcedure="false">"BWP"</definedName>
    <definedName function="false" hidden="true" name="COCO" vbProcedure="false">{#N/A,"Mechanic Tools Czech",FALSE,"P&amp;L"}</definedName>
    <definedName function="false" hidden="true" name="cococo" vbProcedure="false">{#N/A,#N/A,FALSE,"TAXC.INDEX";#N/A,#N/A,FALSE,"Schedule I";#N/A,#N/A,FALSE,"Schedule  II";#N/A,#N/A,FALSE,"Schedule III"}</definedName>
    <definedName function="false" hidden="true" name="cogl" vbProcedure="false">{#N/A,#N/A,FALSE,"TB";#N/A,#N/A,FALSE,"DR";#N/A,#N/A,FALSE,"AR";#N/A,#N/A,FALSE,"BS";#N/A,#N/A,FALSE,"PL";#N/A,#N/A,FALSE,"NOTES";#N/A,#N/A,FALSE,"NOTES (2)";#N/A,#N/A,FALSE,"NOTES (3)";#N/A,#N/A,FALSE,"DPL";#N/A,#N/A,FALSE,"DPL"}</definedName>
    <definedName function="false" hidden="true" name="COGstandard" vbProcedure="false">{#N/A,#N/A,FALSE,"Pharm";#N/A,#N/A,FALSE,"WWCM"}</definedName>
    <definedName function="false" hidden="false" name="COGS_Keyword" vbProcedure="false">#REF!</definedName>
    <definedName function="false" hidden="true" name="colTypeRow" vbProcedure="false">#REF!</definedName>
    <definedName function="false" hidden="true" name="column1Row" vbProcedure="false">#REF!</definedName>
    <definedName function="false" hidden="true" name="column2Row" vbProcedure="false">#REF!</definedName>
    <definedName function="false" hidden="true" name="columnIndexRow" vbProcedure="false">#REF!</definedName>
    <definedName function="false" hidden="true" name="COMBO" vbProcedure="false">"Afdelinger"</definedName>
    <definedName function="false" hidden="true" name="comite" vbProcedure="false">{"'comite'!$A$9:$G$44","'comite'!$A$1:$G$6"}</definedName>
    <definedName function="false" hidden="true" name="Comp" vbProcedure="false">{"First Page",#N/A,FALSE,"Surfactants LBO";"Second Page",#N/A,FALSE,"Surfactants LBO"}</definedName>
    <definedName function="false" hidden="true"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COMPANY" vbProcedure="false">"DAT"</definedName>
    <definedName function="false" hidden="true" name="CompanyName" vbProcedure="false">#REF!</definedName>
    <definedName function="false" hidden="true" name="companyRow" vbProcedure="false">#REF!</definedName>
    <definedName function="false" hidden="true" name="Comparable" vbProcedure="false">{"First Page",#N/A,FALSE,"Surfactants LBO";"Second Page",#N/A,FALSE,"Surfactants LBO"}</definedName>
    <definedName function="false" hidden="true" name="Consolidation" vbProcedure="false">{"'Internat.oper.netti'!$B$1:$J$25"}</definedName>
    <definedName function="false" hidden="true" name="Conso_Sd" vbProcedure="false">#REF!</definedName>
    <definedName function="false" hidden="true" name="Conso_Stan" vbProcedure="false">#REF!</definedName>
    <definedName function="false" hidden="false" name="Convert_t" vbProcedure="false">#REF!</definedName>
    <definedName function="false" hidden="true" name="coocl" vbProcedure="false">{#N/A,#N/A,FALSE,"DIR-REP";#N/A,#N/A,FALSE,"AUD-REPORT";#N/A,#N/A,FALSE,"P7L&amp;BS";#N/A,#N/A,FALSE,"NOTES";#N/A,#N/A,FALSE,"FA";#N/A,#N/A,FALSE,"NOTES (2)";#N/A,#N/A,FALSE,"Schedule  IV";#N/A,#N/A,FALSE,"Schedule V"}</definedName>
    <definedName function="false" hidden="true" name="cooo" vbProcedure="false">{#N/A,#N/A,FALSE,"CONTENTS";#N/A,#N/A,FALSE,"DR";#N/A,#N/A,FALSE,"PL";#N/A,#N/A,FALSE,"BS";#N/A,#N/A,FALSE,"Cash Flow";#N/A,#N/A,FALSE,"NOTES";#N/A,#N/A,FALSE,"NOTES (FA)";#N/A,#N/A,FALSE,"Notes(3)";#N/A,#N/A,FALSE,"NOTES (4)";#N/A,#N/A,FALSE,"DP&amp;L";#N/A,#N/A,FALSE,"EXPENSES";#N/A,#N/A,FALSE,"EXPENSES-1"}</definedName>
    <definedName function="false" hidden="true" name="cooper2" vbProcedure="false">{#N/A,#N/A,TRUE,"Pro Forma";#N/A,#N/A,TRUE,"PF_Bal";#N/A,#N/A,TRUE,"PF_INC";#N/A,#N/A,TRUE,"CBE";#N/A,#N/A,TRUE,"SWK"}</definedName>
    <definedName function="false" hidden="true" name="cop" vbProcedure="false">{"First Page",#N/A,FALSE,"Surfactants LBO";"Second Page",#N/A,FALSE,"Surfactants LBO"}</definedName>
    <definedName function="false" hidden="true" name="COPY" vbProcedure="false">{#N/A,#N/A,FALSE,"Pharm";#N/A,#N/A,FALSE,"WWCM"}</definedName>
    <definedName function="false" hidden="true" name="copy1" vbProcedure="false">{#N/A,#N/A,FALSE,"Pharm";#N/A,#N/A,FALSE,"WWCM"}</definedName>
    <definedName function="false" hidden="true" name="COPY2" vbProcedure="false">{#N/A,#N/A,FALSE,"Pharm";#N/A,#N/A,FALSE,"WWCM"}</definedName>
    <definedName function="false" hidden="true" name="copy233" vbProcedure="false">{#N/A,#N/A,FALSE,"Pharm";#N/A,#N/A,FALSE,"WWCM"}</definedName>
    <definedName function="false" hidden="true" name="copy33" vbProcedure="false">{#N/A,#N/A,FALSE,"Pharm";#N/A,#N/A,FALSE,"WWCM"}</definedName>
    <definedName function="false" hidden="true" name="copy38" vbProcedure="false">{#N/A,#N/A,FALSE,"Pharm";#N/A,#N/A,FALSE,"WWCM"}</definedName>
    <definedName function="false" hidden="true" name="CopyWord" vbProcedure="false">#REF!</definedName>
    <definedName function="false" hidden="true" name="cosls" vbProcedure="false">{#N/A,#N/A,FALSE,"TAXC.INDEX";#N/A,#N/A,FALSE,"Schedule I";#N/A,#N/A,FALSE,"Schedule  II";#N/A,#N/A,FALSE,"Schedule III";#N/A,#N/A,FALSE,"Schedule IV";#N/A,#N/A,FALSE,"Schedule IV (Cont'd)";#N/A,#N/A,FALSE,"Schedule V";#N/A,#N/A,FALSE,"Schedule VI";#N/A,#N/A,FALSE,"Schedule VII"}</definedName>
    <definedName function="false" hidden="true" name="coslt" vbProcedure="false">{#N/A,#N/A,FALSE,"TB";#N/A,#N/A,FALSE,"DR";#N/A,#N/A,FALSE,"AR";#N/A,#N/A,FALSE,"PL";#N/A,#N/A,FALSE,"BS";#N/A,#N/A,FALSE,"NOTES";#N/A,#N/A,FALSE,"NOTES (2)";#N/A,#N/A,FALSE,"NOTES (3)";#N/A,#N/A,FALSE,"DPL";#N/A,#N/A,FALSE,"TAXC.INDEX";#N/A,#N/A,FALSE,"Schedule I";#N/A,#N/A,FALSE,"Adjustments"}</definedName>
    <definedName function="false" hidden="true" name="costa" vbProcedure="false">{#N/A,#N/A,FALSE,"TAXC.INDEX";#N/A,#N/A,FALSE,"Schedule I";#N/A,#N/A,FALSE,"Schedule  II";#N/A,#N/A,FALSE,"Schedule III";#N/A,#N/A,FALSE,"Schedule IV";#N/A,#N/A,FALSE,"Schedule IV (Cont'd)";#N/A,#N/A,FALSE,"Schedule V";#N/A,#N/A,FALSE,"Schedule VI";#N/A,#N/A,FALSE,"Schedule VII"}</definedName>
    <definedName function="false" hidden="true" name="cotalta" vbProcedure="false">{#N/A,#N/A,FALSE,"DIR-REP";#N/A,#N/A,FALSE,"AUD-REPORT";#N/A,#N/A,FALSE,"P7L&amp;BS";#N/A,#N/A,FALSE,"NOTES";#N/A,#N/A,FALSE,"FA";#N/A,#N/A,FALSE,"NOTES (2)";#N/A,#N/A,FALSE,"Schedule  IV";#N/A,#N/A,FALSE,"Schedule V"}</definedName>
    <definedName function="false" hidden="true" name="cotalta." vbProcedure="false">{#N/A,#N/A,FALSE,"TB";#N/A,#N/A,FALSE,"DR";#N/A,#N/A,FALSE,"AR";#N/A,#N/A,FALSE,"PL";#N/A,#N/A,FALSE,"BS";#N/A,#N/A,FALSE,"NOTES";#N/A,#N/A,FALSE,"NOTES (2)";#N/A,#N/A,FALSE,"NOTES (3)";#N/A,#N/A,FALSE,"DPL";#N/A,#N/A,FALSE,"TAXC.INDEX";#N/A,#N/A,FALSE,"Schedule I";#N/A,#N/A,FALSE,"Adjustments"}</definedName>
    <definedName function="false" hidden="true" name="cotl" vbProcedure="false">{#N/A,#N/A,FALSE,"TAXC.INDEX";#N/A,#N/A,FALSE,"Schedule I";#N/A,#N/A,FALSE,"Schedule  II";#N/A,#N/A,FALSE,"Schedule III";#N/A,#N/A,FALSE,"Schedule IV";#N/A,#N/A,FALSE,"Schedule IV (Cont'd)";#N/A,#N/A,FALSE,"Schedule V";#N/A,#N/A,FALSE,"Schedule VI";#N/A,#N/A,FALSE,"Schedule VII"}</definedName>
    <definedName function="false" hidden="true" name="cotlam" vbProcedure="false">{#N/A,#N/A,FALSE,"DIR-REP";#N/A,#N/A,FALSE,"AUD-REPORT";#N/A,#N/A,FALSE,"P7L&amp;BS";#N/A,#N/A,FALSE,"NOTES";#N/A,#N/A,FALSE,"FA";#N/A,#N/A,FALSE,"NOTES (2)";#N/A,#N/A,FALSE,"Schedule  IV";#N/A,#N/A,FALSE,"Schedule V"}</definedName>
    <definedName function="false" hidden="true" name="cotlat" vbProcedure="false">{#N/A,#N/A,FALSE,"DIR-REP";#N/A,#N/A,FALSE,"AUD-REPORT";#N/A,#N/A,FALSE,"P7L&amp;BS";#N/A,#N/A,FALSE,"NOTES";#N/A,#N/A,FALSE,"FA";#N/A,#N/A,FALSE,"NOTES (2)";#N/A,#N/A,FALSE,"Schedule  IV";#N/A,#N/A,FALSE,"Schedule V"}</definedName>
    <definedName function="false" hidden="true" name="cotls" vbProcedure="false">{#N/A,#N/A,TRUE,"COVER";#N/A,#N/A,TRUE,"DIR";#N/A,#N/A,TRUE,"AUDIT"}</definedName>
    <definedName function="false" hidden="true" name="cotlsot" vbProcedure="false">{#N/A,#N/A,FALSE,"CONTENTS";#N/A,#N/A,FALSE,"DR";#N/A,#N/A,FALSE,"PL";#N/A,#N/A,FALSE,"BS";#N/A,#N/A,FALSE,"Cash Flow";#N/A,#N/A,FALSE,"NOTES";#N/A,#N/A,FALSE,"NOTES (FA)";#N/A,#N/A,FALSE,"Notes(3)";#N/A,#N/A,FALSE,"NOTES (4)";#N/A,#N/A,FALSE,"DP&amp;L";#N/A,#N/A,FALSE,"EXPENSES";#N/A,#N/A,FALSE,"EXPENSES-1"}</definedName>
    <definedName function="false" hidden="true" name="cotlt" vbProcedure="false">{#N/A,#N/A,FALSE,"TB";#N/A,#N/A,FALSE,"AR";#N/A,#N/A,FALSE,"BS";#N/A,#N/A,FALSE,"PL";#N/A,#N/A,FALSE,"NOTES";#N/A,#N/A,FALSE,"NOTES (2)";#N/A,#N/A,FALSE,"NOTES (3)";#N/A,#N/A,FALSE,"TAXC.INDEX";#N/A,#N/A,FALSE,"Schedule I";#N/A,#N/A,FALSE,"DPL";#N/A,#N/A,FALSE,"Schedule IV";#N/A,#N/A,FALSE,"Adjustments"}</definedName>
    <definedName function="false" hidden="true" name="cots" vbProcedure="false">{#N/A,#N/A,FALSE,"TB";#N/A,#N/A,FALSE,"DR";#N/A,#N/A,FALSE,"AR";#N/A,#N/A,FALSE,"BS";#N/A,#N/A,FALSE,"PL";#N/A,#N/A,FALSE,"NOTES";#N/A,#N/A,FALSE,"NOTES (2)";#N/A,#N/A,FALSE,"NOTES (3)";#N/A,#N/A,FALSE,"DPL";#N/A,#N/A,FALSE,"DPL"}</definedName>
    <definedName function="false" hidden="true" name="cotsl" vbProcedure="false">{#N/A,#N/A,FALSE,"TB";#N/A,#N/A,FALSE,"AR";#N/A,#N/A,FALSE,"BS";#N/A,#N/A,FALSE,"PL";#N/A,#N/A,FALSE,"NOTES";#N/A,#N/A,FALSE,"NOTES (2)";#N/A,#N/A,FALSE,"NOTES (3)";#N/A,#N/A,FALSE,"TAXC.INDEX";#N/A,#N/A,FALSE,"Schedule I";#N/A,#N/A,FALSE,"DPL";#N/A,#N/A,FALSE,"Schedule IV";#N/A,#N/A,FALSE,"Adjustments"}</definedName>
    <definedName function="false" hidden="true" name="coucou" vbProcedure="false">{#N/A,#N/A,TRUE,"Cover sheet";#N/A,#N/A,TRUE,"INPUTS";#N/A,#N/A,TRUE,"OUTPUTS";#N/A,#N/A,TRUE,"VALUATION"}</definedName>
    <definedName function="false" hidden="false" name="Country_list" vbProcedure="false">#REF!</definedName>
    <definedName function="false" hidden="false" name="Criteria_2" vbProcedure="false">#REF!</definedName>
    <definedName function="false" hidden="true" name="cs" vbProcedure="false">{"AS REP",#N/A,FALSE,"EEFSNAP2";"PROP",#N/A,FALSE,"EEFSNAP2";"RISKS",#N/A,FALSE,"EEFSNAP2";"VIEW ALL",#N/A,FALSE,"EEFSNAP2"}</definedName>
    <definedName function="false" hidden="true" name="csa" vbProcedure="false">{"TXO2N2_GP",#N/A,FALSE,"MTHLYGP";"TXH2_GP",#N/A,FALSE,"MTHLYGP";"LOUIS_GP",#N/A,FALSE,"MTHLYGP";"H2_GP",#N/A,FALSE,"MTHLYGP";"O2N2_GP",#N/A,FALSE,"MTHLYGP";"PACKAGE_GP",#N/A,FALSE,"MTHLYGP";"OTHER_GP",#N/A,FALSE,"MTHLYGP"}</definedName>
    <definedName function="false" hidden="true" name="ct" vbProcedure="false">{"Units A",#N/A,FALSE,"FY95SLS";"Units B",#N/A,FALSE,"FY95SLS"}</definedName>
    <definedName function="false" hidden="true" name="ctatatat" vbProcedure="false">{#N/A,#N/A,FALSE,"DIR-REP";#N/A,#N/A,FALSE,"AUD-REPORT";#N/A,#N/A,FALSE,"P7L&amp;BS";#N/A,#N/A,FALSE,"NOTES";#N/A,#N/A,FALSE,"FA";#N/A,#N/A,FALSE,"NOTES (2)";#N/A,#N/A,FALSE,"Schedule  IV";#N/A,#N/A,FALSE,"Schedule V"}</definedName>
    <definedName function="false" hidden="true" name="ctf" vbProcedure="false">{#N/A,#N/A,FALSE,"TB";#N/A,#N/A,FALSE,"DR";#N/A,#N/A,FALSE,"AR";#N/A,#N/A,FALSE,"PL";#N/A,#N/A,FALSE,"BS";#N/A,#N/A,FALSE,"NOTES";#N/A,#N/A,FALSE,"NOTES (2)";#N/A,#N/A,FALSE,"NOTES (3)";#N/A,#N/A,FALSE,"DPL";#N/A,#N/A,FALSE,"TAXC.INDEX";#N/A,#N/A,FALSE,"Schedule I";#N/A,#N/A,FALSE,"Adjustments"}</definedName>
    <definedName function="false" hidden="true" name="ctgtt" vbProcedure="false">{#N/A,#N/A,TRUE,"COVER";#N/A,#N/A,TRUE,"DIR";#N/A,#N/A,TRUE,"AUDIT"}</definedName>
    <definedName function="false" hidden="true" name="ctlllo" vbProcedure="false">{#N/A,#N/A,FALSE,"TB";#N/A,#N/A,FALSE,"DR";#N/A,#N/A,FALSE,"AR";#N/A,#N/A,FALSE,"PL";#N/A,#N/A,FALSE,"BS";#N/A,#N/A,FALSE,"NOTES";#N/A,#N/A,FALSE,"NOTES (2)";#N/A,#N/A,FALSE,"NOTES (3)";#N/A,#N/A,FALSE,"DPL";#N/A,#N/A,FALSE,"TAXC.INDEX";#N/A,#N/A,FALSE,"Schedule I";#N/A,#N/A,FALSE,"Adjustments"}</definedName>
    <definedName function="false" hidden="true" name="cu102.ShareScalingFactor" vbProcedure="false">1000000</definedName>
    <definedName function="false" hidden="true" name="cu103.EmployeeScalingFactor" vbProcedure="false">1000</definedName>
    <definedName function="false" hidden="true" name="cu107.DPSSymbol" vbProcedure="false">"US$"</definedName>
    <definedName function="false" hidden="true" name="cu107.EPSSymbol" vbProcedure="false">"US$"</definedName>
    <definedName function="false" hidden="true" name="cu71.ScalingFactor" vbProcedure="false">1000000</definedName>
    <definedName function="false" hidden="true" name="CurMonth" vbProcedure="false">#REF!</definedName>
    <definedName function="false" hidden="true" name="CURRENCYVALUE" vbProcedure="false">100</definedName>
    <definedName function="false" hidden="true" name="CURRENCYVALUE2" vbProcedure="false">100</definedName>
    <definedName function="false" hidden="false" name="Currency_unit" vbProcedure="false">#REF!</definedName>
    <definedName function="false" hidden="true" name="cursource" vbProcedure="false">"SQLServer"</definedName>
    <definedName function="false" hidden="false" name="Customer_info_list" vbProcedure="false">#REF!</definedName>
    <definedName function="false" hidden="true" name="CUTDATE" vbProcedure="false">" "</definedName>
    <definedName function="false" hidden="true" name="cutoff" vbProcedure="false">#REF!</definedName>
    <definedName function="false" hidden="true" name="cv" vbProcedure="false">{#N/A,#N/A,FALSE,"TB";#N/A,#N/A,FALSE,"DR";#N/A,#N/A,FALSE,"AR";#N/A,#N/A,FALSE,"BS";#N/A,#N/A,FALSE,"PL";#N/A,#N/A,FALSE,"NOTES";#N/A,#N/A,FALSE,"NOTES (2)";#N/A,#N/A,FALSE,"NOTES (3)";#N/A,#N/A,FALSE,"DPL";#N/A,#N/A,FALSE,"DPL"}</definedName>
    <definedName function="false" hidden="true" name="cvb" vbProcedure="false">{"detail",#N/A,FALSE,"mfg";"summary",#N/A,FALSE,"mfg"}</definedName>
    <definedName function="false" hidden="true" name="cvbn" vbProcedure="false">{"vol data",#N/A,FALSE,"Datasheet";"vol graph",#N/A,FALSE,"Volume";"price data",#N/A,FALSE,"Datasheet";"price graph",#N/A,FALSE,"Price";"dp data",#N/A,FALSE,"Datasheet";"dp graph",#N/A,FALSE,"DirectProfit"}</definedName>
    <definedName function="false" hidden="true" name="cvbncvnvbn" vbProcedure="false">{#N/A,#N/A,FALSE,"Operations";#N/A,#N/A,FALSE,"Financials"}</definedName>
    <definedName function="false" hidden="true" name="cvc" vbProcedure="false">{#N/A,#N/A,FALSE,"KA CH  (2)"}</definedName>
    <definedName function="false" hidden="true" name="cvcv" vbProcedure="false">{"AS REP",#N/A,FALSE,"EEFSNAP2";"PROP",#N/A,FALSE,"EEFSNAP2";"RISKS",#N/A,FALSE,"EEFSNAP2";"VIEW ALL",#N/A,FALSE,"EEFSNAP2"}</definedName>
    <definedName function="false" hidden="true" name="CVNCVNBVN" vbProcedure="false">{"comp1",#N/A,FALSE,"COMPS";"footnotes",#N/A,FALSE,"COMPS"}</definedName>
    <definedName function="false" hidden="true" name="cvwxv" vbProcedure="false">{#N/A,#N/A,FALSE,"Res.2"}</definedName>
    <definedName function="false" hidden="true" name="cxv"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cxvsd"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cz" vbProcedure="false">{"pro_view",#N/A,FALSE,"EEFSNAP2";"rep_view",#N/A,FALSE,"EEFSNAP2"}</definedName>
    <definedName function="false" hidden="true" name="czf" vbProcedure="false">{"AS REP",#N/A,FALSE,"EEFSNAP2";"PROP",#N/A,FALSE,"EEFSNAP2";"RISKS",#N/A,FALSE,"EEFSNAP2";"VIEW ALL",#N/A,FALSE,"EEFSNAP2"}</definedName>
    <definedName function="false" hidden="false" name="C_ScenNum" vbProcedure="false">#REF!</definedName>
    <definedName function="false" hidden="true" name="d" vbProcedure="false">#REF!</definedName>
    <definedName function="false" hidden="true" name="da" vbProcedure="false">#REF!</definedName>
    <definedName function="false" hidden="true" name="DAD" vbProcedure="false">{#N/A,#N/A,FALSE,"REPORT"}</definedName>
    <definedName function="false" hidden="true" name="dada" vbProcedure="false">{#N/A,#N/A,FALSE,"3";#N/A,#N/A,FALSE,"5";#N/A,#N/A,FALSE,"6";#N/A,#N/A,FALSE,"8";#N/A,#N/A,FALSE,"10";#N/A,#N/A,FALSE,"13";#N/A,#N/A,FALSE,"14";#N/A,#N/A,FALSE,"15";#N/A,#N/A,FALSE,"16"}</definedName>
    <definedName function="false" hidden="true" name="DADF" vbProcedure="false">{#N/A,#N/A,FALSE,"REPORT"}</definedName>
    <definedName function="false" hidden="true" name="daf" vbProcedure="false">{#N/A,#N/A,FALSE,"1";#N/A,#N/A,FALSE,"2";#N/A,#N/A,FALSE,"16 - 17";#N/A,#N/A,FALSE,"18 - 19";#N/A,#N/A,FALSE,"26";#N/A,#N/A,FALSE,"27";#N/A,#N/A,FALSE,"28"}</definedName>
    <definedName function="false" hidden="true" name="dafgadg" vbProcedure="false">{"consolidated",#N/A,FALSE,"Sheet1";"cms",#N/A,FALSE,"Sheet1";"fse",#N/A,FALSE,"Sheet1"}</definedName>
    <definedName function="false" hidden="true" name="dafgadgf" vbProcedure="false">{"hiden",#N/A,FALSE,"14";"hidden",#N/A,FALSE,"16";"hidden",#N/A,FALSE,"18";"hidden",#N/A,FALSE,"20"}</definedName>
    <definedName function="false" hidden="true" name="dakfkjafgkeaj" vbProcedure="false">{#N/A,#N/A,FALSE,"Pharm";#N/A,#N/A,FALSE,"WWCM"}</definedName>
    <definedName function="false" hidden="true" name="DALS_GrandTotal" vbProcedure="false">#REF!</definedName>
    <definedName function="false" hidden="true" name="das" vbProcedure="false">{#N/A,#N/A,FALSE,"Produkte Erw.";#N/A,#N/A,FALSE,"Produkte Plan";#N/A,#N/A,FALSE,"Leistungen Erw.";#N/A,#N/A,FALSE,"Leistungen Plan";#N/A,#N/A,FALSE,"KA Allg.Kosten (2)";#N/A,#N/A,FALSE,"KA All.Kosten"}</definedName>
    <definedName function="false" hidden="true" name="dasdasdas" vbProcedure="false">{#N/A,#N/A,FALSE,"3";#N/A,#N/A,FALSE,"5";#N/A,#N/A,FALSE,"6";#N/A,#N/A,FALSE,"8";#N/A,#N/A,FALSE,"10";#N/A,#N/A,FALSE,"13";#N/A,#N/A,FALSE,"14";#N/A,#N/A,FALSE,"15";#N/A,#N/A,FALSE,"16"}</definedName>
    <definedName function="false" hidden="true" name="data" vbProcedure="false">{#N/A,#N/A,FALSE,"Budget 2001-2002 (2)"}</definedName>
    <definedName function="false" hidden="true" name="DATA_01" vbProcedure="false">#REF!</definedName>
    <definedName function="false" hidden="true" name="DATA_02" vbProcedure="false">#REF!</definedName>
    <definedName function="false" hidden="true" name="DATA_03" vbProcedure="false">#REF!</definedName>
    <definedName function="false" hidden="true" name="DATA_04" vbProcedure="false">#REF!</definedName>
    <definedName function="false" hidden="true" name="DATA_05" vbProcedure="false">#REF!</definedName>
    <definedName function="false" hidden="true" name="DATA_06" vbProcedure="false">#REF!</definedName>
    <definedName function="false" hidden="true" name="DATA_07" vbProcedure="false">#REF!</definedName>
    <definedName function="false" hidden="true" name="DATA_08" vbProcedure="false">#REF!</definedName>
    <definedName function="false" hidden="true" name="Data_summary"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dave" vbProcedure="false">{"fis.dbo.r1_datasum"}</definedName>
    <definedName function="false" hidden="true" name="day" vbProcedure="false">{#N/A,#N/A,FALSE,"DIR-REP";#N/A,#N/A,FALSE,"AUD-REPORT";#N/A,#N/A,FALSE,"P7L&amp;BS";#N/A,#N/A,FALSE,"NOTES";#N/A,#N/A,FALSE,"FA";#N/A,#N/A,FALSE,"NOTES (2)";#N/A,#N/A,FALSE,"Schedule  IV";#N/A,#N/A,FALSE,"Schedule V"}</definedName>
    <definedName function="false" hidden="true" name="DA_2363882856400000306" vbProcedure="false">#REF!</definedName>
    <definedName function="false" hidden="true" name="DA_2400979701300000014" vbProcedure="false">#REF!</definedName>
    <definedName function="false" hidden="true" name="DA_2400979701300000018" vbProcedure="false">#REF!</definedName>
    <definedName function="false" hidden="true" name="DA_2740559097700022579" vbProcedure="false">#REF!</definedName>
    <definedName function="false" hidden="true" name="dbase_char_set" vbProcedure="false">1</definedName>
    <definedName function="false" hidden="true" name="dbase_compatibility" vbProcedure="false">1</definedName>
    <definedName function="false" hidden="true" name="dbase_dflt" vbProcedure="false">TRUE()</definedName>
    <definedName function="false" hidden="true" name="DBSDFSDF" vbProcedure="false">{#N/A,#N/A,FALSE,"P&amp;L Variance";#N/A,#N/A,FALSE,"Location P&amp;L (Actual)";#N/A,#N/A,FALSE,"Location P&amp;L (Budget)";#N/A,#N/A,FALSE,"Location P&amp;L (Variance)";#N/A,#N/A,FALSE,"By Month P&amp;L"}</definedName>
    <definedName function="false" hidden="true"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dd" vbProcedure="false">{#N/A,#N/A,FALSE,"Pharm";#N/A,#N/A,FALSE,"WWCM"}</definedName>
    <definedName function="false" hidden="true" name="ddd" vbProcedure="false">{#N/A,#N/A,FALSE,"Pharm";#N/A,#N/A,FALSE,"WWCM"}</definedName>
    <definedName function="false" hidden="true" name="ddda" vbProcedure="false">{#N/A,#N/A,FALSE,"DIR-REP";#N/A,#N/A,FALSE,"AUD-REPORT";#N/A,#N/A,FALSE,"P7L&amp;BS";#N/A,#N/A,FALSE,"NOTES";#N/A,#N/A,FALSE,"FA";#N/A,#N/A,FALSE,"NOTES (2)";#N/A,#N/A,FALSE,"Schedule  IV";#N/A,#N/A,FALSE,"Schedule V"}</definedName>
    <definedName function="false" hidden="true" name="dddaz" vbProcedure="false">{#N/A,#N/A,FALSE,"Pharm";#N/A,#N/A,FALSE,"WWCM"}</definedName>
    <definedName function="false" hidden="true" name="dddd" vbProcedure="false">#REF!</definedName>
    <definedName function="false" hidden="true" name="dddddd" vbProcedure="false">{#N/A,#N/A,FALSE,"Pharm";#N/A,#N/A,FALSE,"WWCM"}</definedName>
    <definedName function="false" hidden="true" name="ddddddd" vbProcedure="false">{"detail",#N/A,FALSE,"mfg";"summary",#N/A,FALSE,"mfg"}</definedName>
    <definedName function="false" hidden="true" name="dddddddd" vbProcedure="false">{#N/A,#N/A,FALSE,"Presentation by Unit";#N/A,#N/A,FALSE,"Presentation by BD";#N/A,#N/A,FALSE,"Presentation Split by Biggest U";#N/A,#N/A,FALSE,"Presentation Split by Area";#N/A,#N/A,FALSE,"Presentation Split by BD"}</definedName>
    <definedName function="false" hidden="true" name="ddddddddddd" vbProcedure="false">{"US Current",#N/A,FALSE,"Mthly BS"}</definedName>
    <definedName function="false" hidden="true" name="dde" vbProcedure="false">{#N/A,#N/A,TRUE,"Pro Forma";#N/A,#N/A,TRUE,"PF_Bal";#N/A,#N/A,TRUE,"PF_INC";#N/A,#N/A,TRUE,"CBE";#N/A,#N/A,TRUE,"SWK"}</definedName>
    <definedName function="false" hidden="true" name="ddf" vbProcedure="false">{#N/A,#N/A,FALSE,"KA CH  (2)"}</definedName>
    <definedName function="false" hidden="true" name="ddfdff" vbProcedure="false">{#N/A,#N/A,FALSE,"Presentation by Unit";#N/A,#N/A,FALSE,"Presentation by BD";#N/A,#N/A,FALSE,"Presentation Split by Biggest U";#N/A,#N/A,FALSE,"Presentation Split by Area";#N/A,#N/A,FALSE,"Presentation Split by BD"}</definedName>
    <definedName function="false" hidden="true" name="DDFGSD" vbProcedure="false">{#N/A,#N/A,FALSE,"00 P&amp;L vs 99"}</definedName>
    <definedName function="false" hidden="true" name="ddx" vbProcedure="false">{"YD LAPO2",#N/A,FALSE,"YTD";"YD LPH2",#N/A,FALSE,"YTD";"YD LOUISIANA",#N/A,FALSE,"YTD";"YD GENERALH2",#N/A,FALSE,"YTD";"YD PRS",#N/A,FALSE,"YTD";"YD PACKAGE",#N/A,FALSE,"YTD";"YD OTHER",#N/A,FALSE,"YTD"}</definedName>
    <definedName function="false" hidden="true" name="DE"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Death_Rate" vbProcedure="false">#REF!</definedName>
    <definedName function="false" hidden="true" name="debt_ratedBBB" vbProcedure="false">{#N/A,#N/A,FALSE,"Aging Summary";#N/A,#N/A,FALSE,"Ratio Analysis";#N/A,#N/A,FALSE,"Test 120 Day Accts";#N/A,#N/A,FALSE,"Tickmarks"}</definedName>
    <definedName function="false" hidden="true" name="ded" vbProcedure="false">{#N/A,#N/A,FALSE,"3";#N/A,#N/A,FALSE,"5";#N/A,#N/A,FALSE,"6";#N/A,#N/A,FALSE,"8";#N/A,#N/A,FALSE,"10";#N/A,#N/A,FALSE,"13";#N/A,#N/A,FALSE,"14";#N/A,#N/A,FALSE,"15";#N/A,#N/A,FALSE,"16"}</definedName>
    <definedName function="false" hidden="true" name="dede" vbProcedure="false">{#N/A,#N/A,FALSE,"Pharm";#N/A,#N/A,FALSE,"WWCM"}</definedName>
    <definedName function="false" hidden="true" name="DEDED" vbProcedure="false">{#N/A,#N/A,FALSE,"Card";#N/A,#N/A,FALSE,"Prav";#N/A,#N/A,FALSE,"Irbe";#N/A,#N/A,FALSE,"Plavix";#N/A,#N/A,FALSE,"Capt";#N/A,#N/A,FALSE,"Fosi"}</definedName>
    <definedName function="false" hidden="true" name="DEDEDZE" vbProcedure="false">{#N/A,#N/A,FALSE,"Pharm";#N/A,#N/A,FALSE,"WWCM"}</definedName>
    <definedName function="false" hidden="true" name="DEDZD" vbProcedure="false">{#N/A,#N/A,FALSE,"Pharm";#N/A,#N/A,FALSE,"WWCM"}</definedName>
    <definedName function="false" hidden="true" name="DEE" vbProcedure="false">{#N/A,#N/A,FALSE,"Pharm";#N/A,#N/A,FALSE,"WWCM"}</definedName>
    <definedName function="false" hidden="true" name="DEFC" vbProcedure="false">{#N/A,#N/A,FALSE,"SUMMARY"}</definedName>
    <definedName function="false" hidden="true" name="defde" vbProcedure="false">#REF!</definedName>
    <definedName function="false" hidden="true" name="deg" vbProcedure="false">{"First Page",#N/A,FALSE,"Surfactants LBO";"Second Page",#N/A,FALSE,"Surfactants LBO"}</definedName>
    <definedName function="false" hidden="true" name="Delphine" vbProcedure="false">{#N/A,#N/A,FALSE,"3";#N/A,#N/A,FALSE,"5";#N/A,#N/A,FALSE,"6";#N/A,#N/A,FALSE,"8";#N/A,#N/A,FALSE,"10";#N/A,#N/A,FALSE,"13";#N/A,#N/A,FALSE,"14";#N/A,#N/A,FALSE,"15";#N/A,#N/A,FALSE,"16"}</definedName>
    <definedName function="false" hidden="true" name="DEM" vbProcedure="false">1.95583</definedName>
    <definedName function="false" hidden="true" name="DEMeXToEUR" vbProcedure="false">1/eurextodem</definedName>
    <definedName function="false" hidden="false" name="Denom" vbProcedure="false">#REF!</definedName>
    <definedName function="false" hidden="true" name="deptCol" vbProcedure="false">#REF!</definedName>
    <definedName function="false" hidden="true" name="des"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descrCol" vbProcedure="false">#REF!</definedName>
    <definedName function="false" hidden="true" name="devc" vbProcedure="false">{"TOTTEXAS",#N/A,FALSE,"CM"}</definedName>
    <definedName function="false" hidden="true" name="DEZLFEZKLHF" vbProcedure="false">{#N/A,#N/A,FALSE,"Pharm";#N/A,#N/A,FALSE,"WWCM"}</definedName>
    <definedName function="false" hidden="true" name="df" vbProcedure="false">{#N/A,#N/A,FALSE,"TB";#N/A,#N/A,FALSE,"AR";#N/A,#N/A,FALSE,"BS";#N/A,#N/A,FALSE,"PL";#N/A,#N/A,FALSE,"NOTES";#N/A,#N/A,FALSE,"NOTES (2)";#N/A,#N/A,FALSE,"NOTES (3)";#N/A,#N/A,FALSE,"TAXC.INDEX";#N/A,#N/A,FALSE,"Schedule I";#N/A,#N/A,FALSE,"DPL";#N/A,#N/A,FALSE,"Schedule IV";#N/A,#N/A,FALSE,"Adjustments"}</definedName>
    <definedName function="false" hidden="true" name="dfa" vbProcedure="false">{"Units A",#N/A,FALSE,"FY95SLS";"Units B",#N/A,FALSE,"FY95SLS"}</definedName>
    <definedName function="false" hidden="true" name="dfahdfa" vbProcedure="false">{0,0,0,0;0,0,0,0;0,0,0,0;TRUE,0,0,0;0,0,0,0;0,0,0,0;0,0,0,0;0,0,147.84,147.84;12,1774.08,0,0;0,0,0,#NULL!;0,0,0,0;0,0,TRUE,0;0,TRUE,TRUE,TRUE;0,0,0,0;0,0,0,0;0,0,0,0;0,0,0,0;0,0,0,0;0,0,0,0;0,0,0,0}</definedName>
    <definedName function="false" hidden="true" name="dfas" vbProcedure="false">#REF!</definedName>
    <definedName function="false" hidden="true" name="dfasdf"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dfasdfa" vbProcedure="false">{#N/A,#N/A,FALSE,"Presentation by Unit";#N/A,#N/A,FALSE,"Presentation by BD";#N/A,#N/A,FALSE,"Presentation Split by Biggest U";#N/A,#N/A,FALSE,"Presentation Split by Area";#N/A,#N/A,FALSE,"Presentation Split by BD"}</definedName>
    <definedName function="false" hidden="true" name="dfasdfadfasd" vbProcedure="false">{#N/A,#N/A,FALSE,"Presentation by Unit";#N/A,#N/A,FALSE,"Presentation by BD";#N/A,#N/A,FALSE,"Presentation Split by Biggest U";#N/A,#N/A,FALSE,"Presentation Split by Area";#N/A,#N/A,FALSE,"Presentation Split by BD"}</definedName>
    <definedName function="false" hidden="true" name="dfasdfasdf" vbProcedure="false">{#N/A,#N/A,FALSE,"2Q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function="false" hidden="true" name="dfasdfasdfe"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dfasdfsa"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dfasdfsadf" vbProcedure="false">{#N/A,#N/A,FALSE,"2Q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function="false" hidden="true" name="dfasdsa" vbProcedure="false">{#N/A,#N/A,FALSE,"Cover Sheet";#N/A,#N/A,FALSE,"Key Indicators";#N/A,#N/A,FALSE,"Orders Summary";#N/A,#N/A,FALSE,"ORDERS TREND GRAPH";#N/A,#N/A,FALSE,"Revenue Summary";#N/A,#N/A,FALSE,"REVENUE TREND GRAPH";#N/A,#N/A,FALSE,"Revenue Actions";#N/A,#N/A,FALSE,"BACKLOG ANALYSIS";#N/A,#N/A,FALSE,"Keys to Success"}</definedName>
    <definedName function="false" hidden="true" name="dfd" vbProcedure="false">{"comp1",#N/A,FALSE,"COMPS";"footnotes",#N/A,FALSE,"COMPS"}</definedName>
    <definedName function="false" hidden="true" name="DFDD" vbProcedure="false">{#N/A,#N/A,FALSE,"REPORT"}</definedName>
    <definedName function="false" hidden="true" name="dfdddd" vbProcedure="false">{#N/A,#N/A,FALSE,"TB";#N/A,#N/A,FALSE,"DR";#N/A,#N/A,FALSE,"AR";#N/A,#N/A,FALSE,"PL";#N/A,#N/A,FALSE,"BS";#N/A,#N/A,FALSE,"NOTES";#N/A,#N/A,FALSE,"NOTES (2)";#N/A,#N/A,FALSE,"NOTES (3)";#N/A,#N/A,FALSE,"DPL";#N/A,#N/A,FALSE,"TAXC.INDEX";#N/A,#N/A,FALSE,"Schedule I";#N/A,#N/A,FALSE,"Adjustments"}</definedName>
    <definedName function="false" hidden="true" name="dfddfddf" vbProcedure="false">{#N/A,#N/A,FALSE,"Presentation by Unit";#N/A,#N/A,FALSE,"Presentation by BD";#N/A,#N/A,FALSE,"Presentation Split by Biggest U";#N/A,#N/A,FALSE,"Presentation Split by Area";#N/A,#N/A,FALSE,"Presentation Split by BD"}</definedName>
    <definedName function="false" hidden="true" name="dfde" vbProcedure="false">#REF!</definedName>
    <definedName function="false" hidden="true" name="dfdf"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dfdfdf" vbProcedure="false">{#N/A,#N/A,FALSE,"Presentation by Unit";#N/A,#N/A,FALSE,"Presentation by BD";#N/A,#N/A,FALSE,"Presentation Split by Biggest U";#N/A,#N/A,FALSE,"Presentation Split by Area";#N/A,#N/A,FALSE,"Presentation Split by BD"}</definedName>
    <definedName function="false" hidden="true" name="dfdsfdfdsfdsf" vbProcedure="false">{#N/A,#N/A,FALSE,"Eastern";#N/A,#N/A,FALSE,"Western"}</definedName>
    <definedName function="false" hidden="true" name="dfegf" vbProcedure="false">{"'MVS'!$A$5:$O$716"}</definedName>
    <definedName function="false" hidden="true" name="dff" vbProcedure="false">#REF!</definedName>
    <definedName function="false" hidden="true" name="dfg"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dfg.test" vbProcedure="false">{#N/A,#N/A,FALSE,"Assumptions";#N/A,#N/A,FALSE,"N-IS-Sum";#N/A,#N/A,FALSE,"N-St-Sum";#N/A,#N/A,FALSE,"Inc Stmt";#N/A,#N/A,FALSE,"Stats"}</definedName>
    <definedName function="false" hidden="true" name="DFG.TEST.TEST" vbProcedure="false">{#N/A,#N/A,FALSE,"Assumptions";#N/A,#N/A,FALSE,"N-IS-Sum";#N/A,#N/A,FALSE,"N-St-Sum";#N/A,#N/A,FALSE,"Inc Stmt";#N/A,#N/A,FALSE,"Stats"}</definedName>
    <definedName function="false" hidden="true" name="DFG.TEST.TEST.TEST1233" vbProcedure="false">{#N/A,#N/A,FALSE,"Assumptions";#N/A,#N/A,FALSE,"N-IS-Sum";#N/A,#N/A,FALSE,"N-St-Sum";#N/A,#N/A,FALSE,"Inc Stmt";#N/A,#N/A,FALSE,"Stats"}</definedName>
    <definedName function="false" hidden="true" name="dfga" vbProcedure="false">{#N/A,#N/A,FALSE,"output";#N/A,#N/A,FALSE,"contrib";#N/A,#N/A,FALSE,"profile";#N/A,#N/A,FALSE,"comps"}</definedName>
    <definedName function="false" hidden="true" name="dfgadg" vbProcedure="false">{"assumption cash",#N/A,TRUE,"Merger";"has gets cash",#N/A,TRUE,"Merger";"accretion dilution",#N/A,TRUE,"Merger";"comparison credit stats",#N/A,TRUE,"Merger";"pf credit stats",#N/A,TRUE,"Merger";"pf sheets",#N/A,TRUE,"Merger"}</definedName>
    <definedName function="false" hidden="true" name="dfgd" vbProcedure="false">{"subs",#N/A,FALSE,"database ";"proportional",#N/A,FALSE,"database "}</definedName>
    <definedName function="false" hidden="true" name="dfgdagfd" vbProcedure="false">{"away stand alones",#N/A,FALSE,"Target"}</definedName>
    <definedName function="false" hidden="true" name="dfgdf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fgdg" vbProcedure="false">{"casespecific",#N/A,FALSE,"Assumptions"}</definedName>
    <definedName function="false" hidden="true" name="dfgds" vbProcedure="false">38922.8233796296</definedName>
    <definedName function="false" hidden="true" name="dfgerg" vbProcedure="false">{"Units A",#N/A,FALSE,"FY95SLS";"Units B",#N/A,FALSE,"FY95SLS"}</definedName>
    <definedName function="false" hidden="true" name="dfgf" vbProcedure="false">{"Pound Sterling",#N/A,TRUE,"PPD";"Pound Sterling",#N/A,TRUE,"Anaquest";"Pound Sterling",#N/A,TRUE,"Delta";"Pound Sterling",#N/A,TRUE,"INO"}</definedName>
    <definedName function="false" hidden="true" name="dfgfdg" vbProcedure="false">{#N/A,#N/A,FALSE,"Umsatz CH";#N/A,#N/A,FALSE,"ER CH";#N/A,#N/A,FALSE,"EA CH (2) ";#N/A,#N/A,FALSE,"EA CH";#N/A,#N/A,FALSE,"EA CH (3) ";#N/A,#N/A,FALSE,"EA CH (4)";#N/A,#N/A,FALSE,"KA CH";#N/A,#N/A,FALSE,"KA CH  (2)";#N/A,#N/A,FALSE,"KA CH  (3)";#N/A,#N/A,FALSE,"KA CH (4)"}</definedName>
    <definedName function="false" hidden="true" name="dfgfdgf" vbProcedure="false">{#N/A,#N/A,FALSE,"Produkte Erw.";#N/A,#N/A,FALSE,"Produkte Plan";#N/A,#N/A,FALSE,"Leistungen Erw.";#N/A,#N/A,FALSE,"Leistungen Plan";#N/A,#N/A,FALSE,"KA Allg.Kosten (2)";#N/A,#N/A,FALSE,"KA All.Kosten"}</definedName>
    <definedName function="false" hidden="true" name="dfgfg" vbProcedure="false">{#N/A,#N/A,FALSE,"Umsatz HM";#N/A,#N/A,FALSE,"ER HM";#N/A,#N/A,FALSE,"EA HM  (2)";#N/A,#N/A,FALSE,"EA HM ";#N/A,#N/A,FALSE,"EA HM  (4)";#N/A,#N/A,FALSE,"EA HM  (3)";#N/A,#N/A,FALSE,"KA HM  (2)";#N/A,#N/A,FALSE,"KA HM";#N/A,#N/A,FALSE,"KA HM  (3)";#N/A,#N/A,FALSE,"KA HM (4)"}</definedName>
    <definedName function="false" hidden="true" name="dfgfghg" vbProcedure="false">{"CSC_1",#N/A,FALSE,"CSC Outputs";"CSC_2",#N/A,FALSE,"CSC Outputs"}</definedName>
    <definedName function="false" hidden="true" name="dfggfhhj" vbProcedure="false">{#N/A,#N/A,FALSE,"Umsatz CH";#N/A,#N/A,FALSE,"ER CH";#N/A,#N/A,FALSE,"EA CH (2) ";#N/A,#N/A,FALSE,"EA CH";#N/A,#N/A,FALSE,"EA CH (3) ";#N/A,#N/A,FALSE,"EA CH (4)";#N/A,#N/A,FALSE,"KA CH";#N/A,#N/A,FALSE,"KA CH  (2)";#N/A,#N/A,FALSE,"KA CH  (3)";#N/A,#N/A,FALSE,"KA CH (4)"}</definedName>
    <definedName function="false" hidden="true" name="dfgh" vbProcedure="false">{#N/A,"PURCHM",FALSE,"Business Analysis";#N/A,"SPADD",FALSE,"Business Analysis"}</definedName>
    <definedName function="false" hidden="true" name="dfghdfhdg" vbProcedure="false">{#N/A,#N/A,FALSE,"Umsatz 99";#N/A,#N/A,FALSE,"ER 99 "}</definedName>
    <definedName function="false" hidden="true" name="DFGJDFJ" vbProcedure="false">{#N/A,#N/A,FALSE,"00 P&amp;L vs 99"}</definedName>
    <definedName function="false" hidden="true" name="dfgsfg" vbProcedure="false">{"Pound Sterling",#N/A,TRUE,"PPD";"Pound Sterling",#N/A,TRUE,"Anaquest";"Pound Sterling",#N/A,TRUE,"Delta";"Pound Sterling",#N/A,TRUE,"INO"}</definedName>
    <definedName function="false" hidden="true" name="dfhbadfh" vbProcedure="false">{"Pound Sterling",#N/A,TRUE,"PPD";"Pound Sterling",#N/A,TRUE,"Anaquest";"Pound Sterling",#N/A,TRUE,"Delta";"Pound Sterling",#N/A,TRUE,"INO"}</definedName>
    <definedName function="false" hidden="true" name="dfhdf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fhdfhdfhdfh" vbProcedure="false">{#N/A,#N/A,FALSE,"3";#N/A,#N/A,FALSE,"5";#N/A,#N/A,FALSE,"6";#N/A,#N/A,FALSE,"8";#N/A,#N/A,FALSE,"10";#N/A,#N/A,FALSE,"13";#N/A,#N/A,FALSE,"14";#N/A,#N/A,FALSE,"15";#N/A,#N/A,FALSE,"16"}</definedName>
    <definedName function="false" hidden="true" name="dfhdfhdfhfdh" vbProcedure="false">{#N/A,#N/A,FALSE,"3";#N/A,#N/A,FALSE,"5";#N/A,#N/A,FALSE,"6";#N/A,#N/A,FALSE,"8";#N/A,#N/A,FALSE,"10";#N/A,#N/A,FALSE,"13";#N/A,#N/A,FALSE,"14";#N/A,#N/A,FALSE,"15";#N/A,#N/A,FALSE,"16"}</definedName>
    <definedName function="false" hidden="true" name="dfhdfhfdhdfh" vbProcedure="false">{#N/A,#N/A,FALSE,"3";#N/A,#N/A,FALSE,"5";#N/A,#N/A,FALSE,"6";#N/A,#N/A,FALSE,"8";#N/A,#N/A,FALSE,"10";#N/A,#N/A,FALSE,"13";#N/A,#N/A,FALSE,"14";#N/A,#N/A,FALSE,"15";#N/A,#N/A,FALSE,"16"}</definedName>
    <definedName function="false" hidden="true" name="DFHFDHFDH" vbProcedure="false">{#N/A,#N/A,FALSE,"Operations";#N/A,#N/A,FALSE,"Financials"}</definedName>
    <definedName function="false" hidden="true" name="dfhtru" vbProcedure="false">{"Units A",#N/A,FALSE,"FY95SLS";"Units B",#N/A,FALSE,"FY95SLS"}</definedName>
    <definedName function="false" hidden="false" name="dFilter" vbProcedure="false">""</definedName>
    <definedName function="false" hidden="true" name="dfr" vbProcedure="false">{#N/A,#N/A,FALSE,"Pharm";#N/A,#N/A,FALSE,"WWCM"}</definedName>
    <definedName function="false" hidden="true" name="dfre"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DFS" vbProcedure="false">{"stepel",#N/A,FALSE,"AHFSTEP"}</definedName>
    <definedName function="false" hidden="true" name="dfsdfdsf" vbProcedure="false">{#N/A,#N/A,FALSE,"Umsatz CH";#N/A,#N/A,FALSE,"ER CH";#N/A,#N/A,FALSE,"EA CH (2) ";#N/A,#N/A,FALSE,"EA CH";#N/A,#N/A,FALSE,"EA CH (3) ";#N/A,#N/A,FALSE,"EA CH (4)";#N/A,#N/A,FALSE,"KA CH";#N/A,#N/A,FALSE,"KA CH  (2)";#N/A,#N/A,FALSE,"KA CH  (3)";#N/A,#N/A,FALSE,"KA CH (4)"}</definedName>
    <definedName function="false" hidden="true" name="dfsdfsdfsdfsdf" vbProcedure="false">{#N/A,#N/A,FALSE,"Presentation by Unit";#N/A,#N/A,FALSE,"Presentation by BD";#N/A,#N/A,FALSE,"Presentation Split by Biggest U";#N/A,#N/A,FALSE,"Presentation Split by Area";#N/A,#N/A,FALSE,"Presentation Split by BD"}</definedName>
    <definedName function="false" hidden="true" name="dg" vbProcedure="false">{"comp1",#N/A,FALSE,"COMPS";"footnotes",#N/A,FALSE,"COMPS"}</definedName>
    <definedName function="false" hidden="true" name="dgdfgdgfdg" vbProcedure="false">{"hiden",#N/A,FALSE,"14";"hidden",#N/A,FALSE,"16";"hidden",#N/A,FALSE,"18";"hidden",#N/A,FALSE,"20"}</definedName>
    <definedName function="false" hidden="true" name="dgdfgfd" vbProcedure="false">{"up stand alones",#N/A,FALSE,"Acquiror"}</definedName>
    <definedName function="false" hidden="true" name="dgdg" vbProcedure="false">{#N/A,#N/A,FALSE,"Calc";#N/A,#N/A,FALSE,"Sensitivity";#N/A,#N/A,FALSE,"LT Earn.Dil.";#N/A,#N/A,FALSE,"Dil. AVP"}</definedName>
    <definedName function="false" hidden="true" name="dgdgdfg" vbProcedure="false">{"away stand alones",#N/A,FALSE,"Target"}</definedName>
    <definedName function="false" hidden="true" name="dgdgdgfd" vbProcedure="false">{#N/A,#N/A,FALSE,"Operations";#N/A,#N/A,FALSE,"Financials"}</definedName>
    <definedName function="false" hidden="true" name="dgdgdgfdg" vbProcedure="false">{"assumption 50 50",#N/A,TRUE,"Merger";"has gets cash",#N/A,TRUE,"Merger";"accretion dilution",#N/A,TRUE,"Merger";"comparison credit stats",#N/A,TRUE,"Merger";"pf credit stats",#N/A,TRUE,"Merger";"pf sheets",#N/A,TRUE,"Merger"}</definedName>
    <definedName function="false" hidden="true" name="dgdgfd" vbProcedure="false">{"assumption 50 50",#N/A,TRUE,"Merger";"has gets cash",#N/A,TRUE,"Merger";"accretion dilution",#N/A,TRUE,"Merger";"comparison credit stats",#N/A,TRUE,"Merger";"pf credit stats",#N/A,TRUE,"Merger";"pf sheets",#N/A,TRUE,"Merger"}</definedName>
    <definedName function="false" hidden="true" name="dgdgfdgfdgfd" vbProcedure="false">{"assumption cash",#N/A,TRUE,"Merger";"has gets cash",#N/A,TRUE,"Merger";"accretion dilution",#N/A,TRUE,"Merger";"comparison credit stats",#N/A,TRUE,"Merger";"pf credit stats",#N/A,TRUE,"Merger";"pf sheets",#N/A,TRUE,"Merger"}</definedName>
    <definedName function="false" hidden="true" name="dgdgss" vbProcedure="false">{"consolidated",#N/A,FALSE,"Sheet1";"cms",#N/A,FALSE,"Sheet1";"fse",#N/A,FALSE,"Sheet1"}</definedName>
    <definedName function="false" hidden="true" name="dgdsgdsg" vbProcedure="false">{"comps2",#N/A,FALSE,"AERO";"footnotes",#N/A,FALSE,"AERO"}</definedName>
    <definedName function="false" hidden="true" name="dgfdgfdg" vbProcedure="false">{#N/A,#N/A,FALSE,"Calc";#N/A,#N/A,FALSE,"Sensitivity";#N/A,#N/A,FALSE,"LT Earn.Dil.";#N/A,#N/A,FALSE,"Dil. AVP"}</definedName>
    <definedName function="false" hidden="true" name="dgfg"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dgfhayr" vbProcedure="false">{"Units A",#N/A,FALSE,"FY95SLS";"Units B",#N/A,FALSE,"FY95SLS"}</definedName>
    <definedName function="false" hidden="true" name="dghgh" vbProcedure="false">{#N/A,#N/A,FALSE,"Produkte Erw.";#N/A,#N/A,FALSE,"Produkte Plan";#N/A,#N/A,FALSE,"Leistungen Erw.";#N/A,#N/A,FALSE,"Leistungen Plan";#N/A,#N/A,FALSE,"KA Allg.Kosten (2)";#N/A,#N/A,FALSE,"KA All.Kosten"}</definedName>
    <definedName function="false" hidden="true" name="dgret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hdfhdfhdfh" vbProcedure="false">{#N/A,#N/A,FALSE,"3";#N/A,#N/A,FALSE,"5";#N/A,#N/A,FALSE,"6";#N/A,#N/A,FALSE,"8";#N/A,#N/A,FALSE,"10";#N/A,#N/A,FALSE,"13";#N/A,#N/A,FALSE,"14";#N/A,#N/A,FALSE,"15";#N/A,#N/A,FALSE,"16"}</definedName>
    <definedName function="false" hidden="true" name="dhgkdghk"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hmdgj" vbProcedure="false">{"Pound Sterling",#N/A,TRUE,"PPD";"Pound Sterling",#N/A,TRUE,"Anaquest";"Pound Sterling",#N/A,TRUE,"Delta";"Pound Sterling",#N/A,TRUE,"INO"}</definedName>
    <definedName function="false" hidden="true" name="dhr" vbProcedure="false">{"Pound Sterling",#N/A,TRUE,"PPD";"Pound Sterling",#N/A,TRUE,"Anaquest";"Pound Sterling",#N/A,TRUE,"Delta";"Pound Sterling",#N/A,TRUE,"INO"}</definedName>
    <definedName function="false" hidden="true" name="dhrd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htrhd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iable" vbProcedure="false">{#N/A,#N/A,FALSE,"Operations";#N/A,#N/A,FALSE,"Financials"}</definedName>
    <definedName function="false" hidden="true" name="diek" vbProcedure="false">{"Units A",#N/A,FALSE,"FY95SLS";"Units B",#N/A,FALSE,"FY95SLS"}</definedName>
    <definedName function="false" hidden="true" name="Discount_Rate" vbProcedure="false">#REF!</definedName>
    <definedName function="false" hidden="true" name="divisionRow" vbProcedure="false">#REF!</definedName>
    <definedName function="false" hidden="true" name="dj" vbProcedure="false">{#N/A,#N/A,FALSE,"CreditStat";#N/A,#N/A,FALSE,"SPbrkup";#N/A,#N/A,FALSE,"MerSPsyn";#N/A,#N/A,FALSE,"MerSPwKCsyn";#N/A,#N/A,FALSE,"MerSPwKCsyn (2)";#N/A,#N/A,FALSE,"CreditStat (2)"}</definedName>
    <definedName function="false" hidden="true" name="djhfaoifna" vbProcedure="false">{"first",#N/A,FALSE,"1st qtr";"second",#N/A,FALSE,"2nd Qtr";"third",#N/A,FALSE,"3rd Qtr";"fourth",#N/A,FALSE,"4th qtr";"year",#N/A,FALSE,"total year"}</definedName>
    <definedName function="false" hidden="true" name="djksljd" vbProcedure="false">{#N/A,#N/A,FALSE,"Other";#N/A,#N/A,FALSE,"Ace";#N/A,#N/A,FALSE,"Derm"}</definedName>
    <definedName function="false" hidden="true" name="DKFASJ" vbProcedure="false">{#N/A,#N/A,FALSE,"00 P&amp;L vs 99"}</definedName>
    <definedName function="false" hidden="true" name="dkgahirghigf" vbProcedure="false">{#N/A,#N/A,FALSE,"Pharm";#N/A,#N/A,FALSE,"WWCM"}</definedName>
    <definedName function="false" hidden="true" name="DME_Dirty" vbProcedure="false">"False"</definedName>
    <definedName function="false" hidden="true" name="DME_DocumentFlags" vbProcedure="false">"1"</definedName>
    <definedName function="false" hidden="true" name="DME_DocumentID" vbProcedure="false">"::ODMA\DME-MSE\SDM-76573"</definedName>
    <definedName function="false" hidden="true" name="DME_DocumentOpened" vbProcedure="false">"True"</definedName>
    <definedName function="false" hidden="true" name="DME_DocumentTitle" vbProcedure="false">"SDM-76573 - Simtronics input  Profit &amp; Loss 2008"</definedName>
    <definedName function="false" hidden="true" name="DME_LocalFile" vbProcedure="false">"True"</definedName>
    <definedName function="false" hidden="true" name="DME_NextWindowNumber" vbProcedure="false">"2"</definedName>
    <definedName function="false" hidden="true" name="DME_ODMALinks1" vbProcedure="false">"::ODMA\DME-MSE\London-44590=C:\TEMP\Dme\London-44590.xls"</definedName>
    <definedName function="false" hidden="true" name="DME_ODMALinksCount" vbProcedure="false">"1"</definedName>
    <definedName function="false" hidden="true" name="doatla" vbProcedure="false">{#N/A,#N/A,FALSE,"TB";#N/A,#N/A,FALSE,"DR";#N/A,#N/A,FALSE,"AR";#N/A,#N/A,FALSE,"BS";#N/A,#N/A,FALSE,"PL";#N/A,#N/A,FALSE,"NOTES";#N/A,#N/A,FALSE,"NOTES (2)";#N/A,#N/A,FALSE,"NOTES (3)";#N/A,#N/A,FALSE,"DPL";#N/A,#N/A,FALSE,"DPL"}</definedName>
    <definedName function="false" hidden="true" name="dog" vbProcedure="false">{"Assumptions",#N/A,FALSE,"Sheet1";"Main Report",#N/A,FALSE,"Sheet1";"Results",#N/A,FALSE,"Sheet1";"Advances",#N/A,FALSE,"Sheet1"}</definedName>
    <definedName function="false" hidden="true" name="donte" vbProcedure="false">{#N/A,#N/A,FALSE,"Cristal D'Oro (Tabela)";#N/A,#N/A,FALSE,"Cond Rio Tietê (Tabela)";#N/A,#N/A,FALSE,"Jacyr Leal (Tabela)";#N/A,#N/A,FALSE,"Paul Cézanne (Tabela)";#N/A,#N/A,FALSE,"Tom Jobim  (Tabela)"}</definedName>
    <definedName function="false" hidden="true" name="doo" vbProcedure="false">{#N/A,#N/A,FALSE,"Cristal D'Oro (Tabela)";#N/A,#N/A,FALSE,"Cond Rio Tietê (Tabela)";#N/A,#N/A,FALSE,"Jacyr Leal (Tabela)";#N/A,#N/A,FALSE,"Paul Cézanne (Tabela)";#N/A,#N/A,FALSE,"Tom Jobim  (Tabela)"}</definedName>
    <definedName function="false" hidden="true" name="down" vbProcedure="false">{#N/A,#N/A,FALSE,"Umsatz";#N/A,#N/A,FALSE,"Base V.02";#N/A,#N/A,FALSE,"Charts"}</definedName>
    <definedName function="false" hidden="true" name="dq" vbProcedure="false">{"Comp_of_Price_Effect",#N/A,FALSE,"QTRDPVAR"}</definedName>
    <definedName function="false" hidden="true" name="draka" vbProcedure="false">{"QIncStmt",#N/A,FALSE,"Quarter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function="false" hidden="true" name="dre" vbProcedure="false">{#N/A,"PURADD",FALSE,"Business Analysis";#N/A,"PURSPP",FALSE,"Business Analysis";#N/A,"CTGIND",FALSE,"Business Analysis";#N/A,"PURCHM",FALSE,"Business Analysis";#N/A,"SPADD",FALSE,"Business Analysis";#N/A,"EPOXY",FALSE,"Business Analysis";#N/A,"PURPER",FALSE,"Business Analysis"}</definedName>
    <definedName function="false" hidden="true" name="drfh" vbProcedure="false">{#N/A,#N/A,FALSE,"3";#N/A,#N/A,FALSE,"5";#N/A,#N/A,FALSE,"6";#N/A,#N/A,FALSE,"8";#N/A,#N/A,FALSE,"10";#N/A,#N/A,FALSE,"13";#N/A,#N/A,FALSE,"14";#N/A,#N/A,FALSE,"15";#N/A,#N/A,FALSE,"16"}</definedName>
    <definedName function="false" hidden="true" name="drhdr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drhrhdfh" vbProcedure="false">{"Sum WW A",#N/A,FALSE,"FY95SLS";"Sum WW B",#N/A,FALSE,"FY95SLS";"Sum US A",#N/A,FALSE,"FY95SLS";"Sum US B",#N/A,FALSE,"FY95SLS";"Sum US Bocg",#N/A,FALSE,"FY95SLS";"Sum Can A",#N/A,FALSE,"FY95SLS";"Sum Can B",#N/A,FALSE,"FY95SLS";"Sum Europe",#N/A,FALSE,"FY95SLS";"Sum Row",#N/A,FALSE,"FY95SLS"}</definedName>
    <definedName function="false" hidden="true" name="drhrh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drw" vbProcedure="false">{"PAGE 1",#N/A,FALSE,"COS";"PAGE 2",#N/A,FALSE,"COS";"PAGE 3",#N/A,FALSE,"COS"}</definedName>
    <definedName function="false" hidden="true" name="ds" vbProcedure="false">#REF!</definedName>
    <definedName function="false" hidden="true" name="dsazz" vbProcedure="false">{#N/A,#N/A,FALSE,"ACQ_GRAPHS";#N/A,#N/A,FALSE,"T_1 GRAPHS";#N/A,#N/A,FALSE,"T_2 GRAPHS";#N/A,#N/A,FALSE,"COMB_GRAPHS"}</definedName>
    <definedName function="false" hidden="true" name="dsd" vbProcedure="false">{"orixcsc",#N/A,FALSE,"ORIX CSC";"orixcsc2",#N/A,FALSE,"ORIX CSC"}</definedName>
    <definedName function="false" hidden="true" name="dsdafgsa" vbProcedure="false">{"Performance Details",#N/A,FALSE,"Current Yr";"Performance Details",#N/A,FALSE,"Budget";"Performance Details",#N/A,FALSE,"Prior Year"}</definedName>
    <definedName function="false" hidden="true" name="dsdsfa" vbProcedure="false">#REF!</definedName>
    <definedName function="false" hidden="true" name="dse" vbProcedure="false">{"YTDACT",#N/A,FALSE,"YTD Cum";"YTDBUD",#N/A,FALSE,"YTD Cum";"YTDPRIOR",#N/A,FALSE,"YTD Cum"}</definedName>
    <definedName function="false" hidden="true" name="dsf" vbProcedure="false">#REF!</definedName>
    <definedName function="false" hidden="true" name="dsfas" vbProcedure="false">#REF!</definedName>
    <definedName function="false" hidden="true" name="dsfsf" vbProcedure="false">{"detail",#N/A,FALSE,"mfg";"summary",#N/A,FALSE,"mfg"}</definedName>
    <definedName function="false" hidden="true" name="dsfsffss" vbProcedure="false">{#N/A,#N/A,FALSE,"Pharm";#N/A,#N/A,FALSE,"WWCM"}</definedName>
    <definedName function="false" hidden="true" name="dsg" vbProcedure="false">{#N/A,#N/A,FALSE,"Calc";#N/A,#N/A,FALSE,"Sensitivity";#N/A,#N/A,FALSE,"LT Earn.Dil.";#N/A,#N/A,FALSE,"Dil. AVP"}</definedName>
    <definedName function="false" hidden="true" name="dsgfhgfv" vbProcedure="false">{#N/A,"PURADD",FALSE,"Business Analysis";#N/A,"PURSPP",FALSE,"Business Analysis";#N/A,"CTGIND",FALSE,"Business Analysis";#N/A,"PURCHM",FALSE,"Business Analysis";#N/A,"SPADD",FALSE,"Business Analysis";#N/A,"EPOXY",FALSE,"Business Analysis";#N/A,"PURPER",FALSE,"Business Analysis"}</definedName>
    <definedName function="false" hidden="true" name="dsggd" vbProcedure="false">{#N/A,#N/A,FALSE,"Cover";"Short outputs",#N/A,FALSE,"Outputs";#N/A,#N/A,FALSE,"Control (In)";"tesco summary",#N/A,FALSE,"Tesco";"Outputs and Co summaries",#N/A,FALSE,"Sainsbury";"Outputs and Co Summaries",#N/A,FALSE,"Carrefour";"Outputs and Co summaries",#N/A,FALSE,"Co D";"Outputs and Co summaries",#N/A,FALSE,"Co E"}</definedName>
    <definedName function="false" hidden="true" name="dsgsdgfdsg" vbProcedure="false">{#N/A,#N/A,FALSE,"3";#N/A,#N/A,FALSE,"5";#N/A,#N/A,FALSE,"6";#N/A,#N/A,FALSE,"8";#N/A,#N/A,FALSE,"10";#N/A,#N/A,FALSE,"13";#N/A,#N/A,FALSE,"14";#N/A,#N/A,FALSE,"15";#N/A,#N/A,FALSE,"16"}</definedName>
    <definedName function="false" hidden="true" name="DSHiddenYear1" vbProcedure="false">#REF!</definedName>
    <definedName function="false" hidden="true" name="DSHiddenYear2" vbProcedure="false">#REF!</definedName>
    <definedName function="false" hidden="true" name="DSHiddenYear3" vbProcedure="false">#REF!</definedName>
    <definedName function="false" hidden="true" name="DSHiddenYear4" vbProcedure="false">#REF!</definedName>
    <definedName function="false" hidden="true" name="DSIndHiddenYear1" vbProcedure="false">#REF!</definedName>
    <definedName function="false" hidden="true" name="DSIndHiddenYear2" vbProcedure="false">#REF!</definedName>
    <definedName function="false" hidden="true" name="DSIndHiddenYear3" vbProcedure="false">#REF!</definedName>
    <definedName function="false" hidden="true" name="DSIndHiddenYear4" vbProcedure="false">#REF!</definedName>
    <definedName function="false" hidden="true" name="DSIndHistHiddenYear1" vbProcedure="false">#REF!</definedName>
    <definedName function="false" hidden="true" name="DSIndHistHiddenYear2" vbProcedure="false">#REF!</definedName>
    <definedName function="false" hidden="true" name="DSIndHistHiddenYear3" vbProcedure="false">#REF!</definedName>
    <definedName function="false" hidden="true" name="DSIndHistHiddenYear4" vbProcedure="false">#REF!</definedName>
    <definedName function="false" hidden="true" name="DSIndHistHiddenYear5" vbProcedure="false">#REF!</definedName>
    <definedName function="false" hidden="true" name="DSN" vbProcedure="false">"Toolpack_C52008.dsn"</definedName>
    <definedName function="false" hidden="true" name="dsqd" vbProcedure="false">{"vue1",#N/A,FALSE,"synthese";"vue2",#N/A,FALSE,"synthese"}</definedName>
    <definedName function="false" hidden="true" name="dsqdsqd" vbProcedure="false">{"vue1",#N/A,FALSE,"synthese";"vue2",#N/A,FALSE,"synthese"}</definedName>
    <definedName function="false" hidden="true" name="dswe"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dszd" vbProcedure="false">{#N/A,#N/A,FALSE,"ACQ_GRAPHS";#N/A,#N/A,FALSE,"T_1 GRAPHS";#N/A,#N/A,FALSE,"T_2 GRAPHS";#N/A,#N/A,FALSE,"COMB_GRAPHS"}</definedName>
    <definedName function="false" hidden="true" name="dtaot" vbProcedure="false">{#N/A,#N/A,FALSE,"DIR-REP";#N/A,#N/A,FALSE,"AUD-REPORT";#N/A,#N/A,FALSE,"P7L&amp;BS";#N/A,#N/A,FALSE,"NOTES";#N/A,#N/A,FALSE,"FA";#N/A,#N/A,FALSE,"NOTES (2)";#N/A,#N/A,FALSE,"Schedule  IV";#N/A,#N/A,FALSE,"Schedule V"}</definedName>
    <definedName function="false" hidden="true" name="dtht" vbProcedure="false">{"US Dollars",#N/A,TRUE,"PPD";"US Dollar",#N/A,TRUE,"Anaquest";"US Dollar",#N/A,TRUE,"Delta";"US Dollar",#N/A,TRUE,"INO"}</definedName>
    <definedName function="false" hidden="true" name="dtk" vbProcedure="false">{"Title",#N/A,TRUE,"Title";"Content",#N/A,TRUE,"Title";"Section1",#N/A,TRUE,"Title";"Output1",#N/A,TRUE,"Output";"Section2",#N/A,TRUE,"Title";"Graph1",#N/A,TRUE,"Output";"Section3",#N/A,TRUE,"Title";"Graph2",#N/A,TRUE,"Output";"Section4",#N/A,TRUE,"Title";"Gap1",#N/A,TRUE,"Output";"Section5",#N/A,TRUE,"Title";"Model_all",#N/A,TRUE,"Autostrade S.p.A."}</definedName>
    <definedName function="false" hidden="true" name="duplicate123A" vbProcedure="false">#REF!</definedName>
    <definedName function="false" hidden="true" name="dvfgwery" vbProcedure="false">{"Units A",#N/A,FALSE,"FY95SLS";"Units B",#N/A,FALSE,"FY95SLS"}</definedName>
    <definedName function="false" hidden="true" name="dwd" vbProcedure="false">{#N/A,#N/A,FALSE,"Cristal D'Oro (Tabela)";#N/A,#N/A,FALSE,"Cond Rio Tietê (Tabela)";#N/A,#N/A,FALSE,"Jacyr Leal (Tabela)";#N/A,#N/A,FALSE,"Paul Cézanne (Tabela)";#N/A,#N/A,FALSE,"Tom Jobim  (Tabela)"}</definedName>
    <definedName function="false" hidden="true" name="dwx" vbProcedure="false">{"Comp_of_Price_Effect",#N/A,FALSE,"QTRDPVAR"}</definedName>
    <definedName function="false" hidden="true" name="dx" vbProcedure="false">{"Month Summary",#N/A,FALSE,"Summary";"Total Details",#N/A,FALSE,"Current Yr";"Polymers Details",#N/A,FALSE,"Current Yr";"Performance Details",#N/A,FALSE,"Current Yr";"ICD Details",#N/A,FALSE,"Current Yr"}</definedName>
    <definedName function="false" hidden="true" name="E.On" vbProcedure="false">{#N/A,#N/A,FALSE,"Eastern";#N/A,#N/A,FALSE,"Western"}</definedName>
    <definedName function="false" hidden="true" name="ea" vbProcedure="false">{#N/A,#N/A,TRUE,"Forecast &amp; Analysis";#N/A,#N/A,TRUE,"Market Values";#N/A,#N/A,TRUE,"Ratios";#N/A,#N/A,TRUE,"Regressions";#N/A,#N/A,TRUE,"Market Values";#N/A,#N/A,TRUE,"Parameters &amp; Results"}</definedName>
    <definedName function="false" hidden="true" name="eaga" vbProcedure="false">{"up stand alones",#N/A,FALSE,"Acquiror"}</definedName>
    <definedName function="false" hidden="true" name="eay" vbProcedure="false">{#N/A,#N/A,TRUE,"COVER";#N/A,#N/A,TRUE,"DIR";#N/A,#N/A,TRUE,"AUDIT"}</definedName>
    <definedName function="false" hidden="true" name="ed" vbProcedure="false">{"vol data",#N/A,FALSE,"Datasheet";"vol graph",#N/A,FALSE,"Volume";"price data",#N/A,FALSE,"Datasheet";"price graph",#N/A,FALSE,"Price";"dp data",#N/A,FALSE,"Datasheet";"dp graph",#N/A,FALSE,"DirectProfit"}</definedName>
    <definedName function="false" hidden="true" name="eddfyi" vbProcedure="false">{"Pound Sterling",#N/A,TRUE,"PPD";"Pound Sterling",#N/A,TRUE,"Anaquest";"Pound Sterling",#N/A,TRUE,"Delta";"Pound Sterling",#N/A,TRUE,"INO"}</definedName>
    <definedName function="false" hidden="true" name="ede" vbProcedure="false">#REF!</definedName>
    <definedName function="false" hidden="true" name="edilcei" vbProcedure="false">{#N/A,#N/A,FALSE,"Aging Summary";#N/A,#N/A,FALSE,"Ratio Analysis";#N/A,#N/A,FALSE,"Test 120 Day Accts";#N/A,#N/A,FALSE,"Tickmarks"}</definedName>
    <definedName function="false" hidden="true" name="Editable" vbProcedure="false">#REF!,#REF!,#REF!,#REF!</definedName>
    <definedName function="false" hidden="true" name="edl" vbProcedure="false">{"assumption 50 50",#N/A,TRUE,"Merger";"has gets cash",#N/A,TRUE,"Merger";"accretion dilution",#N/A,TRUE,"Merger";"comparison credit stats",#N/A,TRUE,"Merger";"pf credit stats",#N/A,TRUE,"Merger";"pf sheets",#N/A,TRUE,"Merger"}</definedName>
    <definedName function="false" hidden="true" name="edp" vbProcedure="false">{"assumption 50 50",#N/A,TRUE,"Merger";"has gets cash",#N/A,TRUE,"Merger";"accretion dilution",#N/A,TRUE,"Merger";"comparison credit stats",#N/A,TRUE,"Merger";"pf credit stats",#N/A,TRUE,"Merger";"pf sheets",#N/A,TRUE,"Merger"}</definedName>
    <definedName function="false" hidden="true" name="ee" vbProcedure="false">{#N/A,#N/A,FALSE,"KA CH  (2)"}</definedName>
    <definedName function="false" hidden="true" name="EEE" vbProcedure="false">{#N/A,#N/A,FALSE,"Pharm";#N/A,#N/A,FALSE,"WWCM"}</definedName>
    <definedName function="false" hidden="true" name="eee.lll" vbProcedure="false">{#N/A,#N/A,FALSE,"PMW Gruppe 99_98";#N/A,#N/A,FALSE,"PMW KG 98_99";#N/A,#N/A,FALSE,"PMW Inc. 99_98";#N/A,#N/A,FALSE,"PMW VTECH 99_98";#N/A,#N/A,FALSE,"PMW Thail. 99_98";#N/A,#N/A,FALSE,"PMW Canada 99_98";#N/A,#N/A,FALSE,"Währungsabw. 99_98"}</definedName>
    <definedName function="false" hidden="true" name="eeee" vbProcedure="false">{"YD LAPO2",#N/A,FALSE,"YTD"}</definedName>
    <definedName function="false" hidden="true" name="eeeee" vbProcedure="false">{#N/A,#N/A,FALSE,"Pharm";#N/A,#N/A,FALSE,"WWCM"}</definedName>
    <definedName function="false" hidden="true" name="eeeeee" vbProcedure="false">{"YD OTHER",#N/A,FALSE,"YTD"}</definedName>
    <definedName function="false" hidden="true" name="eeeeeee" vbProcedure="false">{"YD LPH2",#N/A,FALSE,"YTD"}</definedName>
    <definedName function="false" hidden="true" name="eeeeeeee" vbProcedure="false">{"Pg1",#N/A,FALSE,"OpExYTDvsBud";"Pg2",#N/A,FALSE,"OpExYTDvsBud"}</definedName>
    <definedName function="false" hidden="true" name="eeeeeeeee" vbProcedure="false">{"Pa1",#N/A,FALSE,"OpExYTDvsPY";"Pa2",#N/A,FALSE,"OpExYTDvsPY"}</definedName>
    <definedName function="false" hidden="true" name="eeeeeeeeee"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eeeeeeeeeee" vbProcedure="false">{#N/A,"PURCHM",FALSE,"Business Analysis";#N/A,"SPADD",FALSE,"Business Analysis"}</definedName>
    <definedName function="false" hidden="true" name="eeeeeeeeeeee" vbProcedure="false">{"pro_view",#N/A,FALSE,"EEFSNAP2";"rep_view",#N/A,FALSE,"EEFSNAP2"}</definedName>
    <definedName function="false" hidden="true" name="eeeeeeeeeeeeeee" vbProcedure="false">{#N/A,"PURADD",FALSE,"Business Analysis";#N/A,"PURSPP",FALSE,"Business Analysis";#N/A,"CTGIND",FALSE,"Business Analysis";#N/A,"PURCHM",FALSE,"Business Analysis";#N/A,"SPADD",FALSE,"Business Analysis";#N/A,"EPOXY",FALSE,"Business Analysis";#N/A,"PURPER",FALSE,"Business Analysis"}</definedName>
    <definedName function="false" hidden="true" name="eeir" vbProcedure="false">{#N/A,#N/A,FALSE,"TB";#N/A,#N/A,FALSE,"DR";#N/A,#N/A,FALSE,"AR";#N/A,#N/A,FALSE,"BS";#N/A,#N/A,FALSE,"PL";#N/A,#N/A,FALSE,"NOTES";#N/A,#N/A,FALSE,"NOTES (2)";#N/A,#N/A,FALSE,"NOTES (3)";#N/A,#N/A,FALSE,"DPL";#N/A,#N/A,FALSE,"DPL"}</definedName>
    <definedName function="false" hidden="true" name="eer" vbProcedure="false">{#N/A,#N/A,FALSE,"Hoja1";#N/A,#N/A,FALSE,"Hoja2"}</definedName>
    <definedName function="false" hidden="true" name="eert" vbProcedure="false">{#N/A,#N/A,FALSE,"Umsatz EO BP";#N/A,#N/A,FALSE,"Umsatz EO OP";#N/A,#N/A,FALSE,"ER EO BP";#N/A,#N/A,FALSE,"ER EO OP";#N/A,#N/A,FALSE,"EA EO (2)";#N/A,#N/A,FALSE,"EA EO";#N/A,#N/A,FALSE,"EA EO (3)";#N/A,#N/A,FALSE,"EA EO (4)";#N/A,#N/A,FALSE,"KA EO  (2)";#N/A,#N/A,FALSE,"KA EO";#N/A,#N/A,FALSE,"KA EO  (3)";#N/A,#N/A,FALSE,"KA EO (4)"}</definedName>
    <definedName function="false" hidden="true" name="EERYREYREYERY" vbProcedure="false">{"up stand alones",#N/A,FALSE,"Acquiror"}</definedName>
    <definedName function="false" hidden="true" name="efa" vbProcedure="false">{"werbung",#N/A,FALSE,"GuV9900-0399";"betrieb",#N/A,FALSE,"GuV9900-0399";"personal",#N/A,FALSE,"GuV9900-0399";"tvg",#N/A,FALSE,"GuV9900-0399";"verwaltung",#N/A,FALSE,"GuV9900-0399"}</definedName>
    <definedName function="false" hidden="true" name="efag" vbProcedure="false">{"werbung",#N/A,FALSE,"GuV9900-0399";"betrieb",#N/A,FALSE,"GuV9900-0399";"personal",#N/A,FALSE,"GuV9900-0399";"tvg",#N/A,FALSE,"GuV9900-0399";"verwaltung",#N/A,FALSE,"GuV9900-0399"}</definedName>
    <definedName function="false" hidden="true" name="egege" vbProcedure="false">{#N/A,#N/A,FALSE,"3";#N/A,#N/A,FALSE,"5";#N/A,#N/A,FALSE,"6";#N/A,#N/A,FALSE,"8";#N/A,#N/A,FALSE,"10";#N/A,#N/A,FALSE,"13";#N/A,#N/A,FALSE,"14";#N/A,#N/A,FALSE,"15";#N/A,#N/A,FALSE,"16"}</definedName>
    <definedName function="false" hidden="true" name="egegge" vbProcedure="false">{#N/A,#N/A,FALSE,"3";#N/A,#N/A,FALSE,"5";#N/A,#N/A,FALSE,"6";#N/A,#N/A,FALSE,"8";#N/A,#N/A,FALSE,"10";#N/A,#N/A,FALSE,"13";#N/A,#N/A,FALSE,"14";#N/A,#N/A,FALSE,"15";#N/A,#N/A,FALSE,"16"}</definedName>
    <definedName function="false" hidden="true" name="egg" vbProcedure="false">{#N/A,#N/A,FALSE,"3";#N/A,#N/A,FALSE,"5";#N/A,#N/A,FALSE,"6";#N/A,#N/A,FALSE,"8";#N/A,#N/A,FALSE,"10";#N/A,#N/A,FALSE,"13";#N/A,#N/A,FALSE,"14";#N/A,#N/A,FALSE,"15";#N/A,#N/A,FALSE,"16"}</definedName>
    <definedName function="false" hidden="true" name="eggseg" vbProcedure="false">{#N/A,#N/A,FALSE,"3";#N/A,#N/A,FALSE,"5";#N/A,#N/A,FALSE,"6";#N/A,#N/A,FALSE,"8";#N/A,#N/A,FALSE,"10";#N/A,#N/A,FALSE,"13";#N/A,#N/A,FALSE,"14";#N/A,#N/A,FALSE,"15";#N/A,#N/A,FALSE,"16"}</definedName>
    <definedName function="false" hidden="true" name="eghegehhe" vbProcedure="false">{#N/A,#N/A,FALSE,"3";#N/A,#N/A,FALSE,"5";#N/A,#N/A,FALSE,"6";#N/A,#N/A,FALSE,"8";#N/A,#N/A,FALSE,"10";#N/A,#N/A,FALSE,"13";#N/A,#N/A,FALSE,"14";#N/A,#N/A,FALSE,"15";#N/A,#N/A,FALSE,"16"}</definedName>
    <definedName function="false" hidden="true" name="ei"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eileen"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eileen10" vbProcedure="false">{"Units A",#N/A,FALSE,"FY95SLS";"Units B",#N/A,FALSE,"FY95SLS"}</definedName>
    <definedName function="false" hidden="true" name="eileen11" vbProcedure="false">{"US Dollars",#N/A,TRUE,"PPD";"US Dollar",#N/A,TRUE,"Anaquest";"US Dollar",#N/A,TRUE,"Delta";"US Dollar",#N/A,TRUE,"INO"}</definedName>
    <definedName function="false" hidden="true" name="eileen2"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eileen3" vbProcedure="false">{"Pound Sterling",#N/A,TRUE,"PPD";"Pound Sterling",#N/A,TRUE,"Anaquest";"Pound Sterling",#N/A,TRUE,"Delta";"Pound Sterling",#N/A,TRUE,"INO"}</definedName>
    <definedName function="false" hidden="true" name="eileen4" vbProcedure="false">{"Pound Sterling",#N/A,TRUE,"PPD";"Pound Sterling",#N/A,TRUE,"Anaquest";"Pound Sterling",#N/A,TRUE,"Delta";"Pound Sterling",#N/A,TRUE,"INO"}</definedName>
    <definedName function="false" hidden="true" name="eileen5"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eileen6"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eileen7" vbProcedure="false">{"Sum WW A",#N/A,FALSE,"FY95SLS";"Sum WW B",#N/A,FALSE,"FY95SLS";"Sum US A",#N/A,FALSE,"FY95SLS";"Sum US B",#N/A,FALSE,"FY95SLS";"Sum US Bocg",#N/A,FALSE,"FY95SLS";"Sum Can A",#N/A,FALSE,"FY95SLS";"Sum Can B",#N/A,FALSE,"FY95SLS";"Sum Europe",#N/A,FALSE,"FY95SLS";"Sum Row",#N/A,FALSE,"FY95SLS"}</definedName>
    <definedName function="false" hidden="true" name="eileen8" vbProcedure="false">{"Sum WW A",#N/A,FALSE,"FY95SLS";"Sum WW B",#N/A,FALSE,"FY95SLS";"Sum US A",#N/A,FALSE,"FY95SLS";"Sum US B",#N/A,FALSE,"FY95SLS";"Sum US Bocg",#N/A,FALSE,"FY95SLS";"Sum Can A",#N/A,FALSE,"FY95SLS";"Sum Can B",#N/A,FALSE,"FY95SLS";"Sum Europe",#N/A,FALSE,"FY95SLS";"Sum Row",#N/A,FALSE,"FY95SLS"}</definedName>
    <definedName function="false" hidden="true" name="eileen9" vbProcedure="false">{"Units A",#N/A,FALSE,"FY95SLS";"Units B",#N/A,FALSE,"FY95SLS"}</definedName>
    <definedName function="false" hidden="true" name="eings" vbProcedure="false">{#N/A,"PURCHM",FALSE,"Business Analysis";#N/A,"SPADD",FALSE,"Business Analysis"}</definedName>
    <definedName function="false" hidden="true" name="ejkfgkjze" vbProcedure="false">{#N/A,#N/A,FALSE,"Pharm";#N/A,#N/A,FALSE,"WWCM"}</definedName>
    <definedName function="false" hidden="true" name="ekspo" vbProcedure="false">{#N/A,#N/A,FALSE,"DIR-REP";#N/A,#N/A,FALSE,"AUD-REPORT";#N/A,#N/A,FALSE,"P7L&amp;BS";#N/A,#N/A,FALSE,"NOTES";#N/A,#N/A,FALSE,"FA";#N/A,#N/A,FALSE,"NOTES (2)";#N/A,#N/A,FALSE,"Schedule  IV";#N/A,#N/A,FALSE,"Schedule V"}</definedName>
    <definedName function="false" hidden="true" name="emily" vbProcedure="false">{#N/A,#N/A,FALSE,"Calc";#N/A,#N/A,FALSE,"Sensitivity";#N/A,#N/A,FALSE,"LT Earn.Dil.";#N/A,#N/A,FALSE,"Dil. AVP"}</definedName>
    <definedName function="false" hidden="true" name="EMM" vbProcedure="false">{#N/A,#N/A,TRUE,"Cover";#N/A,#N/A,TRUE,"Content";"Orders EMM",#N/A,TRUE,"Order Sales";"project EMM",#N/A,TRUE,"Project Control";"Cash EMM",#N/A,TRUE,"Cash Control";"KPI EMM",#N/A,TRUE,"KPI-EMM";"Empl EMM",#N/A,TRUE,"Employees"}</definedName>
    <definedName function="false" hidden="true" name="ENDDATE" vbProcedure="false">" "</definedName>
    <definedName function="false" hidden="true" name="Endesa" vbProcedure="false">{#N/A,#N/A,FALSE,"Eastern";#N/A,#N/A,FALSE,"Western"}</definedName>
    <definedName function="false" hidden="true" name="enel" vbProcedure="false">{#N/A,#N/A,FALSE,"Eastern";#N/A,#N/A,FALSE,"Western"}</definedName>
    <definedName function="false" hidden="false" name="engelsk" vbProcedure="false">#REF!</definedName>
    <definedName function="false" hidden="true" name="ENG_BI_LBI" vbProcedure="false">"FC4IC5FMAA"</definedName>
    <definedName function="false" hidden="true" name="ENG_BI_TLA" vbProcedure="false">"45;233;15;41;246;144;12;217;219;25;151;228;79;236;180;142;254;26;104;235;115;155;236;85;25;248;141;221;280;94;104;245"</definedName>
    <definedName function="false" hidden="false" name="EntityColumn" vbProcedure="false">#REF!</definedName>
    <definedName function="false" hidden="false" name="EntityKeyword" vbProcedure="false">#REF!</definedName>
    <definedName function="false" hidden="true" name="eo0t" vbProcedure="false">{#N/A,#N/A,FALSE,"TB";#N/A,#N/A,FALSE,"DR";#N/A,#N/A,FALSE,"AR";#N/A,#N/A,FALSE,"PL";#N/A,#N/A,FALSE,"BS";#N/A,#N/A,FALSE,"NOTES";#N/A,#N/A,FALSE,"NOTES (2)";#N/A,#N/A,FALSE,"NOTES (3)";#N/A,#N/A,FALSE,"DPL";#N/A,#N/A,FALSE,"TAXC.INDEX";#N/A,#N/A,FALSE,"Schedule I";#N/A,#N/A,FALSE,"Adjustments"}</definedName>
    <definedName function="false" hidden="true" name="eofjae" vbProcedure="false">{#N/A,#N/A,TRUE,"COVER";#N/A,#N/A,TRUE,"DIR";#N/A,#N/A,TRUE,"AUDIT"}</definedName>
    <definedName function="false" hidden="true" name="eoflsru" vbProcedure="false">{"QTD",#N/A,FALSE,"SUM"}</definedName>
    <definedName function="false" hidden="true" name="eoil" vbProcedure="false">{"detail",#N/A,FALSE,"mfg";"summary",#N/A,FALSE,"mfg"}</definedName>
    <definedName function="false" hidden="true" name="eotl" vbProcedure="false">{#N/A,#N/A,FALSE,"DIR-REP";#N/A,#N/A,FALSE,"AUD-REPORT";#N/A,#N/A,FALSE,"P7L&amp;BS";#N/A,#N/A,FALSE,"NOTES";#N/A,#N/A,FALSE,"FA";#N/A,#N/A,FALSE,"NOTES (2)";#N/A,#N/A,FALSE,"Schedule  IV";#N/A,#N/A,FALSE,"Schedule V"}</definedName>
    <definedName function="false" hidden="true" name="eotlajt" vbProcedure="false">{#N/A,#N/A,TRUE,"COVER";#N/A,#N/A,TRUE,"DIR";#N/A,#N/A,TRUE,"AUDIT"}</definedName>
    <definedName function="false" hidden="true" name="eotlse" vbProcedure="false">{#N/A,#N/A,FALSE,"TB";#N/A,#N/A,FALSE,"DR";#N/A,#N/A,FALSE,"AR";#N/A,#N/A,FALSE,"BS";#N/A,#N/A,FALSE,"PL";#N/A,#N/A,FALSE,"NOTES";#N/A,#N/A,FALSE,"NOTES (2)";#N/A,#N/A,FALSE,"NOTES (3)";#N/A,#N/A,FALSE,"DPL";#N/A,#N/A,FALSE,"DPL"}</definedName>
    <definedName function="false" hidden="true" name="eots" vbProcedure="false">{#N/A,#N/A,FALSE,"DIR-REP";#N/A,#N/A,FALSE,"AUD-REPORT";#N/A,#N/A,FALSE,"P7L&amp;BS";#N/A,#N/A,FALSE,"NOTES";#N/A,#N/A,FALSE,"FA";#N/A,#N/A,FALSE,"NOTES (2)";#N/A,#N/A,FALSE,"Schedule  IV";#N/A,#N/A,FALSE,"Schedule V"}</definedName>
    <definedName function="false" hidden="true" name="er" vbProcedure="false">{#N/A,#N/A,FALSE,"Umsatz 99";#N/A,#N/A,FALSE,"ER 99 "}</definedName>
    <definedName function="false" hidden="true" name="er6udui" vbProcedure="false">{"Pound Sterling",#N/A,TRUE,"PPD";"Pound Sterling",#N/A,TRUE,"Anaquest";"Pound Sterling",#N/A,TRUE,"Delta";"Pound Sterling",#N/A,TRUE,"INO"}</definedName>
    <definedName function="false" hidden="true" name="erd" vbProcedure="false">{#N/A,#N/A,FALSE,"Pharm";#N/A,#N/A,FALSE,"WWCM"}</definedName>
    <definedName function="false" hidden="true" name="ere" vbProcedure="false">#REF!</definedName>
    <definedName function="false" hidden="true" name="erer" vbProcedure="false">{#N/A,#N/A,FALSE,"3";#N/A,#N/A,FALSE,"5";#N/A,#N/A,FALSE,"6";#N/A,#N/A,FALSE,"8";#N/A,#N/A,FALSE,"10";#N/A,#N/A,FALSE,"13";#N/A,#N/A,FALSE,"14";#N/A,#N/A,FALSE,"15";#N/A,#N/A,FALSE,"16"}</definedName>
    <definedName function="false" hidden="true" name="ERERT" vbProcedure="false">{#N/A,#N/A,FALSE,"00 P&amp;L vs 99"}</definedName>
    <definedName function="false" hidden="true" name="erf"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Erfolgsplanung" vbProcedure="false">{"'Internat.oper.netti'!$B$1:$J$25"}</definedName>
    <definedName function="false" hidden="true" name="ergeyuhwryu"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ergqerg" vbProcedure="false">{"Pound Sterling",#N/A,TRUE,"PPD";"Pound Sterling",#N/A,TRUE,"Anaquest";"Pound Sterling",#N/A,TRUE,"Delta";"Pound Sterling",#N/A,TRUE,"INO"}</definedName>
    <definedName function="false" hidden="true" name="ergqregrqe" vbProcedure="false">{"Pound Sterling",#N/A,TRUE,"PPD";"Pound Sterling",#N/A,TRUE,"Anaquest";"Pound Sterling",#N/A,TRUE,"Delta";"Pound Sterling",#N/A,TRUE,"INO"}</definedName>
    <definedName function="false" hidden="true" name="ergr" vbProcedure="false">{"Units A",#N/A,FALSE,"FY95SLS";"Units B",#N/A,FALSE,"FY95SLS"}</definedName>
    <definedName function="false" hidden="true" name="err.g." vbProcedure="false">{#N/A,#N/A,FALSE,"KA CH  (2)"}</definedName>
    <definedName function="false" hidden="true" name="ERRR" vbProcedure="false">{#N/A,#N/A,FALSE,"00 P&amp;L vs 99"}</definedName>
    <definedName function="false" hidden="true" name="errr.g" vbProcedure="false">{#N/A,#N/A,FALSE,"KA CH  (2)"}</definedName>
    <definedName function="false" hidden="true" name="erryeyetyuu" vbProcedure="false">{#N/A,#N/A,FALSE,"Pharm";#N/A,#N/A,FALSE,"WWCM"}</definedName>
    <definedName function="false" hidden="false" name="Err_Tol" vbProcedure="false">#REF!</definedName>
    <definedName function="false" hidden="true" name="ers" vbProcedure="false">{#N/A,#N/A,FALSE,"SF"}</definedName>
    <definedName function="false" hidden="true" name="ersge"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ert" vbProcedure="false">{#N/A,#N/A,FALSE,"Umsatz 99";#N/A,#N/A,FALSE,"ER 99 "}</definedName>
    <definedName function="false" hidden="true" name="ertaz" vbProcedure="false">{#N/A,#N/A,FALSE,"Operations";#N/A,#N/A,FALSE,"Financials"}</definedName>
    <definedName function="false" hidden="true" name="ertq" vbProcedure="false">{"Units A",#N/A,FALSE,"FY95SLS";"Units B",#N/A,FALSE,"FY95SLS"}</definedName>
    <definedName function="false" hidden="true" name="ertr" vbProcedure="false">{#N/A,#N/A,FALSE,"Umsatz 99";#N/A,#N/A,FALSE,"ER 99 "}</definedName>
    <definedName function="false" hidden="true" name="ertwrhutry" vbProcedure="false">{"Units A",#N/A,FALSE,"FY95SLS";"Units B",#N/A,FALSE,"FY95SLS"}</definedName>
    <definedName function="false" hidden="true" name="ervnj" vbProcedure="false">{"YTDACT",#N/A,FALSE,"YTD Cum";"YTDBUD",#N/A,FALSE,"YTD Cum";"YTDPRIOR",#N/A,FALSE,"YTD Cum"}</definedName>
    <definedName function="false" hidden="true" name="erw"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ery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es"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esd" vbProcedure="false">{#N/A,#N/A,FALSE,"Eastern";#N/A,#N/A,FALSE,"Western"}</definedName>
    <definedName function="false" hidden="true" name="eseoe" vbProcedure="false">{#N/A,#N/A,FALSE,"TAXC.INDEX";#N/A,#N/A,FALSE,"Schedule I";#N/A,#N/A,FALSE,"Schedule  II";#N/A,#N/A,FALSE,"Schedule III";#N/A,#N/A,FALSE,"Schedule IV";#N/A,#N/A,FALSE,"Schedule IV (Cont'd)";#N/A,#N/A,FALSE,"Schedule V";#N/A,#N/A,FALSE,"Schedule VI";#N/A,#N/A,FALSE,"Schedule VII"}</definedName>
    <definedName function="false" hidden="true" name="esge" vbProcedure="false">{#N/A,#N/A,FALSE,"3";#N/A,#N/A,FALSE,"5";#N/A,#N/A,FALSE,"6";#N/A,#N/A,FALSE,"8";#N/A,#N/A,FALSE,"10";#N/A,#N/A,FALSE,"13";#N/A,#N/A,FALSE,"14";#N/A,#N/A,FALSE,"15";#N/A,#N/A,FALSE,"16"}</definedName>
    <definedName function="false" hidden="true" name="esla" vbProcedure="false">{#N/A,#N/A,FALSE,"DIR-REP";#N/A,#N/A,FALSE,"AUD-REPORT";#N/A,#N/A,FALSE,"P7L&amp;BS";#N/A,#N/A,FALSE,"NOTES";#N/A,#N/A,FALSE,"FA";#N/A,#N/A,FALSE,"NOTES (2)";#N/A,#N/A,FALSE,"Schedule  IV";#N/A,#N/A,FALSE,"Schedule V"}</definedName>
    <definedName function="false" hidden="true" name="esnrc100c1_values" vbProcedure="false">{"FTSE100","COMPANIES",TRUE}</definedName>
    <definedName function="false" hidden="true" name="esnrc33c1_values" vbProcedure="false">{"EUMOT","COMPANIES",TRUE}</definedName>
    <definedName function="false" hidden="true" name="esnrc56c1_values" vbProcedure="false">{"ASCONGRP","COMPANIES",TRUE}</definedName>
    <definedName function="false" hidden="true" name="esnrc63c1_values" vbProcedure="false">{"EUUTIGRP","COMPANIES",TRUE}</definedName>
    <definedName function="false" hidden="true" name="esnrc91c1_values" vbProcedure="false">{"EUUTI","COMPANIES",TRUE}</definedName>
    <definedName function="false" hidden="true" name="esot" vbProcedure="false">{#N/A,#N/A,FALSE,"CONTENTS";#N/A,#N/A,FALSE,"DR";#N/A,#N/A,FALSE,"PL";#N/A,#N/A,FALSE,"BS";#N/A,#N/A,FALSE,"Cash Flow";#N/A,#N/A,FALSE,"NOTES";#N/A,#N/A,FALSE,"NOTES (FA)";#N/A,#N/A,FALSE,"Notes(3)";#N/A,#N/A,FALSE,"NOTES (4)";#N/A,#N/A,FALSE,"DP&amp;L";#N/A,#N/A,FALSE,"EXPENSES";#N/A,#N/A,FALSE,"EXPENSES-1"}</definedName>
    <definedName function="false" hidden="true" name="ESPeXToEUR" vbProcedure="false">1/eurextoesp</definedName>
    <definedName function="false" hidden="true" name="ESSAI" vbProcedure="false">{#N/A,#N/A,FALSE,"Pharm";#N/A,#N/A,FALSE,"WWCM"}</definedName>
    <definedName function="false" hidden="true" name="esshr2" vbProcedure="false">{#N/A,#N/A,FALSE,"Presentation by Unit";#N/A,#N/A,FALSE,"Presentation by BD";#N/A,#N/A,FALSE,"Presentation Split by Biggest U";#N/A,#N/A,FALSE,"Presentation Split by Area";#N/A,#N/A,FALSE,"Presentation Split by BD"}</definedName>
    <definedName function="false" hidden="true" name="estoques" vbProcedure="false">{#N/A,#N/A,FALSE,"Cristal D'Oro (Tabela)";#N/A,#N/A,FALSE,"Cond Rio Tietê (Tabela)";#N/A,#N/A,FALSE,"Jacyr Leal (Tabela)";#N/A,#N/A,FALSE,"Paul Cézanne (Tabela)";#N/A,#N/A,FALSE,"Tom Jobim  (Tabela)"}</definedName>
    <definedName function="false" hidden="true" name="et"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etet" vbProcedure="false">{#N/A,#N/A,FALSE,"Umsatz CH";#N/A,#N/A,FALSE,"ER CH";#N/A,#N/A,FALSE,"EA CH (2) ";#N/A,#N/A,FALSE,"EA CH";#N/A,#N/A,FALSE,"EA CH (3) ";#N/A,#N/A,FALSE,"EA CH (4)";#N/A,#N/A,FALSE,"KA CH";#N/A,#N/A,FALSE,"KA CH  (2)";#N/A,#N/A,FALSE,"KA CH  (3)";#N/A,#N/A,FALSE,"KA CH (4)"}</definedName>
    <definedName function="false" hidden="true" name="etlst" vbProcedure="false">{#N/A,#N/A,FALSE,"TB";#N/A,#N/A,FALSE,"AR";#N/A,#N/A,FALSE,"BS";#N/A,#N/A,FALSE,"PL";#N/A,#N/A,FALSE,"NOTES";#N/A,#N/A,FALSE,"NOTES (2)";#N/A,#N/A,FALSE,"NOTES (3)";#N/A,#N/A,FALSE,"TAXC.INDEX";#N/A,#N/A,FALSE,"Schedule I";#N/A,#N/A,FALSE,"DPL";#N/A,#N/A,FALSE,"Schedule IV";#N/A,#N/A,FALSE,"Adjustments"}</definedName>
    <definedName function="false" hidden="true" name="ett" vbProcedure="false">{#N/A,#N/A,FALSE,"TAXC.INDEX";#N/A,#N/A,FALSE,"Schedule I";#N/A,#N/A,FALSE,"Schedule  II";#N/A,#N/A,FALSE,"Schedule III"}</definedName>
    <definedName function="false" hidden="true" name="et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eu" vbProcedure="false">{"apci",#N/A,FALSE,"Chem_CY";"eastman",#N/A,FALSE,"Eastman";"betz",#N/A,FALSE,"Betz";"great lakes",#N/A,FALSE,"Great_Lakes";"hercules",#N/A,FALSE,"Hercules Chem Seg Data";"rohm",#N/A,FALSE,"Rohm";"union carbide",#N/A,FALSE,"Union";"witco",#N/A,FALSE,"Witco"}</definedName>
    <definedName function="false" hidden="true" name="euy" vbProcedure="false">{"Units A",#N/A,FALSE,"FY95SLS";"Units B",#N/A,FALSE,"FY95SLS"}</definedName>
    <definedName function="false" hidden="true" name="EV" vbProcedure="false">39707.5698842593</definedName>
    <definedName function="false" hidden="true" name="ev.Calculation" vbProcedure="false">2</definedName>
    <definedName function="false" hidden="true" name="ev.Initialized" vbProcedure="false">FALSE()</definedName>
    <definedName function="false" hidden="true" name="EV__ALLOWSTOPEXPAND__" vbProcedure="false">1</definedName>
    <definedName function="false" hidden="true" name="EV__DECIMALSYMBOL__" vbProcedure="false">"."</definedName>
    <definedName function="false" hidden="true" name="EV__EVCOM_OPTIONS__" vbProcedure="false">8</definedName>
    <definedName function="false" hidden="true" name="EV__EXPOPTIONS__" vbProcedure="false">0</definedName>
    <definedName function="false" hidden="true" name="EV__LASTREFTIME__" vbProcedure="false">"27/05/2013 16:25:35"</definedName>
    <definedName function="false" hidden="true" name="EV__LOCKEDCVW__CAPEX" vbProcedure="false">"TotalAssets,AllClasses,Depr_per_period,ACTUAL,Totaladj,AHS,AllProjects,EUR,2007.TOTAL,PERIODIC,"</definedName>
    <definedName function="false" hidden="true" name="EV__LOCKEDCVW__CASHFLOW" vbProcedure="false">"A_TOTCFA,AC_CASHAC,ACTUAL,LC,E_QSG,2007.Q2,PERIODIC,"</definedName>
    <definedName function="false" hidden="true" name="EV__LOCKEDCVW__CMDCMVBUDGETFLASH" vbProcedure="false">"ALL_ACCOUNTS,ACTUAL,CB_RETAIL,Div_CMDCMV_No_FSLJVs,RETAIL,ALLEVENTS,AllFinanceType,USD,AllLoanProgram,OB_RETAIL,AllOriginator,OTCFLAG,AllOwners,PIGGYFLAG,PORTNONPORTFLAG,PB_RETAIL,TAMIFLAG,2006.JAN,PERIODIC,"</definedName>
    <definedName function="false" hidden="true" name="EV__LOCKEDCVW__CONSO" vbProcedure="false">"A_None_NETINC,B_ALL,ACTUAL,C_ALL,USD,TotConso,E_QSG,G_ALL,2007.Q3,PERIODIC,"</definedName>
    <definedName function="false" hidden="true" name="EV__LOCKEDCVW__CORPOPS" vbProcedure="false">"A_None_NETINC,B_ALL,BUDGET,C_ALL,USD,TotConso,E_100,G_ALL,2007.Q3,PERIODIC,"</definedName>
    <definedName function="false" hidden="true" name="EV__LOCKEDCVW__FINANCE" vbProcedure="false">"INT_PNL,RF,CFS_ADJUST,CRP_FX,ATD,TOTAL_GSF,LC,2016.TOTAL,PERIODIC,"</definedName>
    <definedName function="false" hidden="true" name="EV__LOCKEDCVW__FORECASTING" vbProcedure="false">"APPUNITS,ACTUAL,LOANSOLUTIONS,TOTADJ,TOTALCRE,TOTLOANAMOUNT,TOTLOANCENTER,TOTALMSA,TOTMULTICULTURAL,FIRSTMORT,TOTPRODTYPE,TOTREFINANCE,TOTALCRE_REF,2004.JAN,PERIODIC,"</definedName>
    <definedName function="false" hidden="true" name="EV__LOCKEDCVW__FPR" vbProcedure="false">"A_STAT_INVENT,B_ALL,FORECAST,C_ALL,LC,Input,D_ALL,E_503,P_ALL,S_ALL,2006.Q4,PERIODIC,"</definedName>
    <definedName function="false" hidden="true" name="EV__LOCKEDCVW__HR" vbProcedure="false">"ACTUAL,Totaladj,All_Employee,AHS,A_HR1000,EUR,2007.TOTAL,PERIODIC,"</definedName>
    <definedName function="false" hidden="true" name="EV__LOCKEDCVW__INTERCOMATCHING" vbProcedure="false">"ICAssets,Actual,Input,E_All,I_All,2004.TOTAL,USD,PERIODIC,"</definedName>
    <definedName function="false" hidden="true" name="EV__LOCKEDCVW__PAYROLL" vbProcedure="false">"11250,Actual,TotalAdj,TOT_DEPT,ALLEMPL,TOT_COMPANY_PF,Tot_Job,TOT_LOB,ALLPAYGROUPS,2008.Total,ALLDATACONT,PERIODIC,"</definedName>
    <definedName function="false" hidden="true" name="EV__LOCKEDCVW__RATE" vbProcedure="false">"MERCK_CATEGORY,AED,AVG,RATEINPUT,MERCK_TIME,PERIODIC,"</definedName>
    <definedName function="false" hidden="true" name="EV__LOCKEDCVW__RATE_INTERCO" vbProcedure="false">"Actual,Avg,Default,2004.TOTAL,USD,PERIODIC,"</definedName>
    <definedName function="false" hidden="true" name="EV__LOCKEDCVW__REVENUE" vbProcedure="false">"CustomerData,Actual,1001018,Revenue,10,TOT_LOB,2009.SEP,PERIODIC,"</definedName>
    <definedName function="false" hidden="true" name="EV__LOCKEDCVW__SAFETY" vbProcedure="false">"PrevDOTRatio_PLAN,Plan,Input,LINEHAUL,TOT_COMPANY,REGULAR,2009.TOTAL,PERIODIC,"</definedName>
    <definedName function="false" hidden="true" name="EV__LOCKEDCVW__SALES" vbProcedure="false">"ACTUAL,ALL_Customer,Totaladj,AHS,All_Product,EUR,2007.TOTAL,SA_GP,PERIODIC,"</definedName>
    <definedName function="false" hidden="true" name="EV__LOCKSTATUS__" vbProcedure="false">2</definedName>
    <definedName function="false" hidden="true" name="EV__MAXEXPCOLS__" vbProcedure="false">100</definedName>
    <definedName function="false" hidden="true" name="EV__MAXEXPROWS__" vbProcedure="false">1000</definedName>
    <definedName function="false" hidden="true" name="EV__MEMORYCVW__" vbProcedure="false">0</definedName>
    <definedName function="false" hidden="true" name="EV__WBEVMODE__" vbProcedure="false">0</definedName>
    <definedName function="false" hidden="true" name="EV__WBREFOPTIONS__" vbProcedure="false">134217732</definedName>
    <definedName function="false" hidden="true" name="EV__WBVERSION__" vbProcedure="false">0</definedName>
    <definedName function="false" hidden="true" name="ew" vbProcedure="false">{#N/A,"PURADD",FALSE,"Business Analysis";#N/A,"PURSPP",FALSE,"Business Analysis";#N/A,"CTGIND",FALSE,"Business Analysis";#N/A,"PURCHM",FALSE,"Business Analysis";#N/A,"SPADD",FALSE,"Business Analysis";#N/A,"EPOXY",FALSE,"Business Analysis";#N/A,"PURPER",FALSE,"Business Analysis"}</definedName>
    <definedName function="false" hidden="true" name="ewaw" vbProcedure="false">{"Act_vs_Budget",#N/A,FALSE,"QTRDPVAR";"Act_vs_Prior_Year",#N/A,FALSE,"QTRDPVAR"}</definedName>
    <definedName function="false" hidden="true" name="ewdwqd" vbProcedure="false">{#N/A,"PURCHM",FALSE,"Business Analysis";#N/A,"SPADD",FALSE,"Business Analysis"}</definedName>
    <definedName function="false" hidden="true" name="ewq" vbProcedure="false">{"oct_res_comm",#N/A,FALSE,"VarToBud"}</definedName>
    <definedName function="false" hidden="true" name="ewv" vbProcedure="false">{"Page1",#N/A,FALSE,"OpExJanvsBud";"Page2",#N/A,FALSE,"OpExJanvsBud"}</definedName>
    <definedName function="false" hidden="true" name="ewwe" vbProcedure="false">{#N/A,#N/A,FALSE,"REPORT"}</definedName>
    <definedName function="false" hidden="true" name="ExactAddinConnection" vbProcedure="false">"050"</definedName>
    <definedName function="false" hidden="true" name="ExactAddinConnection.001" vbProcedure="false">"srv3;001;basilio;0"</definedName>
    <definedName function="false" hidden="true" name="ExactAddinConnection.0012" vbProcedure="false">"ATMSSV-MSQL01;100;ghoppenbrouwer;1"</definedName>
    <definedName function="false" hidden="true" name="ExactAddinConnection.002" vbProcedure="false">"srv3;002;basilio;0"</definedName>
    <definedName function="false" hidden="true" name="ExactAddinConnection.003" vbProcedure="false">"srv3;003;basilio;0"</definedName>
    <definedName function="false" hidden="true" name="ExactAddinConnection.004" vbProcedure="false">"srv3;004;basilio;0"</definedName>
    <definedName function="false" hidden="true" name="ExactAddinConnection.005" vbProcedure="false">"srv3;005;basilio;0"</definedName>
    <definedName function="false" hidden="true" name="ExactAddinConnection.010" vbProcedure="false">"corp-es-db;001;gary.bristow;1"</definedName>
    <definedName function="false" hidden="true" name="ExactAddinConnection.050" vbProcedure="false">"(local);050;mvanderpas;1"</definedName>
    <definedName function="false" hidden="true" name="ExactAddinConnection.100" vbProcedure="false">"srv3;100;basilio;0"</definedName>
    <definedName function="false" hidden="true" name="ExactAddinConnection.102" vbProcedure="false">"SGDC04;102;amokhtar;1"</definedName>
    <definedName function="false" hidden="true" name="ExactAddinConnection.199" vbProcedure="false">"ATMSSV-MSQL01;199;Ascudellari;1"</definedName>
    <definedName function="false" hidden="true" name="ExactAddinConnection.200" vbProcedure="false">"ATMSSV-MSQL01;100;DKorneev;1"</definedName>
    <definedName function="false" hidden="true" name="ExactAddinConnection.299" vbProcedure="false">"ATMSSV-MSQL01;299;tryan;1"</definedName>
    <definedName function="false" hidden="true" name="ExactAddinConnection.300" vbProcedure="false">"ATMSSV-MSQL01;300;DKorneev;1"</definedName>
    <definedName function="false" hidden="true" name="ExactAddinConnection.301" vbProcedure="false">"ATMSSV-MSQL01;300;TMurphy;1"</definedName>
    <definedName function="false" hidden="true" name="ExactAddinConnection.399" vbProcedure="false">"ATMSSV-MSQL01;399;tryan;1"</definedName>
    <definedName function="false" hidden="true" name="ExactAddinConnection.400" vbProcedure="false">"ATMSSV-MSQL01;400;pramey;1"</definedName>
    <definedName function="false" hidden="true" name="ExactAddinConnvection.201" vbProcedure="false">"ATMSSV-MSQL01;200;TMurphy;1"</definedName>
    <definedName function="false" hidden="true" name="ExactAddinReports" vbProcedure="false">3</definedName>
    <definedName function="false" hidden="true" name="excl" vbProcedure="false">{"'Internat.oper.netti'!$B$1:$J$25"}</definedName>
    <definedName function="false" hidden="true" name="exl" vbProcedure="false">{"'Internat.oper.netti'!$B$1:$J$25"}</definedName>
    <definedName function="false" hidden="true" name="EY" vbProcedure="false">{"vue1",#N/A,FALSE,"synthese";"vue2",#N/A,FALSE,"synthese"}</definedName>
    <definedName function="false" hidden="true" name="eydsr" vbProcedure="false">{#N/A,"PURCHM",FALSE,"Business Analysis";#N/A,"SPADD",FALSE,"Business Analysis"}</definedName>
    <definedName function="false" hidden="true" name="eyr" vbProcedure="false">{"hiden",#N/A,FALSE,"14";"hidden",#N/A,FALSE,"16";"hidden",#N/A,FALSE,"18";"hidden",#N/A,FALSE,"20"}</definedName>
    <definedName function="false" hidden="true" name="ezaqs" vbProcedure="false">{#N/A,#N/A,FALSE,"Eastern";#N/A,#N/A,FALSE,"Western"}</definedName>
    <definedName function="false" hidden="true" name="ezcds" vbProcedure="false">#REF!</definedName>
    <definedName function="false" hidden="true" name="ezt" vbProcedure="false">{#N/A,#N/A,FALSE,"Calc";#N/A,#N/A,FALSE,"Sensitivity";#N/A,#N/A,FALSE,"LT Earn.Dil.";#N/A,#N/A,FALSE,"Dil. AVP"}</definedName>
    <definedName function="false" hidden="true" name="f"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f.ffff" vbProcedure="false">{#N/A,#N/A,FALSE,"Umsatz 99";#N/A,#N/A,FALSE,"ER 99 "}</definedName>
    <definedName function="false" hidden="true" name="fa" vbProcedure="false">{"vol data",#N/A,FALSE,"Datasheet";"vol graph",#N/A,FALSE,"Volume";"price data",#N/A,FALSE,"Datasheet";"price graph",#N/A,FALSE,"Price";"dp data",#N/A,FALSE,"Datasheet";"dp graph",#N/A,FALSE,"DirectProfit"}</definedName>
    <definedName function="false" hidden="true" name="faa"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faasfas" vbProcedure="false">{#N/A,#N/A,FALSE,"3";#N/A,#N/A,FALSE,"5";#N/A,#N/A,FALSE,"6";#N/A,#N/A,FALSE,"8";#N/A,#N/A,FALSE,"10";#N/A,#N/A,FALSE,"13";#N/A,#N/A,FALSE,"14";#N/A,#N/A,FALSE,"15";#N/A,#N/A,FALSE,"16"}</definedName>
    <definedName function="false" hidden="true" name="fadre" vbProcedure="false">{#N/A,#N/A,FALSE,"00 P&amp;L vs 99"}</definedName>
    <definedName function="false" hidden="true" name="fafd" vbProcedure="false">{"Merger Output",#N/A,FALSE,"Summary_Output";"Flowback Assesment dollars",#N/A,FALSE,"FLow";"Flowback assesment percent",#N/A,FALSE,"FLow";"Impact to Rubik Price",#N/A,FALSE,"FLow"}</definedName>
    <definedName function="false" hidden="true" name="fasf" vbProcedure="false">{#N/A,#N/A,FALSE,"3";#N/A,#N/A,FALSE,"5";#N/A,#N/A,FALSE,"6";#N/A,#N/A,FALSE,"8";#N/A,#N/A,FALSE,"10";#N/A,#N/A,FALSE,"13";#N/A,#N/A,FALSE,"14";#N/A,#N/A,FALSE,"15";#N/A,#N/A,FALSE,"16"}</definedName>
    <definedName function="false" hidden="true" name="fasfdsaf" vbProcedure="false">{#N/A,#N/A,FALSE,"00 P&amp;L vs 99"}</definedName>
    <definedName function="false" hidden="true" name="fat" vbProcedure="false">{#N/A,#N/A,FALSE,"TAXC.INDEX";#N/A,#N/A,FALSE,"Schedule I";#N/A,#N/A,FALSE,"Schedule  II";#N/A,#N/A,FALSE,"Schedule III";#N/A,#N/A,FALSE,"Schedule IV";#N/A,#N/A,FALSE,"Schedule IV (Cont'd)";#N/A,#N/A,FALSE,"Schedule V";#N/A,#N/A,FALSE,"Schedule VI";#N/A,#N/A,FALSE,"Schedule VII"}</definedName>
    <definedName function="false" hidden="true" name="fay" vbProcedure="false">{#N/A,#N/A,FALSE,"CONTENTS";#N/A,#N/A,FALSE,"DR";#N/A,#N/A,FALSE,"PL";#N/A,#N/A,FALSE,"BS";#N/A,#N/A,FALSE,"Cash Flow";#N/A,#N/A,FALSE,"NOTES";#N/A,#N/A,FALSE,"NOTES (FA)";#N/A,#N/A,FALSE,"Notes(3)";#N/A,#N/A,FALSE,"NOTES (4)";#N/A,#N/A,FALSE,"DP&amp;L";#N/A,#N/A,FALSE,"EXPENSES";#N/A,#N/A,FALSE,"EXPENSES-1"}</definedName>
    <definedName function="false" hidden="true" name="fbwt" vbProcedure="false">{"Pound Sterling",#N/A,TRUE,"PPD";"Pound Sterling",#N/A,TRUE,"Anaquest";"Pound Sterling",#N/A,TRUE,"Delta";"Pound Sterling",#N/A,TRUE,"INO"}</definedName>
    <definedName function="false" hidden="true" name="fc" vbProcedure="false">{#N/A,#N/A,FALSE,"TB";#N/A,#N/A,FALSE,"DR";#N/A,#N/A,FALSE,"AR";#N/A,#N/A,FALSE,"PL";#N/A,#N/A,FALSE,"BS";#N/A,#N/A,FALSE,"NOTES";#N/A,#N/A,FALSE,"NOTES (2)";#N/A,#N/A,FALSE,"NOTES (3)";#N/A,#N/A,FALSE,"DPL";#N/A,#N/A,FALSE,"TAXC.INDEX";#N/A,#N/A,FALSE,"Schedule I";#N/A,#N/A,FALSE,"Adjustments"}</definedName>
    <definedName function="false" hidden="true" name="FcastNumYears" vbProcedure="false">#REF!</definedName>
    <definedName function="false" hidden="true" name="FcastStartYear" vbProcedure="false">#REF!</definedName>
    <definedName function="false" hidden="true" name="fd" vbProcedure="false">{"detail",#N/A,FALSE,"mfg";"summary",#N/A,FALSE,"mfg"}</definedName>
    <definedName function="false" hidden="true" name="FDC_0_0" vbProcedure="false">"#"</definedName>
    <definedName function="false" hidden="true" name="FDC_10_0" vbProcedure="false">"#"</definedName>
    <definedName function="false" hidden="true" name="FDC_10_1" vbProcedure="false">"#"</definedName>
    <definedName function="false" hidden="true" name="FDC_10_2" vbProcedure="false">"#"</definedName>
    <definedName function="false" hidden="true" name="FDC_10_3" vbProcedure="false">"#"</definedName>
    <definedName function="false" hidden="true" name="FDC_11_0" vbProcedure="false">"#"</definedName>
    <definedName function="false" hidden="true" name="FDC_11_1" vbProcedure="false">"#"</definedName>
    <definedName function="false" hidden="true" name="FDC_11_2" vbProcedure="false">"#"</definedName>
    <definedName function="false" hidden="true" name="FDC_11_3" vbProcedure="false">"#"</definedName>
    <definedName function="false" hidden="true" name="FDC_12_0" vbProcedure="false">"#"</definedName>
    <definedName function="false" hidden="true" name="FDC_12_1" vbProcedure="false">"#"</definedName>
    <definedName function="false" hidden="true" name="FDC_12_2" vbProcedure="false">"#"</definedName>
    <definedName function="false" hidden="true" name="FDC_12_3" vbProcedure="false">"#"</definedName>
    <definedName function="false" hidden="true" name="FDC_13_0" vbProcedure="false">"#"</definedName>
    <definedName function="false" hidden="true" name="FDC_13_1" vbProcedure="false">"#"</definedName>
    <definedName function="false" hidden="true" name="FDC_13_2" vbProcedure="false">"#"</definedName>
    <definedName function="false" hidden="true" name="FDC_13_3" vbProcedure="false">"#"</definedName>
    <definedName function="false" hidden="true" name="FDC_14_0" vbProcedure="false">"#"</definedName>
    <definedName function="false" hidden="true" name="FDC_14_1" vbProcedure="false">"#"</definedName>
    <definedName function="false" hidden="true" name="FDC_14_2" vbProcedure="false">"#"</definedName>
    <definedName function="false" hidden="true" name="FDC_14_3" vbProcedure="false">"#"</definedName>
    <definedName function="false" hidden="true" name="FDC_15_0" vbProcedure="false">"#"</definedName>
    <definedName function="false" hidden="true" name="FDC_16_0" vbProcedure="false">"#"</definedName>
    <definedName function="false" hidden="true" name="FDC_17_0" vbProcedure="false">"#"</definedName>
    <definedName function="false" hidden="true" name="FDC_18_0" vbProcedure="false">"#"</definedName>
    <definedName function="false" hidden="true" name="FDC_19_0" vbProcedure="false">"#"</definedName>
    <definedName function="false" hidden="true" name="FDC_19_1" vbProcedure="false">"#"</definedName>
    <definedName function="false" hidden="true" name="FDC_19_2" vbProcedure="false">"#"</definedName>
    <definedName function="false" hidden="true" name="FDC_19_3" vbProcedure="false">"#"</definedName>
    <definedName function="false" hidden="true" name="FDC_1_0" vbProcedure="false">"#"</definedName>
    <definedName function="false" hidden="true" name="FDC_20_0" vbProcedure="false">"#"</definedName>
    <definedName function="false" hidden="true" name="FDC_21_0" vbProcedure="false">"#"</definedName>
    <definedName function="false" hidden="true" name="FDC_21_1" vbProcedure="false">"#"</definedName>
    <definedName function="false" hidden="true" name="FDC_21_2" vbProcedure="false">"#"</definedName>
    <definedName function="false" hidden="true" name="FDC_21_3" vbProcedure="false">"#"</definedName>
    <definedName function="false" hidden="true" name="FDC_22_0" vbProcedure="false">"#"</definedName>
    <definedName function="false" hidden="true" name="FDC_23_0" vbProcedure="false">"#"</definedName>
    <definedName function="false" hidden="true" name="FDC_24_0" vbProcedure="false">"#"</definedName>
    <definedName function="false" hidden="true" name="FDC_25_0" vbProcedure="false">"#"</definedName>
    <definedName function="false" hidden="true" name="FDC_25_1" vbProcedure="false">"#"</definedName>
    <definedName function="false" hidden="true" name="FDC_25_2" vbProcedure="false">"#"</definedName>
    <definedName function="false" hidden="true" name="FDC_25_3" vbProcedure="false">"#"</definedName>
    <definedName function="false" hidden="true" name="FDC_26_0" vbProcedure="false">"#"</definedName>
    <definedName function="false" hidden="true" name="FDC_26_1" vbProcedure="false">"#"</definedName>
    <definedName function="false" hidden="true" name="FDC_26_2" vbProcedure="false">"#"</definedName>
    <definedName function="false" hidden="true" name="FDC_26_3" vbProcedure="false">"#"</definedName>
    <definedName function="false" hidden="true" name="FDC_27_0" vbProcedure="false">"#"</definedName>
    <definedName function="false" hidden="true" name="FDC_28_0" vbProcedure="false">"#"</definedName>
    <definedName function="false" hidden="true" name="FDC_28_1" vbProcedure="false">"#"</definedName>
    <definedName function="false" hidden="true" name="FDC_28_2" vbProcedure="false">"#"</definedName>
    <definedName function="false" hidden="true" name="FDC_28_3" vbProcedure="false">"#"</definedName>
    <definedName function="false" hidden="true" name="FDC_29_0" vbProcedure="false">"#"</definedName>
    <definedName function="false" hidden="true" name="FDC_29_1" vbProcedure="false">"#"</definedName>
    <definedName function="false" hidden="true" name="FDC_29_2" vbProcedure="false">"#"</definedName>
    <definedName function="false" hidden="true" name="FDC_29_3" vbProcedure="false">"#"</definedName>
    <definedName function="false" hidden="true" name="FDC_2_0" vbProcedure="false">"#"</definedName>
    <definedName function="false" hidden="true" name="FDC_30_0" vbProcedure="false">"#"</definedName>
    <definedName function="false" hidden="true" name="FDC_31_0" vbProcedure="false">"#"</definedName>
    <definedName function="false" hidden="true" name="FDC_32_0" vbProcedure="false">"#"</definedName>
    <definedName function="false" hidden="true" name="FDC_33_0" vbProcedure="false">"#"</definedName>
    <definedName function="false" hidden="true" name="FDC_34_0" vbProcedure="false">"#"</definedName>
    <definedName function="false" hidden="true" name="FDC_35_0" vbProcedure="false">"#"</definedName>
    <definedName function="false" hidden="true" name="FDC_36_0" vbProcedure="false">"#"</definedName>
    <definedName function="false" hidden="true" name="FDC_37_0" vbProcedure="false">"#"</definedName>
    <definedName function="false" hidden="true" name="FDC_38_0" vbProcedure="false">"#"</definedName>
    <definedName function="false" hidden="true" name="FDC_39_0" vbProcedure="false">"#"</definedName>
    <definedName function="false" hidden="true" name="FDC_3_0" vbProcedure="false">"#"</definedName>
    <definedName function="false" hidden="true" name="FDC_40_0" vbProcedure="false">"#"</definedName>
    <definedName function="false" hidden="true" name="FDC_41_0" vbProcedure="false">"#"</definedName>
    <definedName function="false" hidden="true" name="FDC_41_1" vbProcedure="false">"#"</definedName>
    <definedName function="false" hidden="true" name="FDC_41_2" vbProcedure="false">"#"</definedName>
    <definedName function="false" hidden="true" name="FDC_41_3" vbProcedure="false">"#"</definedName>
    <definedName function="false" hidden="true" name="FDC_42_0" vbProcedure="false">"#"</definedName>
    <definedName function="false" hidden="true" name="FDC_42_1" vbProcedure="false">"#"</definedName>
    <definedName function="false" hidden="true" name="FDC_42_2" vbProcedure="false">"#"</definedName>
    <definedName function="false" hidden="true" name="FDC_42_3" vbProcedure="false">"#"</definedName>
    <definedName function="false" hidden="true" name="FDC_43_0" vbProcedure="false">"#"</definedName>
    <definedName function="false" hidden="true" name="FDC_43_1" vbProcedure="false">"#"</definedName>
    <definedName function="false" hidden="true" name="FDC_43_2" vbProcedure="false">"#"</definedName>
    <definedName function="false" hidden="true" name="FDC_43_3" vbProcedure="false">"#"</definedName>
    <definedName function="false" hidden="true" name="FDC_44_0" vbProcedure="false">"#"</definedName>
    <definedName function="false" hidden="true" name="FDC_45_0" vbProcedure="false">"#"</definedName>
    <definedName function="false" hidden="true" name="FDC_45_1" vbProcedure="false">"#"</definedName>
    <definedName function="false" hidden="true" name="FDC_45_2" vbProcedure="false">"#"</definedName>
    <definedName function="false" hidden="true" name="FDC_45_3" vbProcedure="false">"#"</definedName>
    <definedName function="false" hidden="true" name="FDC_46_0" vbProcedure="false">"#"</definedName>
    <definedName function="false" hidden="true" name="FDC_46_1" vbProcedure="false">"#"</definedName>
    <definedName function="false" hidden="true" name="FDC_46_2" vbProcedure="false">"#"</definedName>
    <definedName function="false" hidden="true" name="FDC_46_3" vbProcedure="false">"#"</definedName>
    <definedName function="false" hidden="true" name="FDC_47_0" vbProcedure="false">"#"</definedName>
    <definedName function="false" hidden="true" name="FDC_47_1" vbProcedure="false">"#"</definedName>
    <definedName function="false" hidden="true" name="FDC_47_2" vbProcedure="false">"#"</definedName>
    <definedName function="false" hidden="true" name="FDC_47_3" vbProcedure="false">"#"</definedName>
    <definedName function="false" hidden="true" name="FDC_48_0" vbProcedure="false">"#"</definedName>
    <definedName function="false" hidden="true" name="FDC_48_1" vbProcedure="false">"#"</definedName>
    <definedName function="false" hidden="true" name="FDC_48_2" vbProcedure="false">"#"</definedName>
    <definedName function="false" hidden="true" name="FDC_48_3" vbProcedure="false">"#"</definedName>
    <definedName function="false" hidden="true" name="FDC_49_0" vbProcedure="false">"#"</definedName>
    <definedName function="false" hidden="true" name="FDC_49_1" vbProcedure="false">"#"</definedName>
    <definedName function="false" hidden="true" name="FDC_49_2" vbProcedure="false">"#"</definedName>
    <definedName function="false" hidden="true" name="FDC_49_3" vbProcedure="false">"#"</definedName>
    <definedName function="false" hidden="true" name="FDC_4_0" vbProcedure="false">"#"</definedName>
    <definedName function="false" hidden="true" name="FDC_50_0" vbProcedure="false">"#"</definedName>
    <definedName function="false" hidden="true" name="FDC_50_1" vbProcedure="false">"#"</definedName>
    <definedName function="false" hidden="true" name="FDC_50_2" vbProcedure="false">"#"</definedName>
    <definedName function="false" hidden="true" name="FDC_50_3" vbProcedure="false">"#"</definedName>
    <definedName function="false" hidden="true" name="FDC_51_0" vbProcedure="false">"#"</definedName>
    <definedName function="false" hidden="true" name="FDC_51_1" vbProcedure="false">"#"</definedName>
    <definedName function="false" hidden="true" name="FDC_51_2" vbProcedure="false">"#"</definedName>
    <definedName function="false" hidden="true" name="FDC_51_3" vbProcedure="false">"#"</definedName>
    <definedName function="false" hidden="true" name="FDC_52_0" vbProcedure="false">"#"</definedName>
    <definedName function="false" hidden="true" name="FDC_52_1" vbProcedure="false">"#"</definedName>
    <definedName function="false" hidden="true" name="FDC_52_2" vbProcedure="false">"#"</definedName>
    <definedName function="false" hidden="true" name="FDC_52_3" vbProcedure="false">"#"</definedName>
    <definedName function="false" hidden="true" name="FDC_53_0" vbProcedure="false">"#"</definedName>
    <definedName function="false" hidden="true" name="FDC_53_1" vbProcedure="false">"#"</definedName>
    <definedName function="false" hidden="true" name="FDC_53_2" vbProcedure="false">"#"</definedName>
    <definedName function="false" hidden="true" name="FDC_53_3" vbProcedure="false">"#"</definedName>
    <definedName function="false" hidden="true" name="FDC_54_0" vbProcedure="false">"#"</definedName>
    <definedName function="false" hidden="true" name="FDC_54_1" vbProcedure="false">"#"</definedName>
    <definedName function="false" hidden="true" name="FDC_54_2" vbProcedure="false">"#"</definedName>
    <definedName function="false" hidden="true" name="FDC_54_3" vbProcedure="false">"#"</definedName>
    <definedName function="false" hidden="true" name="FDC_55_0" vbProcedure="false">"#"</definedName>
    <definedName function="false" hidden="true" name="FDC_55_1" vbProcedure="false">"#"</definedName>
    <definedName function="false" hidden="true" name="FDC_55_2" vbProcedure="false">"#"</definedName>
    <definedName function="false" hidden="true" name="FDC_55_3" vbProcedure="false">"#"</definedName>
    <definedName function="false" hidden="true" name="FDC_56_0" vbProcedure="false">"#"</definedName>
    <definedName function="false" hidden="true" name="FDC_57_0" vbProcedure="false">"#"</definedName>
    <definedName function="false" hidden="true" name="FDC_58_0" vbProcedure="false">"#"</definedName>
    <definedName function="false" hidden="true" name="FDC_58_1" vbProcedure="false">"#"</definedName>
    <definedName function="false" hidden="true" name="FDC_58_10" vbProcedure="false">"#"</definedName>
    <definedName function="false" hidden="true" name="FDC_58_100" vbProcedure="false">"#"</definedName>
    <definedName function="false" hidden="true" name="FDC_58_101" vbProcedure="false">"#"</definedName>
    <definedName function="false" hidden="true" name="FDC_58_102" vbProcedure="false">"#"</definedName>
    <definedName function="false" hidden="true" name="FDC_58_103" vbProcedure="false">"#"</definedName>
    <definedName function="false" hidden="true" name="FDC_58_104" vbProcedure="false">"#"</definedName>
    <definedName function="false" hidden="true" name="FDC_58_105" vbProcedure="false">"#"</definedName>
    <definedName function="false" hidden="true" name="FDC_58_106" vbProcedure="false">"#"</definedName>
    <definedName function="false" hidden="true" name="FDC_58_107" vbProcedure="false">"#"</definedName>
    <definedName function="false" hidden="true" name="FDC_58_108" vbProcedure="false">"#"</definedName>
    <definedName function="false" hidden="true" name="FDC_58_109" vbProcedure="false">"#"</definedName>
    <definedName function="false" hidden="true" name="FDC_58_11" vbProcedure="false">"#"</definedName>
    <definedName function="false" hidden="true" name="FDC_58_110" vbProcedure="false">"#"</definedName>
    <definedName function="false" hidden="true" name="FDC_58_111" vbProcedure="false">"#"</definedName>
    <definedName function="false" hidden="true" name="FDC_58_112" vbProcedure="false">"#"</definedName>
    <definedName function="false" hidden="true" name="FDC_58_113" vbProcedure="false">"#"</definedName>
    <definedName function="false" hidden="true" name="FDC_58_114" vbProcedure="false">"#"</definedName>
    <definedName function="false" hidden="true" name="FDC_58_115" vbProcedure="false">"#"</definedName>
    <definedName function="false" hidden="true" name="FDC_58_116" vbProcedure="false">"#"</definedName>
    <definedName function="false" hidden="true" name="FDC_58_117" vbProcedure="false">"#"</definedName>
    <definedName function="false" hidden="true" name="FDC_58_118" vbProcedure="false">"#"</definedName>
    <definedName function="false" hidden="true" name="FDC_58_119" vbProcedure="false">"#"</definedName>
    <definedName function="false" hidden="true" name="FDC_58_12" vbProcedure="false">"#"</definedName>
    <definedName function="false" hidden="true" name="FDC_58_120" vbProcedure="false">"#"</definedName>
    <definedName function="false" hidden="true" name="FDC_58_121" vbProcedure="false">"#"</definedName>
    <definedName function="false" hidden="true" name="FDC_58_122" vbProcedure="false">"#"</definedName>
    <definedName function="false" hidden="true" name="FDC_58_123" vbProcedure="false">"#"</definedName>
    <definedName function="false" hidden="true" name="FDC_58_124" vbProcedure="false">"#"</definedName>
    <definedName function="false" hidden="true" name="FDC_58_125" vbProcedure="false">"#"</definedName>
    <definedName function="false" hidden="true" name="FDC_58_126" vbProcedure="false">"#"</definedName>
    <definedName function="false" hidden="true" name="FDC_58_127" vbProcedure="false">"#"</definedName>
    <definedName function="false" hidden="true" name="FDC_58_128" vbProcedure="false">"#"</definedName>
    <definedName function="false" hidden="true" name="FDC_58_129" vbProcedure="false">"#"</definedName>
    <definedName function="false" hidden="true" name="FDC_58_13" vbProcedure="false">"#"</definedName>
    <definedName function="false" hidden="true" name="FDC_58_130" vbProcedure="false">"#"</definedName>
    <definedName function="false" hidden="true" name="FDC_58_131" vbProcedure="false">"#"</definedName>
    <definedName function="false" hidden="true" name="FDC_58_132" vbProcedure="false">"#"</definedName>
    <definedName function="false" hidden="true" name="FDC_58_133" vbProcedure="false">"#"</definedName>
    <definedName function="false" hidden="true" name="FDC_58_134" vbProcedure="false">"#"</definedName>
    <definedName function="false" hidden="true" name="FDC_58_135" vbProcedure="false">"#"</definedName>
    <definedName function="false" hidden="true" name="FDC_58_136" vbProcedure="false">"#"</definedName>
    <definedName function="false" hidden="true" name="FDC_58_137" vbProcedure="false">"#"</definedName>
    <definedName function="false" hidden="true" name="FDC_58_138" vbProcedure="false">"#"</definedName>
    <definedName function="false" hidden="true" name="FDC_58_139" vbProcedure="false">"#"</definedName>
    <definedName function="false" hidden="true" name="FDC_58_14" vbProcedure="false">"#"</definedName>
    <definedName function="false" hidden="true" name="FDC_58_140" vbProcedure="false">"#"</definedName>
    <definedName function="false" hidden="true" name="FDC_58_141" vbProcedure="false">"#"</definedName>
    <definedName function="false" hidden="true" name="FDC_58_142" vbProcedure="false">"#"</definedName>
    <definedName function="false" hidden="true" name="FDC_58_143" vbProcedure="false">"#"</definedName>
    <definedName function="false" hidden="true" name="FDC_58_144" vbProcedure="false">"#"</definedName>
    <definedName function="false" hidden="true" name="FDC_58_145" vbProcedure="false">"#"</definedName>
    <definedName function="false" hidden="true" name="FDC_58_146" vbProcedure="false">"#"</definedName>
    <definedName function="false" hidden="true" name="FDC_58_147" vbProcedure="false">"#"</definedName>
    <definedName function="false" hidden="true" name="FDC_58_148" vbProcedure="false">"#"</definedName>
    <definedName function="false" hidden="true" name="FDC_58_149" vbProcedure="false">"#"</definedName>
    <definedName function="false" hidden="true" name="FDC_58_15" vbProcedure="false">"#"</definedName>
    <definedName function="false" hidden="true" name="FDC_58_150" vbProcedure="false">"#"</definedName>
    <definedName function="false" hidden="true" name="FDC_58_151" vbProcedure="false">"#"</definedName>
    <definedName function="false" hidden="true" name="FDC_58_152" vbProcedure="false">"#"</definedName>
    <definedName function="false" hidden="true" name="FDC_58_153" vbProcedure="false">"#"</definedName>
    <definedName function="false" hidden="true" name="FDC_58_154" vbProcedure="false">"#"</definedName>
    <definedName function="false" hidden="true" name="FDC_58_155" vbProcedure="false">"#"</definedName>
    <definedName function="false" hidden="true" name="FDC_58_156" vbProcedure="false">"#"</definedName>
    <definedName function="false" hidden="true" name="FDC_58_157" vbProcedure="false">"#"</definedName>
    <definedName function="false" hidden="true" name="FDC_58_158" vbProcedure="false">"#"</definedName>
    <definedName function="false" hidden="true" name="FDC_58_159" vbProcedure="false">"#"</definedName>
    <definedName function="false" hidden="true" name="FDC_58_16" vbProcedure="false">"#"</definedName>
    <definedName function="false" hidden="true" name="FDC_58_160" vbProcedure="false">"#"</definedName>
    <definedName function="false" hidden="true" name="FDC_58_161" vbProcedure="false">"#"</definedName>
    <definedName function="false" hidden="true" name="FDC_58_162" vbProcedure="false">"#"</definedName>
    <definedName function="false" hidden="true" name="FDC_58_163" vbProcedure="false">"#"</definedName>
    <definedName function="false" hidden="true" name="FDC_58_164" vbProcedure="false">"#"</definedName>
    <definedName function="false" hidden="true" name="FDC_58_165" vbProcedure="false">"#"</definedName>
    <definedName function="false" hidden="true" name="FDC_58_166" vbProcedure="false">"#"</definedName>
    <definedName function="false" hidden="true" name="FDC_58_167" vbProcedure="false">"#"</definedName>
    <definedName function="false" hidden="true" name="FDC_58_168" vbProcedure="false">"#"</definedName>
    <definedName function="false" hidden="true" name="FDC_58_169" vbProcedure="false">"#"</definedName>
    <definedName function="false" hidden="true" name="FDC_58_17" vbProcedure="false">"#"</definedName>
    <definedName function="false" hidden="true" name="FDC_58_170" vbProcedure="false">"#"</definedName>
    <definedName function="false" hidden="true" name="FDC_58_171" vbProcedure="false">"#"</definedName>
    <definedName function="false" hidden="true" name="FDC_58_172" vbProcedure="false">"#"</definedName>
    <definedName function="false" hidden="true" name="FDC_58_173" vbProcedure="false">"#"</definedName>
    <definedName function="false" hidden="true" name="FDC_58_174" vbProcedure="false">"#"</definedName>
    <definedName function="false" hidden="true" name="FDC_58_175" vbProcedure="false">"#"</definedName>
    <definedName function="false" hidden="true" name="FDC_58_176" vbProcedure="false">"#"</definedName>
    <definedName function="false" hidden="true" name="FDC_58_177" vbProcedure="false">"#"</definedName>
    <definedName function="false" hidden="true" name="FDC_58_178" vbProcedure="false">"#"</definedName>
    <definedName function="false" hidden="true" name="FDC_58_179" vbProcedure="false">"#"</definedName>
    <definedName function="false" hidden="true" name="FDC_58_18" vbProcedure="false">"#"</definedName>
    <definedName function="false" hidden="true" name="FDC_58_180" vbProcedure="false">"#"</definedName>
    <definedName function="false" hidden="true" name="FDC_58_181" vbProcedure="false">"#"</definedName>
    <definedName function="false" hidden="true" name="FDC_58_182" vbProcedure="false">"#"</definedName>
    <definedName function="false" hidden="true" name="FDC_58_183" vbProcedure="false">"#"</definedName>
    <definedName function="false" hidden="true" name="FDC_58_184" vbProcedure="false">"#"</definedName>
    <definedName function="false" hidden="true" name="FDC_58_185" vbProcedure="false">"#"</definedName>
    <definedName function="false" hidden="true" name="FDC_58_186" vbProcedure="false">"#"</definedName>
    <definedName function="false" hidden="true" name="FDC_58_187" vbProcedure="false">"#"</definedName>
    <definedName function="false" hidden="true" name="FDC_58_188" vbProcedure="false">"#"</definedName>
    <definedName function="false" hidden="true" name="FDC_58_189" vbProcedure="false">"#"</definedName>
    <definedName function="false" hidden="true" name="FDC_58_19" vbProcedure="false">"#"</definedName>
    <definedName function="false" hidden="true" name="FDC_58_190" vbProcedure="false">"#"</definedName>
    <definedName function="false" hidden="true" name="FDC_58_191" vbProcedure="false">"#"</definedName>
    <definedName function="false" hidden="true" name="FDC_58_192" vbProcedure="false">"#"</definedName>
    <definedName function="false" hidden="true" name="FDC_58_193" vbProcedure="false">"#"</definedName>
    <definedName function="false" hidden="true" name="FDC_58_194" vbProcedure="false">"#"</definedName>
    <definedName function="false" hidden="true" name="FDC_58_195" vbProcedure="false">"#"</definedName>
    <definedName function="false" hidden="true" name="FDC_58_196" vbProcedure="false">"#"</definedName>
    <definedName function="false" hidden="true" name="FDC_58_197" vbProcedure="false">"#"</definedName>
    <definedName function="false" hidden="true" name="FDC_58_198" vbProcedure="false">"#"</definedName>
    <definedName function="false" hidden="true" name="FDC_58_199" vbProcedure="false">"#"</definedName>
    <definedName function="false" hidden="true" name="FDC_58_2" vbProcedure="false">"#"</definedName>
    <definedName function="false" hidden="true" name="FDC_58_20" vbProcedure="false">"#"</definedName>
    <definedName function="false" hidden="true" name="FDC_58_200" vbProcedure="false">"#"</definedName>
    <definedName function="false" hidden="true" name="FDC_58_201" vbProcedure="false">"#"</definedName>
    <definedName function="false" hidden="true" name="FDC_58_202" vbProcedure="false">"#"</definedName>
    <definedName function="false" hidden="true" name="FDC_58_203" vbProcedure="false">"#"</definedName>
    <definedName function="false" hidden="true" name="FDC_58_204" vbProcedure="false">"#"</definedName>
    <definedName function="false" hidden="true" name="FDC_58_205" vbProcedure="false">"#"</definedName>
    <definedName function="false" hidden="true" name="FDC_58_206" vbProcedure="false">"#"</definedName>
    <definedName function="false" hidden="true" name="FDC_58_207" vbProcedure="false">"#"</definedName>
    <definedName function="false" hidden="true" name="FDC_58_208" vbProcedure="false">"#"</definedName>
    <definedName function="false" hidden="true" name="FDC_58_209" vbProcedure="false">"#"</definedName>
    <definedName function="false" hidden="true" name="FDC_58_21" vbProcedure="false">"#"</definedName>
    <definedName function="false" hidden="true" name="FDC_58_210" vbProcedure="false">"#"</definedName>
    <definedName function="false" hidden="true" name="FDC_58_211" vbProcedure="false">"#"</definedName>
    <definedName function="false" hidden="true" name="FDC_58_212" vbProcedure="false">"#"</definedName>
    <definedName function="false" hidden="true" name="FDC_58_213" vbProcedure="false">"#"</definedName>
    <definedName function="false" hidden="true" name="FDC_58_214" vbProcedure="false">"#"</definedName>
    <definedName function="false" hidden="true" name="FDC_58_215" vbProcedure="false">"#"</definedName>
    <definedName function="false" hidden="true" name="FDC_58_216" vbProcedure="false">"#"</definedName>
    <definedName function="false" hidden="true" name="FDC_58_217" vbProcedure="false">"#"</definedName>
    <definedName function="false" hidden="true" name="FDC_58_218" vbProcedure="false">"#"</definedName>
    <definedName function="false" hidden="true" name="FDC_58_219" vbProcedure="false">"#"</definedName>
    <definedName function="false" hidden="true" name="FDC_58_22" vbProcedure="false">"#"</definedName>
    <definedName function="false" hidden="true" name="FDC_58_220" vbProcedure="false">"#"</definedName>
    <definedName function="false" hidden="true" name="FDC_58_221" vbProcedure="false">"#"</definedName>
    <definedName function="false" hidden="true" name="FDC_58_222" vbProcedure="false">"#"</definedName>
    <definedName function="false" hidden="true" name="FDC_58_223" vbProcedure="false">"#"</definedName>
    <definedName function="false" hidden="true" name="FDC_58_224" vbProcedure="false">"#"</definedName>
    <definedName function="false" hidden="true" name="FDC_58_225" vbProcedure="false">"#"</definedName>
    <definedName function="false" hidden="true" name="FDC_58_226" vbProcedure="false">"#"</definedName>
    <definedName function="false" hidden="true" name="FDC_58_227" vbProcedure="false">"#"</definedName>
    <definedName function="false" hidden="true" name="FDC_58_228" vbProcedure="false">"#"</definedName>
    <definedName function="false" hidden="true" name="FDC_58_229" vbProcedure="false">"#"</definedName>
    <definedName function="false" hidden="true" name="FDC_58_23" vbProcedure="false">"#"</definedName>
    <definedName function="false" hidden="true" name="FDC_58_230" vbProcedure="false">"#"</definedName>
    <definedName function="false" hidden="true" name="FDC_58_231" vbProcedure="false">"#"</definedName>
    <definedName function="false" hidden="true" name="FDC_58_232" vbProcedure="false">"#"</definedName>
    <definedName function="false" hidden="true" name="FDC_58_233" vbProcedure="false">"#"</definedName>
    <definedName function="false" hidden="true" name="FDC_58_234" vbProcedure="false">"#"</definedName>
    <definedName function="false" hidden="true" name="FDC_58_235" vbProcedure="false">"#"</definedName>
    <definedName function="false" hidden="true" name="FDC_58_236" vbProcedure="false">"#"</definedName>
    <definedName function="false" hidden="true" name="FDC_58_237" vbProcedure="false">"#"</definedName>
    <definedName function="false" hidden="true" name="FDC_58_238" vbProcedure="false">"#"</definedName>
    <definedName function="false" hidden="true" name="FDC_58_239" vbProcedure="false">"#"</definedName>
    <definedName function="false" hidden="true" name="FDC_58_24" vbProcedure="false">"#"</definedName>
    <definedName function="false" hidden="true" name="FDC_58_240" vbProcedure="false">"#"</definedName>
    <definedName function="false" hidden="true" name="FDC_58_241" vbProcedure="false">"#"</definedName>
    <definedName function="false" hidden="true" name="FDC_58_242" vbProcedure="false">"#"</definedName>
    <definedName function="false" hidden="true" name="FDC_58_243" vbProcedure="false">"#"</definedName>
    <definedName function="false" hidden="true" name="FDC_58_244" vbProcedure="false">"#"</definedName>
    <definedName function="false" hidden="true" name="FDC_58_245" vbProcedure="false">"#"</definedName>
    <definedName function="false" hidden="true" name="FDC_58_246" vbProcedure="false">"#"</definedName>
    <definedName function="false" hidden="true" name="FDC_58_247" vbProcedure="false">"#"</definedName>
    <definedName function="false" hidden="true" name="FDC_58_248" vbProcedure="false">"#"</definedName>
    <definedName function="false" hidden="true" name="FDC_58_249" vbProcedure="false">"#"</definedName>
    <definedName function="false" hidden="true" name="FDC_58_25" vbProcedure="false">"#"</definedName>
    <definedName function="false" hidden="true" name="FDC_58_250" vbProcedure="false">"#"</definedName>
    <definedName function="false" hidden="true" name="FDC_58_251" vbProcedure="false">"#"</definedName>
    <definedName function="false" hidden="true" name="FDC_58_252" vbProcedure="false">"#"</definedName>
    <definedName function="false" hidden="true" name="FDC_58_253" vbProcedure="false">"#"</definedName>
    <definedName function="false" hidden="true" name="FDC_58_254" vbProcedure="false">"#"</definedName>
    <definedName function="false" hidden="true" name="FDC_58_255" vbProcedure="false">"#"</definedName>
    <definedName function="false" hidden="true" name="FDC_58_256" vbProcedure="false">"#"</definedName>
    <definedName function="false" hidden="true" name="FDC_58_257" vbProcedure="false">"#"</definedName>
    <definedName function="false" hidden="true" name="FDC_58_258" vbProcedure="false">"#"</definedName>
    <definedName function="false" hidden="true" name="FDC_58_259" vbProcedure="false">"#"</definedName>
    <definedName function="false" hidden="true" name="FDC_58_26" vbProcedure="false">"#"</definedName>
    <definedName function="false" hidden="true" name="FDC_58_260" vbProcedure="false">"#"</definedName>
    <definedName function="false" hidden="true" name="FDC_58_261" vbProcedure="false">"#"</definedName>
    <definedName function="false" hidden="true" name="FDC_58_27" vbProcedure="false">"#"</definedName>
    <definedName function="false" hidden="true" name="FDC_58_28" vbProcedure="false">"#"</definedName>
    <definedName function="false" hidden="true" name="FDC_58_29" vbProcedure="false">"#"</definedName>
    <definedName function="false" hidden="true" name="FDC_58_3" vbProcedure="false">"#"</definedName>
    <definedName function="false" hidden="true" name="FDC_58_30" vbProcedure="false">"#"</definedName>
    <definedName function="false" hidden="true" name="FDC_58_31" vbProcedure="false">"#"</definedName>
    <definedName function="false" hidden="true" name="FDC_58_32" vbProcedure="false">"#"</definedName>
    <definedName function="false" hidden="true" name="FDC_58_33" vbProcedure="false">"#"</definedName>
    <definedName function="false" hidden="true" name="FDC_58_34" vbProcedure="false">"#"</definedName>
    <definedName function="false" hidden="true" name="FDC_58_35" vbProcedure="false">"#"</definedName>
    <definedName function="false" hidden="true" name="FDC_58_36" vbProcedure="false">"#"</definedName>
    <definedName function="false" hidden="true" name="FDC_58_37" vbProcedure="false">"#"</definedName>
    <definedName function="false" hidden="true" name="FDC_58_38" vbProcedure="false">"#"</definedName>
    <definedName function="false" hidden="true" name="FDC_58_39" vbProcedure="false">"#"</definedName>
    <definedName function="false" hidden="true" name="FDC_58_4" vbProcedure="false">"#"</definedName>
    <definedName function="false" hidden="true" name="FDC_58_40" vbProcedure="false">"#"</definedName>
    <definedName function="false" hidden="true" name="FDC_58_41" vbProcedure="false">"#"</definedName>
    <definedName function="false" hidden="true" name="FDC_58_42" vbProcedure="false">"#"</definedName>
    <definedName function="false" hidden="true" name="FDC_58_43" vbProcedure="false">"#"</definedName>
    <definedName function="false" hidden="true" name="FDC_58_44" vbProcedure="false">"#"</definedName>
    <definedName function="false" hidden="true" name="FDC_58_45" vbProcedure="false">"#"</definedName>
    <definedName function="false" hidden="true" name="FDC_58_46" vbProcedure="false">"#"</definedName>
    <definedName function="false" hidden="true" name="FDC_58_47" vbProcedure="false">"#"</definedName>
    <definedName function="false" hidden="true" name="FDC_58_48" vbProcedure="false">"#"</definedName>
    <definedName function="false" hidden="true" name="FDC_58_49" vbProcedure="false">"#"</definedName>
    <definedName function="false" hidden="true" name="FDC_58_5" vbProcedure="false">"#"</definedName>
    <definedName function="false" hidden="true" name="FDC_58_50" vbProcedure="false">"#"</definedName>
    <definedName function="false" hidden="true" name="FDC_58_51" vbProcedure="false">"#"</definedName>
    <definedName function="false" hidden="true" name="FDC_58_52" vbProcedure="false">"#"</definedName>
    <definedName function="false" hidden="true" name="FDC_58_53" vbProcedure="false">"#"</definedName>
    <definedName function="false" hidden="true" name="FDC_58_54" vbProcedure="false">"#"</definedName>
    <definedName function="false" hidden="true" name="FDC_58_55" vbProcedure="false">"#"</definedName>
    <definedName function="false" hidden="true" name="FDC_58_56" vbProcedure="false">"#"</definedName>
    <definedName function="false" hidden="true" name="FDC_58_57" vbProcedure="false">"#"</definedName>
    <definedName function="false" hidden="true" name="FDC_58_58" vbProcedure="false">"#"</definedName>
    <definedName function="false" hidden="true" name="FDC_58_59" vbProcedure="false">"#"</definedName>
    <definedName function="false" hidden="true" name="FDC_58_6" vbProcedure="false">"#"</definedName>
    <definedName function="false" hidden="true" name="FDC_58_60" vbProcedure="false">"#"</definedName>
    <definedName function="false" hidden="true" name="FDC_58_61" vbProcedure="false">"#"</definedName>
    <definedName function="false" hidden="true" name="FDC_58_62" vbProcedure="false">"#"</definedName>
    <definedName function="false" hidden="true" name="FDC_58_63" vbProcedure="false">"#"</definedName>
    <definedName function="false" hidden="true" name="FDC_58_64" vbProcedure="false">"#"</definedName>
    <definedName function="false" hidden="true" name="FDC_58_65" vbProcedure="false">"#"</definedName>
    <definedName function="false" hidden="true" name="FDC_58_66" vbProcedure="false">"#"</definedName>
    <definedName function="false" hidden="true" name="FDC_58_67" vbProcedure="false">"#"</definedName>
    <definedName function="false" hidden="true" name="FDC_58_68" vbProcedure="false">"#"</definedName>
    <definedName function="false" hidden="true" name="FDC_58_69" vbProcedure="false">"#"</definedName>
    <definedName function="false" hidden="true" name="FDC_58_7" vbProcedure="false">"#"</definedName>
    <definedName function="false" hidden="true" name="FDC_58_70" vbProcedure="false">"#"</definedName>
    <definedName function="false" hidden="true" name="FDC_58_71" vbProcedure="false">"#"</definedName>
    <definedName function="false" hidden="true" name="FDC_58_72" vbProcedure="false">"#"</definedName>
    <definedName function="false" hidden="true" name="FDC_58_73" vbProcedure="false">"#"</definedName>
    <definedName function="false" hidden="true" name="FDC_58_74" vbProcedure="false">"#"</definedName>
    <definedName function="false" hidden="true" name="FDC_58_75" vbProcedure="false">"#"</definedName>
    <definedName function="false" hidden="true" name="FDC_58_76" vbProcedure="false">"#"</definedName>
    <definedName function="false" hidden="true" name="FDC_58_77" vbProcedure="false">"#"</definedName>
    <definedName function="false" hidden="true" name="FDC_58_78" vbProcedure="false">"#"</definedName>
    <definedName function="false" hidden="true" name="FDC_58_79" vbProcedure="false">"#"</definedName>
    <definedName function="false" hidden="true" name="FDC_58_8" vbProcedure="false">"#"</definedName>
    <definedName function="false" hidden="true" name="FDC_58_80" vbProcedure="false">"#"</definedName>
    <definedName function="false" hidden="true" name="FDC_58_81" vbProcedure="false">"#"</definedName>
    <definedName function="false" hidden="true" name="FDC_58_82" vbProcedure="false">"#"</definedName>
    <definedName function="false" hidden="true" name="FDC_58_83" vbProcedure="false">"#"</definedName>
    <definedName function="false" hidden="true" name="FDC_58_84" vbProcedure="false">"#"</definedName>
    <definedName function="false" hidden="true" name="FDC_58_85" vbProcedure="false">"#"</definedName>
    <definedName function="false" hidden="true" name="FDC_58_86" vbProcedure="false">"#"</definedName>
    <definedName function="false" hidden="true" name="FDC_58_87" vbProcedure="false">"#"</definedName>
    <definedName function="false" hidden="true" name="FDC_58_88" vbProcedure="false">"#"</definedName>
    <definedName function="false" hidden="true" name="FDC_58_89" vbProcedure="false">"#"</definedName>
    <definedName function="false" hidden="true" name="FDC_58_9" vbProcedure="false">"#"</definedName>
    <definedName function="false" hidden="true" name="FDC_58_90" vbProcedure="false">"#"</definedName>
    <definedName function="false" hidden="true" name="FDC_58_91" vbProcedure="false">"#"</definedName>
    <definedName function="false" hidden="true" name="FDC_58_92" vbProcedure="false">"#"</definedName>
    <definedName function="false" hidden="true" name="FDC_58_93" vbProcedure="false">"#"</definedName>
    <definedName function="false" hidden="true" name="FDC_58_94" vbProcedure="false">"#"</definedName>
    <definedName function="false" hidden="true" name="FDC_58_95" vbProcedure="false">"#"</definedName>
    <definedName function="false" hidden="true" name="FDC_58_96" vbProcedure="false">"#"</definedName>
    <definedName function="false" hidden="true" name="FDC_58_97" vbProcedure="false">"#"</definedName>
    <definedName function="false" hidden="true" name="FDC_58_98" vbProcedure="false">"#"</definedName>
    <definedName function="false" hidden="true" name="FDC_58_99" vbProcedure="false">"#"</definedName>
    <definedName function="false" hidden="true" name="FDC_59_0" vbProcedure="false">"#"</definedName>
    <definedName function="false" hidden="true" name="FDC_59_1" vbProcedure="false">"#"</definedName>
    <definedName function="false" hidden="true" name="FDC_59_10" vbProcedure="false">"#"</definedName>
    <definedName function="false" hidden="true" name="FDC_59_100" vbProcedure="false">"#"</definedName>
    <definedName function="false" hidden="true" name="FDC_59_101" vbProcedure="false">"#"</definedName>
    <definedName function="false" hidden="true" name="FDC_59_102" vbProcedure="false">"#"</definedName>
    <definedName function="false" hidden="true" name="FDC_59_103" vbProcedure="false">"#"</definedName>
    <definedName function="false" hidden="true" name="FDC_59_104" vbProcedure="false">"#"</definedName>
    <definedName function="false" hidden="true" name="FDC_59_105" vbProcedure="false">"#"</definedName>
    <definedName function="false" hidden="true" name="FDC_59_106" vbProcedure="false">"#"</definedName>
    <definedName function="false" hidden="true" name="FDC_59_107" vbProcedure="false">"#"</definedName>
    <definedName function="false" hidden="true" name="FDC_59_108" vbProcedure="false">"#"</definedName>
    <definedName function="false" hidden="true" name="FDC_59_109" vbProcedure="false">"#"</definedName>
    <definedName function="false" hidden="true" name="FDC_59_11" vbProcedure="false">"#"</definedName>
    <definedName function="false" hidden="true" name="FDC_59_110" vbProcedure="false">"#"</definedName>
    <definedName function="false" hidden="true" name="FDC_59_111" vbProcedure="false">"#"</definedName>
    <definedName function="false" hidden="true" name="FDC_59_112" vbProcedure="false">"#"</definedName>
    <definedName function="false" hidden="true" name="FDC_59_113" vbProcedure="false">"#"</definedName>
    <definedName function="false" hidden="true" name="FDC_59_114" vbProcedure="false">"#"</definedName>
    <definedName function="false" hidden="true" name="FDC_59_115" vbProcedure="false">"#"</definedName>
    <definedName function="false" hidden="true" name="FDC_59_116" vbProcedure="false">"#"</definedName>
    <definedName function="false" hidden="true" name="FDC_59_117" vbProcedure="false">"#"</definedName>
    <definedName function="false" hidden="true" name="FDC_59_118" vbProcedure="false">"#"</definedName>
    <definedName function="false" hidden="true" name="FDC_59_119" vbProcedure="false">"#"</definedName>
    <definedName function="false" hidden="true" name="FDC_59_12" vbProcedure="false">"#"</definedName>
    <definedName function="false" hidden="true" name="FDC_59_120" vbProcedure="false">"#"</definedName>
    <definedName function="false" hidden="true" name="FDC_59_121" vbProcedure="false">"#"</definedName>
    <definedName function="false" hidden="true" name="FDC_59_122" vbProcedure="false">"#"</definedName>
    <definedName function="false" hidden="true" name="FDC_59_123" vbProcedure="false">"#"</definedName>
    <definedName function="false" hidden="true" name="FDC_59_124" vbProcedure="false">"#"</definedName>
    <definedName function="false" hidden="true" name="FDC_59_125" vbProcedure="false">"#"</definedName>
    <definedName function="false" hidden="true" name="FDC_59_126" vbProcedure="false">"#"</definedName>
    <definedName function="false" hidden="true" name="FDC_59_127" vbProcedure="false">"#"</definedName>
    <definedName function="false" hidden="true" name="FDC_59_128" vbProcedure="false">"#"</definedName>
    <definedName function="false" hidden="true" name="FDC_59_129" vbProcedure="false">"#"</definedName>
    <definedName function="false" hidden="true" name="FDC_59_13" vbProcedure="false">"#"</definedName>
    <definedName function="false" hidden="true" name="FDC_59_130" vbProcedure="false">"#"</definedName>
    <definedName function="false" hidden="true" name="FDC_59_131" vbProcedure="false">"#"</definedName>
    <definedName function="false" hidden="true" name="FDC_59_132" vbProcedure="false">"#"</definedName>
    <definedName function="false" hidden="true" name="FDC_59_133" vbProcedure="false">"#"</definedName>
    <definedName function="false" hidden="true" name="FDC_59_134" vbProcedure="false">"#"</definedName>
    <definedName function="false" hidden="true" name="FDC_59_135" vbProcedure="false">"#"</definedName>
    <definedName function="false" hidden="true" name="FDC_59_136" vbProcedure="false">"#"</definedName>
    <definedName function="false" hidden="true" name="FDC_59_137" vbProcedure="false">"#"</definedName>
    <definedName function="false" hidden="true" name="FDC_59_138" vbProcedure="false">"#"</definedName>
    <definedName function="false" hidden="true" name="FDC_59_139" vbProcedure="false">"#"</definedName>
    <definedName function="false" hidden="true" name="FDC_59_14" vbProcedure="false">"#"</definedName>
    <definedName function="false" hidden="true" name="FDC_59_140" vbProcedure="false">"#"</definedName>
    <definedName function="false" hidden="true" name="FDC_59_141" vbProcedure="false">"#"</definedName>
    <definedName function="false" hidden="true" name="FDC_59_142" vbProcedure="false">"#"</definedName>
    <definedName function="false" hidden="true" name="FDC_59_143" vbProcedure="false">"#"</definedName>
    <definedName function="false" hidden="true" name="FDC_59_144" vbProcedure="false">"#"</definedName>
    <definedName function="false" hidden="true" name="FDC_59_145" vbProcedure="false">"#"</definedName>
    <definedName function="false" hidden="true" name="FDC_59_146" vbProcedure="false">"#"</definedName>
    <definedName function="false" hidden="true" name="FDC_59_147" vbProcedure="false">"#"</definedName>
    <definedName function="false" hidden="true" name="FDC_59_148" vbProcedure="false">"#"</definedName>
    <definedName function="false" hidden="true" name="FDC_59_149" vbProcedure="false">"#"</definedName>
    <definedName function="false" hidden="true" name="FDC_59_15" vbProcedure="false">"#"</definedName>
    <definedName function="false" hidden="true" name="FDC_59_150" vbProcedure="false">"#"</definedName>
    <definedName function="false" hidden="true" name="FDC_59_151" vbProcedure="false">"#"</definedName>
    <definedName function="false" hidden="true" name="FDC_59_152" vbProcedure="false">"#"</definedName>
    <definedName function="false" hidden="true" name="FDC_59_153" vbProcedure="false">"#"</definedName>
    <definedName function="false" hidden="true" name="FDC_59_154" vbProcedure="false">"#"</definedName>
    <definedName function="false" hidden="true" name="FDC_59_155" vbProcedure="false">"#"</definedName>
    <definedName function="false" hidden="true" name="FDC_59_156" vbProcedure="false">"#"</definedName>
    <definedName function="false" hidden="true" name="FDC_59_157" vbProcedure="false">"#"</definedName>
    <definedName function="false" hidden="true" name="FDC_59_158" vbProcedure="false">"#"</definedName>
    <definedName function="false" hidden="true" name="FDC_59_159" vbProcedure="false">"#"</definedName>
    <definedName function="false" hidden="true" name="FDC_59_16" vbProcedure="false">"#"</definedName>
    <definedName function="false" hidden="true" name="FDC_59_160" vbProcedure="false">"#"</definedName>
    <definedName function="false" hidden="true" name="FDC_59_161" vbProcedure="false">"#"</definedName>
    <definedName function="false" hidden="true" name="FDC_59_162" vbProcedure="false">"#"</definedName>
    <definedName function="false" hidden="true" name="FDC_59_163" vbProcedure="false">"#"</definedName>
    <definedName function="false" hidden="true" name="FDC_59_164" vbProcedure="false">"#"</definedName>
    <definedName function="false" hidden="true" name="FDC_59_165" vbProcedure="false">"#"</definedName>
    <definedName function="false" hidden="true" name="FDC_59_166" vbProcedure="false">"#"</definedName>
    <definedName function="false" hidden="true" name="FDC_59_167" vbProcedure="false">"#"</definedName>
    <definedName function="false" hidden="true" name="FDC_59_168" vbProcedure="false">"#"</definedName>
    <definedName function="false" hidden="true" name="FDC_59_169" vbProcedure="false">"#"</definedName>
    <definedName function="false" hidden="true" name="FDC_59_17" vbProcedure="false">"#"</definedName>
    <definedName function="false" hidden="true" name="FDC_59_170" vbProcedure="false">"#"</definedName>
    <definedName function="false" hidden="true" name="FDC_59_171" vbProcedure="false">"#"</definedName>
    <definedName function="false" hidden="true" name="FDC_59_172" vbProcedure="false">"#"</definedName>
    <definedName function="false" hidden="true" name="FDC_59_173" vbProcedure="false">"#"</definedName>
    <definedName function="false" hidden="true" name="FDC_59_174" vbProcedure="false">"#"</definedName>
    <definedName function="false" hidden="true" name="FDC_59_175" vbProcedure="false">"#"</definedName>
    <definedName function="false" hidden="true" name="FDC_59_176" vbProcedure="false">"#"</definedName>
    <definedName function="false" hidden="true" name="FDC_59_177" vbProcedure="false">"#"</definedName>
    <definedName function="false" hidden="true" name="FDC_59_178" vbProcedure="false">"#"</definedName>
    <definedName function="false" hidden="true" name="FDC_59_179" vbProcedure="false">"#"</definedName>
    <definedName function="false" hidden="true" name="FDC_59_18" vbProcedure="false">"#"</definedName>
    <definedName function="false" hidden="true" name="FDC_59_180" vbProcedure="false">"#"</definedName>
    <definedName function="false" hidden="true" name="FDC_59_181" vbProcedure="false">"#"</definedName>
    <definedName function="false" hidden="true" name="FDC_59_182" vbProcedure="false">"#"</definedName>
    <definedName function="false" hidden="true" name="FDC_59_183" vbProcedure="false">"#"</definedName>
    <definedName function="false" hidden="true" name="FDC_59_184" vbProcedure="false">"#"</definedName>
    <definedName function="false" hidden="true" name="FDC_59_185" vbProcedure="false">"#"</definedName>
    <definedName function="false" hidden="true" name="FDC_59_186" vbProcedure="false">"#"</definedName>
    <definedName function="false" hidden="true" name="FDC_59_187" vbProcedure="false">"#"</definedName>
    <definedName function="false" hidden="true" name="FDC_59_188" vbProcedure="false">"#"</definedName>
    <definedName function="false" hidden="true" name="FDC_59_189" vbProcedure="false">"#"</definedName>
    <definedName function="false" hidden="true" name="FDC_59_19" vbProcedure="false">"#"</definedName>
    <definedName function="false" hidden="true" name="FDC_59_190" vbProcedure="false">"#"</definedName>
    <definedName function="false" hidden="true" name="FDC_59_191" vbProcedure="false">"#"</definedName>
    <definedName function="false" hidden="true" name="FDC_59_192" vbProcedure="false">"#"</definedName>
    <definedName function="false" hidden="true" name="FDC_59_193" vbProcedure="false">"#"</definedName>
    <definedName function="false" hidden="true" name="FDC_59_194" vbProcedure="false">"#"</definedName>
    <definedName function="false" hidden="true" name="FDC_59_195" vbProcedure="false">"#"</definedName>
    <definedName function="false" hidden="true" name="FDC_59_196" vbProcedure="false">"#"</definedName>
    <definedName function="false" hidden="true" name="FDC_59_197" vbProcedure="false">"#"</definedName>
    <definedName function="false" hidden="true" name="FDC_59_198" vbProcedure="false">"#"</definedName>
    <definedName function="false" hidden="true" name="FDC_59_199" vbProcedure="false">"#"</definedName>
    <definedName function="false" hidden="true" name="FDC_59_2" vbProcedure="false">"#"</definedName>
    <definedName function="false" hidden="true" name="FDC_59_20" vbProcedure="false">"#"</definedName>
    <definedName function="false" hidden="true" name="FDC_59_200" vbProcedure="false">"#"</definedName>
    <definedName function="false" hidden="true" name="FDC_59_201" vbProcedure="false">"#"</definedName>
    <definedName function="false" hidden="true" name="FDC_59_202" vbProcedure="false">"#"</definedName>
    <definedName function="false" hidden="true" name="FDC_59_203" vbProcedure="false">"#"</definedName>
    <definedName function="false" hidden="true" name="FDC_59_204" vbProcedure="false">"#"</definedName>
    <definedName function="false" hidden="true" name="FDC_59_205" vbProcedure="false">"#"</definedName>
    <definedName function="false" hidden="true" name="FDC_59_206" vbProcedure="false">"#"</definedName>
    <definedName function="false" hidden="true" name="FDC_59_207" vbProcedure="false">"#"</definedName>
    <definedName function="false" hidden="true" name="FDC_59_208" vbProcedure="false">"#"</definedName>
    <definedName function="false" hidden="true" name="FDC_59_209" vbProcedure="false">"#"</definedName>
    <definedName function="false" hidden="true" name="FDC_59_21" vbProcedure="false">"#"</definedName>
    <definedName function="false" hidden="true" name="FDC_59_210" vbProcedure="false">"#"</definedName>
    <definedName function="false" hidden="true" name="FDC_59_211" vbProcedure="false">"#"</definedName>
    <definedName function="false" hidden="true" name="FDC_59_212" vbProcedure="false">"#"</definedName>
    <definedName function="false" hidden="true" name="FDC_59_213" vbProcedure="false">"#"</definedName>
    <definedName function="false" hidden="true" name="FDC_59_214" vbProcedure="false">"#"</definedName>
    <definedName function="false" hidden="true" name="FDC_59_215" vbProcedure="false">"#"</definedName>
    <definedName function="false" hidden="true" name="FDC_59_216" vbProcedure="false">"#"</definedName>
    <definedName function="false" hidden="true" name="FDC_59_217" vbProcedure="false">"#"</definedName>
    <definedName function="false" hidden="true" name="FDC_59_218" vbProcedure="false">"#"</definedName>
    <definedName function="false" hidden="true" name="FDC_59_219" vbProcedure="false">"#"</definedName>
    <definedName function="false" hidden="true" name="FDC_59_22" vbProcedure="false">"#"</definedName>
    <definedName function="false" hidden="true" name="FDC_59_220" vbProcedure="false">"#"</definedName>
    <definedName function="false" hidden="true" name="FDC_59_221" vbProcedure="false">"#"</definedName>
    <definedName function="false" hidden="true" name="FDC_59_222" vbProcedure="false">"#"</definedName>
    <definedName function="false" hidden="true" name="FDC_59_223" vbProcedure="false">"#"</definedName>
    <definedName function="false" hidden="true" name="FDC_59_224" vbProcedure="false">"#"</definedName>
    <definedName function="false" hidden="true" name="FDC_59_225" vbProcedure="false">"#"</definedName>
    <definedName function="false" hidden="true" name="FDC_59_226" vbProcedure="false">"#"</definedName>
    <definedName function="false" hidden="true" name="FDC_59_227" vbProcedure="false">"#"</definedName>
    <definedName function="false" hidden="true" name="FDC_59_228" vbProcedure="false">"#"</definedName>
    <definedName function="false" hidden="true" name="FDC_59_229" vbProcedure="false">"#"</definedName>
    <definedName function="false" hidden="true" name="FDC_59_23" vbProcedure="false">"#"</definedName>
    <definedName function="false" hidden="true" name="FDC_59_230" vbProcedure="false">"#"</definedName>
    <definedName function="false" hidden="true" name="FDC_59_231" vbProcedure="false">"#"</definedName>
    <definedName function="false" hidden="true" name="FDC_59_232" vbProcedure="false">"#"</definedName>
    <definedName function="false" hidden="true" name="FDC_59_233" vbProcedure="false">"#"</definedName>
    <definedName function="false" hidden="true" name="FDC_59_234" vbProcedure="false">"#"</definedName>
    <definedName function="false" hidden="true" name="FDC_59_235" vbProcedure="false">"#"</definedName>
    <definedName function="false" hidden="true" name="FDC_59_236" vbProcedure="false">"#"</definedName>
    <definedName function="false" hidden="true" name="FDC_59_237" vbProcedure="false">"#"</definedName>
    <definedName function="false" hidden="true" name="FDC_59_238" vbProcedure="false">"#"</definedName>
    <definedName function="false" hidden="true" name="FDC_59_239" vbProcedure="false">"#"</definedName>
    <definedName function="false" hidden="true" name="FDC_59_24" vbProcedure="false">"#"</definedName>
    <definedName function="false" hidden="true" name="FDC_59_240" vbProcedure="false">"#"</definedName>
    <definedName function="false" hidden="true" name="FDC_59_241" vbProcedure="false">"#"</definedName>
    <definedName function="false" hidden="true" name="FDC_59_242" vbProcedure="false">"#"</definedName>
    <definedName function="false" hidden="true" name="FDC_59_243" vbProcedure="false">"#"</definedName>
    <definedName function="false" hidden="true" name="FDC_59_244" vbProcedure="false">"#"</definedName>
    <definedName function="false" hidden="true" name="FDC_59_245" vbProcedure="false">"#"</definedName>
    <definedName function="false" hidden="true" name="FDC_59_246" vbProcedure="false">"#"</definedName>
    <definedName function="false" hidden="true" name="FDC_59_247" vbProcedure="false">"#"</definedName>
    <definedName function="false" hidden="true" name="FDC_59_248" vbProcedure="false">"#"</definedName>
    <definedName function="false" hidden="true" name="FDC_59_249" vbProcedure="false">"#"</definedName>
    <definedName function="false" hidden="true" name="FDC_59_25" vbProcedure="false">"#"</definedName>
    <definedName function="false" hidden="true" name="FDC_59_250" vbProcedure="false">"#"</definedName>
    <definedName function="false" hidden="true" name="FDC_59_251" vbProcedure="false">"#"</definedName>
    <definedName function="false" hidden="true" name="FDC_59_252" vbProcedure="false">"#"</definedName>
    <definedName function="false" hidden="true" name="FDC_59_253" vbProcedure="false">"#"</definedName>
    <definedName function="false" hidden="true" name="FDC_59_254" vbProcedure="false">"#"</definedName>
    <definedName function="false" hidden="true" name="FDC_59_255" vbProcedure="false">"#"</definedName>
    <definedName function="false" hidden="true" name="FDC_59_256" vbProcedure="false">"#"</definedName>
    <definedName function="false" hidden="true" name="FDC_59_257" vbProcedure="false">"#"</definedName>
    <definedName function="false" hidden="true" name="FDC_59_258" vbProcedure="false">"#"</definedName>
    <definedName function="false" hidden="true" name="FDC_59_259" vbProcedure="false">"#"</definedName>
    <definedName function="false" hidden="true" name="FDC_59_26" vbProcedure="false">"#"</definedName>
    <definedName function="false" hidden="true" name="FDC_59_260" vbProcedure="false">"#"</definedName>
    <definedName function="false" hidden="true" name="FDC_59_261" vbProcedure="false">"#"</definedName>
    <definedName function="false" hidden="true" name="FDC_59_27" vbProcedure="false">"#"</definedName>
    <definedName function="false" hidden="true" name="FDC_59_28" vbProcedure="false">"#"</definedName>
    <definedName function="false" hidden="true" name="FDC_59_29" vbProcedure="false">"#"</definedName>
    <definedName function="false" hidden="true" name="FDC_59_3" vbProcedure="false">"#"</definedName>
    <definedName function="false" hidden="true" name="FDC_59_30" vbProcedure="false">"#"</definedName>
    <definedName function="false" hidden="true" name="FDC_59_31" vbProcedure="false">"#"</definedName>
    <definedName function="false" hidden="true" name="FDC_59_32" vbProcedure="false">"#"</definedName>
    <definedName function="false" hidden="true" name="FDC_59_33" vbProcedure="false">"#"</definedName>
    <definedName function="false" hidden="true" name="FDC_59_34" vbProcedure="false">"#"</definedName>
    <definedName function="false" hidden="true" name="FDC_59_35" vbProcedure="false">"#"</definedName>
    <definedName function="false" hidden="true" name="FDC_59_36" vbProcedure="false">"#"</definedName>
    <definedName function="false" hidden="true" name="FDC_59_37" vbProcedure="false">"#"</definedName>
    <definedName function="false" hidden="true" name="FDC_59_38" vbProcedure="false">"#"</definedName>
    <definedName function="false" hidden="true" name="FDC_59_39" vbProcedure="false">"#"</definedName>
    <definedName function="false" hidden="true" name="FDC_59_4" vbProcedure="false">"#"</definedName>
    <definedName function="false" hidden="true" name="FDC_59_40" vbProcedure="false">"#"</definedName>
    <definedName function="false" hidden="true" name="FDC_59_41" vbProcedure="false">"#"</definedName>
    <definedName function="false" hidden="true" name="FDC_59_42" vbProcedure="false">"#"</definedName>
    <definedName function="false" hidden="true" name="FDC_59_43" vbProcedure="false">"#"</definedName>
    <definedName function="false" hidden="true" name="FDC_59_44" vbProcedure="false">"#"</definedName>
    <definedName function="false" hidden="true" name="FDC_59_45" vbProcedure="false">"#"</definedName>
    <definedName function="false" hidden="true" name="FDC_59_46" vbProcedure="false">"#"</definedName>
    <definedName function="false" hidden="true" name="FDC_59_47" vbProcedure="false">"#"</definedName>
    <definedName function="false" hidden="true" name="FDC_59_48" vbProcedure="false">"#"</definedName>
    <definedName function="false" hidden="true" name="FDC_59_49" vbProcedure="false">"#"</definedName>
    <definedName function="false" hidden="true" name="FDC_59_5" vbProcedure="false">"#"</definedName>
    <definedName function="false" hidden="true" name="FDC_59_50" vbProcedure="false">"#"</definedName>
    <definedName function="false" hidden="true" name="FDC_59_51" vbProcedure="false">"#"</definedName>
    <definedName function="false" hidden="true" name="FDC_59_52" vbProcedure="false">"#"</definedName>
    <definedName function="false" hidden="true" name="FDC_59_53" vbProcedure="false">"#"</definedName>
    <definedName function="false" hidden="true" name="FDC_59_54" vbProcedure="false">"#"</definedName>
    <definedName function="false" hidden="true" name="FDC_59_55" vbProcedure="false">"#"</definedName>
    <definedName function="false" hidden="true" name="FDC_59_56" vbProcedure="false">"#"</definedName>
    <definedName function="false" hidden="true" name="FDC_59_57" vbProcedure="false">"#"</definedName>
    <definedName function="false" hidden="true" name="FDC_59_58" vbProcedure="false">"#"</definedName>
    <definedName function="false" hidden="true" name="FDC_59_59" vbProcedure="false">"#"</definedName>
    <definedName function="false" hidden="true" name="FDC_59_6" vbProcedure="false">"#"</definedName>
    <definedName function="false" hidden="true" name="FDC_59_60" vbProcedure="false">"#"</definedName>
    <definedName function="false" hidden="true" name="FDC_59_61" vbProcedure="false">"#"</definedName>
    <definedName function="false" hidden="true" name="FDC_59_62" vbProcedure="false">"#"</definedName>
    <definedName function="false" hidden="true" name="FDC_59_63" vbProcedure="false">"#"</definedName>
    <definedName function="false" hidden="true" name="FDC_59_64" vbProcedure="false">"#"</definedName>
    <definedName function="false" hidden="true" name="FDC_59_65" vbProcedure="false">"#"</definedName>
    <definedName function="false" hidden="true" name="FDC_59_66" vbProcedure="false">"#"</definedName>
    <definedName function="false" hidden="true" name="FDC_59_67" vbProcedure="false">"#"</definedName>
    <definedName function="false" hidden="true" name="FDC_59_68" vbProcedure="false">"#"</definedName>
    <definedName function="false" hidden="true" name="FDC_59_69" vbProcedure="false">"#"</definedName>
    <definedName function="false" hidden="true" name="FDC_59_7" vbProcedure="false">"#"</definedName>
    <definedName function="false" hidden="true" name="FDC_59_70" vbProcedure="false">"#"</definedName>
    <definedName function="false" hidden="true" name="FDC_59_71" vbProcedure="false">"#"</definedName>
    <definedName function="false" hidden="true" name="FDC_59_72" vbProcedure="false">"#"</definedName>
    <definedName function="false" hidden="true" name="FDC_59_73" vbProcedure="false">"#"</definedName>
    <definedName function="false" hidden="true" name="FDC_59_74" vbProcedure="false">"#"</definedName>
    <definedName function="false" hidden="true" name="FDC_59_75" vbProcedure="false">"#"</definedName>
    <definedName function="false" hidden="true" name="FDC_59_76" vbProcedure="false">"#"</definedName>
    <definedName function="false" hidden="true" name="FDC_59_77" vbProcedure="false">"#"</definedName>
    <definedName function="false" hidden="true" name="FDC_59_78" vbProcedure="false">"#"</definedName>
    <definedName function="false" hidden="true" name="FDC_59_79" vbProcedure="false">"#"</definedName>
    <definedName function="false" hidden="true" name="FDC_59_8" vbProcedure="false">"#"</definedName>
    <definedName function="false" hidden="true" name="FDC_59_80" vbProcedure="false">"#"</definedName>
    <definedName function="false" hidden="true" name="FDC_59_81" vbProcedure="false">"#"</definedName>
    <definedName function="false" hidden="true" name="FDC_59_82" vbProcedure="false">"#"</definedName>
    <definedName function="false" hidden="true" name="FDC_59_83" vbProcedure="false">"#"</definedName>
    <definedName function="false" hidden="true" name="FDC_59_84" vbProcedure="false">"#"</definedName>
    <definedName function="false" hidden="true" name="FDC_59_85" vbProcedure="false">"#"</definedName>
    <definedName function="false" hidden="true" name="FDC_59_86" vbProcedure="false">"#"</definedName>
    <definedName function="false" hidden="true" name="FDC_59_87" vbProcedure="false">"#"</definedName>
    <definedName function="false" hidden="true" name="FDC_59_88" vbProcedure="false">"#"</definedName>
    <definedName function="false" hidden="true" name="FDC_59_89" vbProcedure="false">"#"</definedName>
    <definedName function="false" hidden="true" name="FDC_59_9" vbProcedure="false">"#"</definedName>
    <definedName function="false" hidden="true" name="FDC_59_90" vbProcedure="false">"#"</definedName>
    <definedName function="false" hidden="true" name="FDC_59_91" vbProcedure="false">"#"</definedName>
    <definedName function="false" hidden="true" name="FDC_59_92" vbProcedure="false">"#"</definedName>
    <definedName function="false" hidden="true" name="FDC_59_93" vbProcedure="false">"#"</definedName>
    <definedName function="false" hidden="true" name="FDC_59_94" vbProcedure="false">"#"</definedName>
    <definedName function="false" hidden="true" name="FDC_59_95" vbProcedure="false">"#"</definedName>
    <definedName function="false" hidden="true" name="FDC_59_96" vbProcedure="false">"#"</definedName>
    <definedName function="false" hidden="true" name="FDC_59_97" vbProcedure="false">"#"</definedName>
    <definedName function="false" hidden="true" name="FDC_59_98" vbProcedure="false">"#"</definedName>
    <definedName function="false" hidden="true" name="FDC_59_99" vbProcedure="false">"#"</definedName>
    <definedName function="false" hidden="true" name="FDC_5_0" vbProcedure="false">"#"</definedName>
    <definedName function="false" hidden="true" name="FDC_5_1" vbProcedure="false">"#"</definedName>
    <definedName function="false" hidden="true" name="FDC_5_2" vbProcedure="false">"#"</definedName>
    <definedName function="false" hidden="true" name="FDC_5_3" vbProcedure="false">"#"</definedName>
    <definedName function="false" hidden="true" name="FDC_60_0" vbProcedure="false">"#"</definedName>
    <definedName function="false" hidden="true" name="FDC_60_1" vbProcedure="false">"#"</definedName>
    <definedName function="false" hidden="true" name="FDC_60_10" vbProcedure="false">"#"</definedName>
    <definedName function="false" hidden="true" name="FDC_60_100" vbProcedure="false">"#"</definedName>
    <definedName function="false" hidden="true" name="FDC_60_101" vbProcedure="false">"#"</definedName>
    <definedName function="false" hidden="true" name="FDC_60_102" vbProcedure="false">"#"</definedName>
    <definedName function="false" hidden="true" name="FDC_60_103" vbProcedure="false">"#"</definedName>
    <definedName function="false" hidden="true" name="FDC_60_104" vbProcedure="false">"#"</definedName>
    <definedName function="false" hidden="true" name="FDC_60_105" vbProcedure="false">"#"</definedName>
    <definedName function="false" hidden="true" name="FDC_60_106" vbProcedure="false">"#"</definedName>
    <definedName function="false" hidden="true" name="FDC_60_107" vbProcedure="false">"#"</definedName>
    <definedName function="false" hidden="true" name="FDC_60_108" vbProcedure="false">"#"</definedName>
    <definedName function="false" hidden="true" name="FDC_60_109" vbProcedure="false">"#"</definedName>
    <definedName function="false" hidden="true" name="FDC_60_11" vbProcedure="false">"#"</definedName>
    <definedName function="false" hidden="true" name="FDC_60_110" vbProcedure="false">"#"</definedName>
    <definedName function="false" hidden="true" name="FDC_60_111" vbProcedure="false">"#"</definedName>
    <definedName function="false" hidden="true" name="FDC_60_112" vbProcedure="false">"#"</definedName>
    <definedName function="false" hidden="true" name="FDC_60_113" vbProcedure="false">"#"</definedName>
    <definedName function="false" hidden="true" name="FDC_60_114" vbProcedure="false">"#"</definedName>
    <definedName function="false" hidden="true" name="FDC_60_115" vbProcedure="false">"#"</definedName>
    <definedName function="false" hidden="true" name="FDC_60_116" vbProcedure="false">"#"</definedName>
    <definedName function="false" hidden="true" name="FDC_60_117" vbProcedure="false">"#"</definedName>
    <definedName function="false" hidden="true" name="FDC_60_118" vbProcedure="false">"#"</definedName>
    <definedName function="false" hidden="true" name="FDC_60_119" vbProcedure="false">"#"</definedName>
    <definedName function="false" hidden="true" name="FDC_60_12" vbProcedure="false">"#"</definedName>
    <definedName function="false" hidden="true" name="FDC_60_120" vbProcedure="false">"#"</definedName>
    <definedName function="false" hidden="true" name="FDC_60_121" vbProcedure="false">"#"</definedName>
    <definedName function="false" hidden="true" name="FDC_60_122" vbProcedure="false">"#"</definedName>
    <definedName function="false" hidden="true" name="FDC_60_123" vbProcedure="false">"#"</definedName>
    <definedName function="false" hidden="true" name="FDC_60_124" vbProcedure="false">"#"</definedName>
    <definedName function="false" hidden="true" name="FDC_60_125" vbProcedure="false">"#"</definedName>
    <definedName function="false" hidden="true" name="FDC_60_126" vbProcedure="false">"#"</definedName>
    <definedName function="false" hidden="true" name="FDC_60_127" vbProcedure="false">"#"</definedName>
    <definedName function="false" hidden="true" name="FDC_60_128" vbProcedure="false">"#"</definedName>
    <definedName function="false" hidden="true" name="FDC_60_129" vbProcedure="false">"#"</definedName>
    <definedName function="false" hidden="true" name="FDC_60_13" vbProcedure="false">"#"</definedName>
    <definedName function="false" hidden="true" name="FDC_60_130" vbProcedure="false">"#"</definedName>
    <definedName function="false" hidden="true" name="FDC_60_131" vbProcedure="false">"#"</definedName>
    <definedName function="false" hidden="true" name="FDC_60_132" vbProcedure="false">"#"</definedName>
    <definedName function="false" hidden="true" name="FDC_60_133" vbProcedure="false">"#"</definedName>
    <definedName function="false" hidden="true" name="FDC_60_134" vbProcedure="false">"#"</definedName>
    <definedName function="false" hidden="true" name="FDC_60_135" vbProcedure="false">"#"</definedName>
    <definedName function="false" hidden="true" name="FDC_60_136" vbProcedure="false">"#"</definedName>
    <definedName function="false" hidden="true" name="FDC_60_137" vbProcedure="false">"#"</definedName>
    <definedName function="false" hidden="true" name="FDC_60_138" vbProcedure="false">"#"</definedName>
    <definedName function="false" hidden="true" name="FDC_60_139" vbProcedure="false">"#"</definedName>
    <definedName function="false" hidden="true" name="FDC_60_14" vbProcedure="false">"#"</definedName>
    <definedName function="false" hidden="true" name="FDC_60_140" vbProcedure="false">"#"</definedName>
    <definedName function="false" hidden="true" name="FDC_60_141" vbProcedure="false">"#"</definedName>
    <definedName function="false" hidden="true" name="FDC_60_142" vbProcedure="false">"#"</definedName>
    <definedName function="false" hidden="true" name="FDC_60_143" vbProcedure="false">"#"</definedName>
    <definedName function="false" hidden="true" name="FDC_60_144" vbProcedure="false">"#"</definedName>
    <definedName function="false" hidden="true" name="FDC_60_145" vbProcedure="false">"#"</definedName>
    <definedName function="false" hidden="true" name="FDC_60_146" vbProcedure="false">"#"</definedName>
    <definedName function="false" hidden="true" name="FDC_60_147" vbProcedure="false">"#"</definedName>
    <definedName function="false" hidden="true" name="FDC_60_148" vbProcedure="false">"#"</definedName>
    <definedName function="false" hidden="true" name="FDC_60_149" vbProcedure="false">"#"</definedName>
    <definedName function="false" hidden="true" name="FDC_60_15" vbProcedure="false">"#"</definedName>
    <definedName function="false" hidden="true" name="FDC_60_150" vbProcedure="false">"#"</definedName>
    <definedName function="false" hidden="true" name="FDC_60_151" vbProcedure="false">"#"</definedName>
    <definedName function="false" hidden="true" name="FDC_60_152" vbProcedure="false">"#"</definedName>
    <definedName function="false" hidden="true" name="FDC_60_153" vbProcedure="false">"#"</definedName>
    <definedName function="false" hidden="true" name="FDC_60_154" vbProcedure="false">"#"</definedName>
    <definedName function="false" hidden="true" name="FDC_60_155" vbProcedure="false">"#"</definedName>
    <definedName function="false" hidden="true" name="FDC_60_156" vbProcedure="false">"#"</definedName>
    <definedName function="false" hidden="true" name="FDC_60_157" vbProcedure="false">"#"</definedName>
    <definedName function="false" hidden="true" name="FDC_60_158" vbProcedure="false">"#"</definedName>
    <definedName function="false" hidden="true" name="FDC_60_159" vbProcedure="false">"#"</definedName>
    <definedName function="false" hidden="true" name="FDC_60_16" vbProcedure="false">"#"</definedName>
    <definedName function="false" hidden="true" name="FDC_60_160" vbProcedure="false">"#"</definedName>
    <definedName function="false" hidden="true" name="FDC_60_161" vbProcedure="false">"#"</definedName>
    <definedName function="false" hidden="true" name="FDC_60_162" vbProcedure="false">"#"</definedName>
    <definedName function="false" hidden="true" name="FDC_60_163" vbProcedure="false">"#"</definedName>
    <definedName function="false" hidden="true" name="FDC_60_164" vbProcedure="false">"#"</definedName>
    <definedName function="false" hidden="true" name="FDC_60_165" vbProcedure="false">"#"</definedName>
    <definedName function="false" hidden="true" name="FDC_60_166" vbProcedure="false">"#"</definedName>
    <definedName function="false" hidden="true" name="FDC_60_167" vbProcedure="false">"#"</definedName>
    <definedName function="false" hidden="true" name="FDC_60_168" vbProcedure="false">"#"</definedName>
    <definedName function="false" hidden="true" name="FDC_60_169" vbProcedure="false">"#"</definedName>
    <definedName function="false" hidden="true" name="FDC_60_17" vbProcedure="false">"#"</definedName>
    <definedName function="false" hidden="true" name="FDC_60_170" vbProcedure="false">"#"</definedName>
    <definedName function="false" hidden="true" name="FDC_60_171" vbProcedure="false">"#"</definedName>
    <definedName function="false" hidden="true" name="FDC_60_172" vbProcedure="false">"#"</definedName>
    <definedName function="false" hidden="true" name="FDC_60_173" vbProcedure="false">"#"</definedName>
    <definedName function="false" hidden="true" name="FDC_60_174" vbProcedure="false">"#"</definedName>
    <definedName function="false" hidden="true" name="FDC_60_175" vbProcedure="false">"#"</definedName>
    <definedName function="false" hidden="true" name="FDC_60_176" vbProcedure="false">"#"</definedName>
    <definedName function="false" hidden="true" name="FDC_60_177" vbProcedure="false">"#"</definedName>
    <definedName function="false" hidden="true" name="FDC_60_178" vbProcedure="false">"#"</definedName>
    <definedName function="false" hidden="true" name="FDC_60_179" vbProcedure="false">"#"</definedName>
    <definedName function="false" hidden="true" name="FDC_60_18" vbProcedure="false">"#"</definedName>
    <definedName function="false" hidden="true" name="FDC_60_180" vbProcedure="false">"#"</definedName>
    <definedName function="false" hidden="true" name="FDC_60_181" vbProcedure="false">"#"</definedName>
    <definedName function="false" hidden="true" name="FDC_60_182" vbProcedure="false">"#"</definedName>
    <definedName function="false" hidden="true" name="FDC_60_183" vbProcedure="false">"#"</definedName>
    <definedName function="false" hidden="true" name="FDC_60_184" vbProcedure="false">"#"</definedName>
    <definedName function="false" hidden="true" name="FDC_60_185" vbProcedure="false">"#"</definedName>
    <definedName function="false" hidden="true" name="FDC_60_186" vbProcedure="false">"#"</definedName>
    <definedName function="false" hidden="true" name="FDC_60_187" vbProcedure="false">"#"</definedName>
    <definedName function="false" hidden="true" name="FDC_60_188" vbProcedure="false">"#"</definedName>
    <definedName function="false" hidden="true" name="FDC_60_189" vbProcedure="false">"#"</definedName>
    <definedName function="false" hidden="true" name="FDC_60_19" vbProcedure="false">"#"</definedName>
    <definedName function="false" hidden="true" name="FDC_60_190" vbProcedure="false">"#"</definedName>
    <definedName function="false" hidden="true" name="FDC_60_191" vbProcedure="false">"#"</definedName>
    <definedName function="false" hidden="true" name="FDC_60_192" vbProcedure="false">"#"</definedName>
    <definedName function="false" hidden="true" name="FDC_60_193" vbProcedure="false">"#"</definedName>
    <definedName function="false" hidden="true" name="FDC_60_194" vbProcedure="false">"#"</definedName>
    <definedName function="false" hidden="true" name="FDC_60_195" vbProcedure="false">"#"</definedName>
    <definedName function="false" hidden="true" name="FDC_60_196" vbProcedure="false">"#"</definedName>
    <definedName function="false" hidden="true" name="FDC_60_197" vbProcedure="false">"#"</definedName>
    <definedName function="false" hidden="true" name="FDC_60_198" vbProcedure="false">"#"</definedName>
    <definedName function="false" hidden="true" name="FDC_60_199" vbProcedure="false">"#"</definedName>
    <definedName function="false" hidden="true" name="FDC_60_2" vbProcedure="false">"#"</definedName>
    <definedName function="false" hidden="true" name="FDC_60_20" vbProcedure="false">"#"</definedName>
    <definedName function="false" hidden="true" name="FDC_60_200" vbProcedure="false">"#"</definedName>
    <definedName function="false" hidden="true" name="FDC_60_201" vbProcedure="false">"#"</definedName>
    <definedName function="false" hidden="true" name="FDC_60_202" vbProcedure="false">"#"</definedName>
    <definedName function="false" hidden="true" name="FDC_60_203" vbProcedure="false">"#"</definedName>
    <definedName function="false" hidden="true" name="FDC_60_204" vbProcedure="false">"#"</definedName>
    <definedName function="false" hidden="true" name="FDC_60_205" vbProcedure="false">"#"</definedName>
    <definedName function="false" hidden="true" name="FDC_60_206" vbProcedure="false">"#"</definedName>
    <definedName function="false" hidden="true" name="FDC_60_207" vbProcedure="false">"#"</definedName>
    <definedName function="false" hidden="true" name="FDC_60_208" vbProcedure="false">"#"</definedName>
    <definedName function="false" hidden="true" name="FDC_60_209" vbProcedure="false">"#"</definedName>
    <definedName function="false" hidden="true" name="FDC_60_21" vbProcedure="false">"#"</definedName>
    <definedName function="false" hidden="true" name="FDC_60_210" vbProcedure="false">"#"</definedName>
    <definedName function="false" hidden="true" name="FDC_60_211" vbProcedure="false">"#"</definedName>
    <definedName function="false" hidden="true" name="FDC_60_212" vbProcedure="false">"#"</definedName>
    <definedName function="false" hidden="true" name="FDC_60_213" vbProcedure="false">"#"</definedName>
    <definedName function="false" hidden="true" name="FDC_60_214" vbProcedure="false">"#"</definedName>
    <definedName function="false" hidden="true" name="FDC_60_215" vbProcedure="false">"#"</definedName>
    <definedName function="false" hidden="true" name="FDC_60_216" vbProcedure="false">"#"</definedName>
    <definedName function="false" hidden="true" name="FDC_60_217" vbProcedure="false">"#"</definedName>
    <definedName function="false" hidden="true" name="FDC_60_218" vbProcedure="false">"#"</definedName>
    <definedName function="false" hidden="true" name="FDC_60_219" vbProcedure="false">"#"</definedName>
    <definedName function="false" hidden="true" name="FDC_60_22" vbProcedure="false">"#"</definedName>
    <definedName function="false" hidden="true" name="FDC_60_220" vbProcedure="false">"#"</definedName>
    <definedName function="false" hidden="true" name="FDC_60_221" vbProcedure="false">"#"</definedName>
    <definedName function="false" hidden="true" name="FDC_60_222" vbProcedure="false">"#"</definedName>
    <definedName function="false" hidden="true" name="FDC_60_223" vbProcedure="false">"#"</definedName>
    <definedName function="false" hidden="true" name="FDC_60_224" vbProcedure="false">"#"</definedName>
    <definedName function="false" hidden="true" name="FDC_60_225" vbProcedure="false">"#"</definedName>
    <definedName function="false" hidden="true" name="FDC_60_226" vbProcedure="false">"#"</definedName>
    <definedName function="false" hidden="true" name="FDC_60_227" vbProcedure="false">"#"</definedName>
    <definedName function="false" hidden="true" name="FDC_60_228" vbProcedure="false">"#"</definedName>
    <definedName function="false" hidden="true" name="FDC_60_229" vbProcedure="false">"#"</definedName>
    <definedName function="false" hidden="true" name="FDC_60_23" vbProcedure="false">"#"</definedName>
    <definedName function="false" hidden="true" name="FDC_60_230" vbProcedure="false">"#"</definedName>
    <definedName function="false" hidden="true" name="FDC_60_231" vbProcedure="false">"#"</definedName>
    <definedName function="false" hidden="true" name="FDC_60_232" vbProcedure="false">"#"</definedName>
    <definedName function="false" hidden="true" name="FDC_60_233" vbProcedure="false">"#"</definedName>
    <definedName function="false" hidden="true" name="FDC_60_234" vbProcedure="false">"#"</definedName>
    <definedName function="false" hidden="true" name="FDC_60_235" vbProcedure="false">"#"</definedName>
    <definedName function="false" hidden="true" name="FDC_60_236" vbProcedure="false">"#"</definedName>
    <definedName function="false" hidden="true" name="FDC_60_237" vbProcedure="false">"#"</definedName>
    <definedName function="false" hidden="true" name="FDC_60_238" vbProcedure="false">"#"</definedName>
    <definedName function="false" hidden="true" name="FDC_60_239" vbProcedure="false">"#"</definedName>
    <definedName function="false" hidden="true" name="FDC_60_24" vbProcedure="false">"#"</definedName>
    <definedName function="false" hidden="true" name="FDC_60_240" vbProcedure="false">"#"</definedName>
    <definedName function="false" hidden="true" name="FDC_60_241" vbProcedure="false">"#"</definedName>
    <definedName function="false" hidden="true" name="FDC_60_242" vbProcedure="false">"#"</definedName>
    <definedName function="false" hidden="true" name="FDC_60_243" vbProcedure="false">"#"</definedName>
    <definedName function="false" hidden="true" name="FDC_60_244" vbProcedure="false">"#"</definedName>
    <definedName function="false" hidden="true" name="FDC_60_245" vbProcedure="false">"#"</definedName>
    <definedName function="false" hidden="true" name="FDC_60_246" vbProcedure="false">"#"</definedName>
    <definedName function="false" hidden="true" name="FDC_60_247" vbProcedure="false">"#"</definedName>
    <definedName function="false" hidden="true" name="FDC_60_248" vbProcedure="false">"#"</definedName>
    <definedName function="false" hidden="true" name="FDC_60_249" vbProcedure="false">"#"</definedName>
    <definedName function="false" hidden="true" name="FDC_60_25" vbProcedure="false">"#"</definedName>
    <definedName function="false" hidden="true" name="FDC_60_250" vbProcedure="false">"#"</definedName>
    <definedName function="false" hidden="true" name="FDC_60_251" vbProcedure="false">"#"</definedName>
    <definedName function="false" hidden="true" name="FDC_60_252" vbProcedure="false">"#"</definedName>
    <definedName function="false" hidden="true" name="FDC_60_253" vbProcedure="false">"#"</definedName>
    <definedName function="false" hidden="true" name="FDC_60_254" vbProcedure="false">"#"</definedName>
    <definedName function="false" hidden="true" name="FDC_60_255" vbProcedure="false">"#"</definedName>
    <definedName function="false" hidden="true" name="FDC_60_256" vbProcedure="false">"#"</definedName>
    <definedName function="false" hidden="true" name="FDC_60_257" vbProcedure="false">"#"</definedName>
    <definedName function="false" hidden="true" name="FDC_60_258" vbProcedure="false">"#"</definedName>
    <definedName function="false" hidden="true" name="FDC_60_259" vbProcedure="false">"#"</definedName>
    <definedName function="false" hidden="true" name="FDC_60_26" vbProcedure="false">"#"</definedName>
    <definedName function="false" hidden="true" name="FDC_60_260" vbProcedure="false">"#"</definedName>
    <definedName function="false" hidden="true" name="FDC_60_261" vbProcedure="false">"#"</definedName>
    <definedName function="false" hidden="true" name="FDC_60_27" vbProcedure="false">"#"</definedName>
    <definedName function="false" hidden="true" name="FDC_60_28" vbProcedure="false">"#"</definedName>
    <definedName function="false" hidden="true" name="FDC_60_29" vbProcedure="false">"#"</definedName>
    <definedName function="false" hidden="true" name="FDC_60_3" vbProcedure="false">"#"</definedName>
    <definedName function="false" hidden="true" name="FDC_60_30" vbProcedure="false">"#"</definedName>
    <definedName function="false" hidden="true" name="FDC_60_31" vbProcedure="false">"#"</definedName>
    <definedName function="false" hidden="true" name="FDC_60_32" vbProcedure="false">"#"</definedName>
    <definedName function="false" hidden="true" name="FDC_60_33" vbProcedure="false">"#"</definedName>
    <definedName function="false" hidden="true" name="FDC_60_34" vbProcedure="false">"#"</definedName>
    <definedName function="false" hidden="true" name="FDC_60_35" vbProcedure="false">"#"</definedName>
    <definedName function="false" hidden="true" name="FDC_60_36" vbProcedure="false">"#"</definedName>
    <definedName function="false" hidden="true" name="FDC_60_37" vbProcedure="false">"#"</definedName>
    <definedName function="false" hidden="true" name="FDC_60_38" vbProcedure="false">"#"</definedName>
    <definedName function="false" hidden="true" name="FDC_60_39" vbProcedure="false">"#"</definedName>
    <definedName function="false" hidden="true" name="FDC_60_4" vbProcedure="false">"#"</definedName>
    <definedName function="false" hidden="true" name="FDC_60_40" vbProcedure="false">"#"</definedName>
    <definedName function="false" hidden="true" name="FDC_60_41" vbProcedure="false">"#"</definedName>
    <definedName function="false" hidden="true" name="FDC_60_42" vbProcedure="false">"#"</definedName>
    <definedName function="false" hidden="true" name="FDC_60_43" vbProcedure="false">"#"</definedName>
    <definedName function="false" hidden="true" name="FDC_60_44" vbProcedure="false">"#"</definedName>
    <definedName function="false" hidden="true" name="FDC_60_45" vbProcedure="false">"#"</definedName>
    <definedName function="false" hidden="true" name="FDC_60_46" vbProcedure="false">"#"</definedName>
    <definedName function="false" hidden="true" name="FDC_60_47" vbProcedure="false">"#"</definedName>
    <definedName function="false" hidden="true" name="FDC_60_48" vbProcedure="false">"#"</definedName>
    <definedName function="false" hidden="true" name="FDC_60_49" vbProcedure="false">"#"</definedName>
    <definedName function="false" hidden="true" name="FDC_60_5" vbProcedure="false">"#"</definedName>
    <definedName function="false" hidden="true" name="FDC_60_50" vbProcedure="false">"#"</definedName>
    <definedName function="false" hidden="true" name="FDC_60_51" vbProcedure="false">"#"</definedName>
    <definedName function="false" hidden="true" name="FDC_60_52" vbProcedure="false">"#"</definedName>
    <definedName function="false" hidden="true" name="FDC_60_53" vbProcedure="false">"#"</definedName>
    <definedName function="false" hidden="true" name="FDC_60_54" vbProcedure="false">"#"</definedName>
    <definedName function="false" hidden="true" name="FDC_60_55" vbProcedure="false">"#"</definedName>
    <definedName function="false" hidden="true" name="FDC_60_56" vbProcedure="false">"#"</definedName>
    <definedName function="false" hidden="true" name="FDC_60_57" vbProcedure="false">"#"</definedName>
    <definedName function="false" hidden="true" name="FDC_60_58" vbProcedure="false">"#"</definedName>
    <definedName function="false" hidden="true" name="FDC_60_59" vbProcedure="false">"#"</definedName>
    <definedName function="false" hidden="true" name="FDC_60_6" vbProcedure="false">"#"</definedName>
    <definedName function="false" hidden="true" name="FDC_60_60" vbProcedure="false">"#"</definedName>
    <definedName function="false" hidden="true" name="FDC_60_61" vbProcedure="false">"#"</definedName>
    <definedName function="false" hidden="true" name="FDC_60_62" vbProcedure="false">"#"</definedName>
    <definedName function="false" hidden="true" name="FDC_60_63" vbProcedure="false">"#"</definedName>
    <definedName function="false" hidden="true" name="FDC_60_64" vbProcedure="false">"#"</definedName>
    <definedName function="false" hidden="true" name="FDC_60_65" vbProcedure="false">"#"</definedName>
    <definedName function="false" hidden="true" name="FDC_60_66" vbProcedure="false">"#"</definedName>
    <definedName function="false" hidden="true" name="FDC_60_67" vbProcedure="false">"#"</definedName>
    <definedName function="false" hidden="true" name="FDC_60_68" vbProcedure="false">"#"</definedName>
    <definedName function="false" hidden="true" name="FDC_60_69" vbProcedure="false">"#"</definedName>
    <definedName function="false" hidden="true" name="FDC_60_7" vbProcedure="false">"#"</definedName>
    <definedName function="false" hidden="true" name="FDC_60_70" vbProcedure="false">"#"</definedName>
    <definedName function="false" hidden="true" name="FDC_60_71" vbProcedure="false">"#"</definedName>
    <definedName function="false" hidden="true" name="FDC_60_72" vbProcedure="false">"#"</definedName>
    <definedName function="false" hidden="true" name="FDC_60_73" vbProcedure="false">"#"</definedName>
    <definedName function="false" hidden="true" name="FDC_60_74" vbProcedure="false">"#"</definedName>
    <definedName function="false" hidden="true" name="FDC_60_75" vbProcedure="false">"#"</definedName>
    <definedName function="false" hidden="true" name="FDC_60_76" vbProcedure="false">"#"</definedName>
    <definedName function="false" hidden="true" name="FDC_60_77" vbProcedure="false">"#"</definedName>
    <definedName function="false" hidden="true" name="FDC_60_78" vbProcedure="false">"#"</definedName>
    <definedName function="false" hidden="true" name="FDC_60_79" vbProcedure="false">"#"</definedName>
    <definedName function="false" hidden="true" name="FDC_60_8" vbProcedure="false">"#"</definedName>
    <definedName function="false" hidden="true" name="FDC_60_80" vbProcedure="false">"#"</definedName>
    <definedName function="false" hidden="true" name="FDC_60_81" vbProcedure="false">"#"</definedName>
    <definedName function="false" hidden="true" name="FDC_60_82" vbProcedure="false">"#"</definedName>
    <definedName function="false" hidden="true" name="FDC_60_83" vbProcedure="false">"#"</definedName>
    <definedName function="false" hidden="true" name="FDC_60_84" vbProcedure="false">"#"</definedName>
    <definedName function="false" hidden="true" name="FDC_60_85" vbProcedure="false">"#"</definedName>
    <definedName function="false" hidden="true" name="FDC_60_86" vbProcedure="false">"#"</definedName>
    <definedName function="false" hidden="true" name="FDC_60_87" vbProcedure="false">"#"</definedName>
    <definedName function="false" hidden="true" name="FDC_60_88" vbProcedure="false">"#"</definedName>
    <definedName function="false" hidden="true" name="FDC_60_89" vbProcedure="false">"#"</definedName>
    <definedName function="false" hidden="true" name="FDC_60_9" vbProcedure="false">"#"</definedName>
    <definedName function="false" hidden="true" name="FDC_60_90" vbProcedure="false">"#"</definedName>
    <definedName function="false" hidden="true" name="FDC_60_91" vbProcedure="false">"#"</definedName>
    <definedName function="false" hidden="true" name="FDC_60_92" vbProcedure="false">"#"</definedName>
    <definedName function="false" hidden="true" name="FDC_60_93" vbProcedure="false">"#"</definedName>
    <definedName function="false" hidden="true" name="FDC_60_94" vbProcedure="false">"#"</definedName>
    <definedName function="false" hidden="true" name="FDC_60_95" vbProcedure="false">"#"</definedName>
    <definedName function="false" hidden="true" name="FDC_60_96" vbProcedure="false">"#"</definedName>
    <definedName function="false" hidden="true" name="FDC_60_97" vbProcedure="false">"#"</definedName>
    <definedName function="false" hidden="true" name="FDC_60_98" vbProcedure="false">"#"</definedName>
    <definedName function="false" hidden="true" name="FDC_60_99" vbProcedure="false">"#"</definedName>
    <definedName function="false" hidden="true" name="FDC_61_0" vbProcedure="false">"#"</definedName>
    <definedName function="false" hidden="true" name="FDC_62_0" vbProcedure="false">"#"</definedName>
    <definedName function="false" hidden="true" name="FDC_62_1" vbProcedure="false">"#"</definedName>
    <definedName function="false" hidden="true" name="FDC_62_10" vbProcedure="false">"#"</definedName>
    <definedName function="false" hidden="true" name="FDC_62_100" vbProcedure="false">"#"</definedName>
    <definedName function="false" hidden="true" name="FDC_62_101" vbProcedure="false">"#"</definedName>
    <definedName function="false" hidden="true" name="FDC_62_102" vbProcedure="false">"#"</definedName>
    <definedName function="false" hidden="true" name="FDC_62_103" vbProcedure="false">"#"</definedName>
    <definedName function="false" hidden="true" name="FDC_62_104" vbProcedure="false">"#"</definedName>
    <definedName function="false" hidden="true" name="FDC_62_105" vbProcedure="false">"#"</definedName>
    <definedName function="false" hidden="true" name="FDC_62_106" vbProcedure="false">"#"</definedName>
    <definedName function="false" hidden="true" name="FDC_62_107" vbProcedure="false">"#"</definedName>
    <definedName function="false" hidden="true" name="FDC_62_108" vbProcedure="false">"#"</definedName>
    <definedName function="false" hidden="true" name="FDC_62_109" vbProcedure="false">"#"</definedName>
    <definedName function="false" hidden="true" name="FDC_62_11" vbProcedure="false">"#"</definedName>
    <definedName function="false" hidden="true" name="FDC_62_110" vbProcedure="false">"#"</definedName>
    <definedName function="false" hidden="true" name="FDC_62_111" vbProcedure="false">"#"</definedName>
    <definedName function="false" hidden="true" name="FDC_62_112" vbProcedure="false">"#"</definedName>
    <definedName function="false" hidden="true" name="FDC_62_113" vbProcedure="false">"#"</definedName>
    <definedName function="false" hidden="true" name="FDC_62_114" vbProcedure="false">"#"</definedName>
    <definedName function="false" hidden="true" name="FDC_62_115" vbProcedure="false">"#"</definedName>
    <definedName function="false" hidden="true" name="FDC_62_116" vbProcedure="false">"#"</definedName>
    <definedName function="false" hidden="true" name="FDC_62_117" vbProcedure="false">"#"</definedName>
    <definedName function="false" hidden="true" name="FDC_62_118" vbProcedure="false">"#"</definedName>
    <definedName function="false" hidden="true" name="FDC_62_119" vbProcedure="false">"#"</definedName>
    <definedName function="false" hidden="true" name="FDC_62_12" vbProcedure="false">"#"</definedName>
    <definedName function="false" hidden="true" name="FDC_62_120" vbProcedure="false">"#"</definedName>
    <definedName function="false" hidden="true" name="FDC_62_121" vbProcedure="false">"#"</definedName>
    <definedName function="false" hidden="true" name="FDC_62_122" vbProcedure="false">"#"</definedName>
    <definedName function="false" hidden="true" name="FDC_62_123" vbProcedure="false">"#"</definedName>
    <definedName function="false" hidden="true" name="FDC_62_124" vbProcedure="false">"#"</definedName>
    <definedName function="false" hidden="true" name="FDC_62_125" vbProcedure="false">"#"</definedName>
    <definedName function="false" hidden="true" name="FDC_62_126" vbProcedure="false">"#"</definedName>
    <definedName function="false" hidden="true" name="FDC_62_127" vbProcedure="false">"#"</definedName>
    <definedName function="false" hidden="true" name="FDC_62_128" vbProcedure="false">"#"</definedName>
    <definedName function="false" hidden="true" name="FDC_62_129" vbProcedure="false">"#"</definedName>
    <definedName function="false" hidden="true" name="FDC_62_13" vbProcedure="false">"#"</definedName>
    <definedName function="false" hidden="true" name="FDC_62_130" vbProcedure="false">"#"</definedName>
    <definedName function="false" hidden="true" name="FDC_62_131" vbProcedure="false">"#"</definedName>
    <definedName function="false" hidden="true" name="FDC_62_132" vbProcedure="false">"#"</definedName>
    <definedName function="false" hidden="true" name="FDC_62_133" vbProcedure="false">"#"</definedName>
    <definedName function="false" hidden="true" name="FDC_62_134" vbProcedure="false">"#"</definedName>
    <definedName function="false" hidden="true" name="FDC_62_135" vbProcedure="false">"#"</definedName>
    <definedName function="false" hidden="true" name="FDC_62_136" vbProcedure="false">"#"</definedName>
    <definedName function="false" hidden="true" name="FDC_62_137" vbProcedure="false">"#"</definedName>
    <definedName function="false" hidden="true" name="FDC_62_138" vbProcedure="false">"#"</definedName>
    <definedName function="false" hidden="true" name="FDC_62_139" vbProcedure="false">"#"</definedName>
    <definedName function="false" hidden="true" name="FDC_62_14" vbProcedure="false">"#"</definedName>
    <definedName function="false" hidden="true" name="FDC_62_140" vbProcedure="false">"#"</definedName>
    <definedName function="false" hidden="true" name="FDC_62_141" vbProcedure="false">"#"</definedName>
    <definedName function="false" hidden="true" name="FDC_62_142" vbProcedure="false">"#"</definedName>
    <definedName function="false" hidden="true" name="FDC_62_143" vbProcedure="false">"#"</definedName>
    <definedName function="false" hidden="true" name="FDC_62_144" vbProcedure="false">"#"</definedName>
    <definedName function="false" hidden="true" name="FDC_62_145" vbProcedure="false">"#"</definedName>
    <definedName function="false" hidden="true" name="FDC_62_146" vbProcedure="false">"#"</definedName>
    <definedName function="false" hidden="true" name="FDC_62_147" vbProcedure="false">"#"</definedName>
    <definedName function="false" hidden="true" name="FDC_62_148" vbProcedure="false">"#"</definedName>
    <definedName function="false" hidden="true" name="FDC_62_149" vbProcedure="false">"#"</definedName>
    <definedName function="false" hidden="true" name="FDC_62_15" vbProcedure="false">"#"</definedName>
    <definedName function="false" hidden="true" name="FDC_62_150" vbProcedure="false">"#"</definedName>
    <definedName function="false" hidden="true" name="FDC_62_151" vbProcedure="false">"#"</definedName>
    <definedName function="false" hidden="true" name="FDC_62_152" vbProcedure="false">"#"</definedName>
    <definedName function="false" hidden="true" name="FDC_62_153" vbProcedure="false">"#"</definedName>
    <definedName function="false" hidden="true" name="FDC_62_154" vbProcedure="false">"#"</definedName>
    <definedName function="false" hidden="true" name="FDC_62_155" vbProcedure="false">"#"</definedName>
    <definedName function="false" hidden="true" name="FDC_62_156" vbProcedure="false">"#"</definedName>
    <definedName function="false" hidden="true" name="FDC_62_157" vbProcedure="false">"#"</definedName>
    <definedName function="false" hidden="true" name="FDC_62_158" vbProcedure="false">"#"</definedName>
    <definedName function="false" hidden="true" name="FDC_62_159" vbProcedure="false">"#"</definedName>
    <definedName function="false" hidden="true" name="FDC_62_16" vbProcedure="false">"#"</definedName>
    <definedName function="false" hidden="true" name="FDC_62_160" vbProcedure="false">"#"</definedName>
    <definedName function="false" hidden="true" name="FDC_62_161" vbProcedure="false">"#"</definedName>
    <definedName function="false" hidden="true" name="FDC_62_162" vbProcedure="false">"#"</definedName>
    <definedName function="false" hidden="true" name="FDC_62_163" vbProcedure="false">"#"</definedName>
    <definedName function="false" hidden="true" name="FDC_62_164" vbProcedure="false">"#"</definedName>
    <definedName function="false" hidden="true" name="FDC_62_165" vbProcedure="false">"#"</definedName>
    <definedName function="false" hidden="true" name="FDC_62_166" vbProcedure="false">"#"</definedName>
    <definedName function="false" hidden="true" name="FDC_62_167" vbProcedure="false">"#"</definedName>
    <definedName function="false" hidden="true" name="FDC_62_168" vbProcedure="false">"#"</definedName>
    <definedName function="false" hidden="true" name="FDC_62_169" vbProcedure="false">"#"</definedName>
    <definedName function="false" hidden="true" name="FDC_62_17" vbProcedure="false">"#"</definedName>
    <definedName function="false" hidden="true" name="FDC_62_170" vbProcedure="false">"#"</definedName>
    <definedName function="false" hidden="true" name="FDC_62_171" vbProcedure="false">"#"</definedName>
    <definedName function="false" hidden="true" name="FDC_62_172" vbProcedure="false">"#"</definedName>
    <definedName function="false" hidden="true" name="FDC_62_173" vbProcedure="false">"#"</definedName>
    <definedName function="false" hidden="true" name="FDC_62_174" vbProcedure="false">"#"</definedName>
    <definedName function="false" hidden="true" name="FDC_62_175" vbProcedure="false">"#"</definedName>
    <definedName function="false" hidden="true" name="FDC_62_176" vbProcedure="false">"#"</definedName>
    <definedName function="false" hidden="true" name="FDC_62_177" vbProcedure="false">"#"</definedName>
    <definedName function="false" hidden="true" name="FDC_62_178" vbProcedure="false">"#"</definedName>
    <definedName function="false" hidden="true" name="FDC_62_179" vbProcedure="false">"#"</definedName>
    <definedName function="false" hidden="true" name="FDC_62_18" vbProcedure="false">"#"</definedName>
    <definedName function="false" hidden="true" name="FDC_62_180" vbProcedure="false">"#"</definedName>
    <definedName function="false" hidden="true" name="FDC_62_181" vbProcedure="false">"#"</definedName>
    <definedName function="false" hidden="true" name="FDC_62_182" vbProcedure="false">"#"</definedName>
    <definedName function="false" hidden="true" name="FDC_62_183" vbProcedure="false">"#"</definedName>
    <definedName function="false" hidden="true" name="FDC_62_184" vbProcedure="false">"#"</definedName>
    <definedName function="false" hidden="true" name="FDC_62_185" vbProcedure="false">"#"</definedName>
    <definedName function="false" hidden="true" name="FDC_62_186" vbProcedure="false">"#"</definedName>
    <definedName function="false" hidden="true" name="FDC_62_187" vbProcedure="false">"#"</definedName>
    <definedName function="false" hidden="true" name="FDC_62_188" vbProcedure="false">"#"</definedName>
    <definedName function="false" hidden="true" name="FDC_62_189" vbProcedure="false">"#"</definedName>
    <definedName function="false" hidden="true" name="FDC_62_19" vbProcedure="false">"#"</definedName>
    <definedName function="false" hidden="true" name="FDC_62_190" vbProcedure="false">"#"</definedName>
    <definedName function="false" hidden="true" name="FDC_62_191" vbProcedure="false">"#"</definedName>
    <definedName function="false" hidden="true" name="FDC_62_192" vbProcedure="false">"#"</definedName>
    <definedName function="false" hidden="true" name="FDC_62_193" vbProcedure="false">"#"</definedName>
    <definedName function="false" hidden="true" name="FDC_62_194" vbProcedure="false">"#"</definedName>
    <definedName function="false" hidden="true" name="FDC_62_195" vbProcedure="false">"#"</definedName>
    <definedName function="false" hidden="true" name="FDC_62_196" vbProcedure="false">"#"</definedName>
    <definedName function="false" hidden="true" name="FDC_62_197" vbProcedure="false">"#"</definedName>
    <definedName function="false" hidden="true" name="FDC_62_198" vbProcedure="false">"#"</definedName>
    <definedName function="false" hidden="true" name="FDC_62_199" vbProcedure="false">"#"</definedName>
    <definedName function="false" hidden="true" name="FDC_62_2" vbProcedure="false">"#"</definedName>
    <definedName function="false" hidden="true" name="FDC_62_20" vbProcedure="false">"#"</definedName>
    <definedName function="false" hidden="true" name="FDC_62_200" vbProcedure="false">"#"</definedName>
    <definedName function="false" hidden="true" name="FDC_62_201" vbProcedure="false">"#"</definedName>
    <definedName function="false" hidden="true" name="FDC_62_202" vbProcedure="false">"#"</definedName>
    <definedName function="false" hidden="true" name="FDC_62_203" vbProcedure="false">"#"</definedName>
    <definedName function="false" hidden="true" name="FDC_62_204" vbProcedure="false">"#"</definedName>
    <definedName function="false" hidden="true" name="FDC_62_205" vbProcedure="false">"#"</definedName>
    <definedName function="false" hidden="true" name="FDC_62_206" vbProcedure="false">"#"</definedName>
    <definedName function="false" hidden="true" name="FDC_62_207" vbProcedure="false">"#"</definedName>
    <definedName function="false" hidden="true" name="FDC_62_208" vbProcedure="false">"#"</definedName>
    <definedName function="false" hidden="true" name="FDC_62_209" vbProcedure="false">"#"</definedName>
    <definedName function="false" hidden="true" name="FDC_62_21" vbProcedure="false">"#"</definedName>
    <definedName function="false" hidden="true" name="FDC_62_210" vbProcedure="false">"#"</definedName>
    <definedName function="false" hidden="true" name="FDC_62_211" vbProcedure="false">"#"</definedName>
    <definedName function="false" hidden="true" name="FDC_62_212" vbProcedure="false">"#"</definedName>
    <definedName function="false" hidden="true" name="FDC_62_213" vbProcedure="false">"#"</definedName>
    <definedName function="false" hidden="true" name="FDC_62_214" vbProcedure="false">"#"</definedName>
    <definedName function="false" hidden="true" name="FDC_62_215" vbProcedure="false">"#"</definedName>
    <definedName function="false" hidden="true" name="FDC_62_216" vbProcedure="false">"#"</definedName>
    <definedName function="false" hidden="true" name="FDC_62_217" vbProcedure="false">"#"</definedName>
    <definedName function="false" hidden="true" name="FDC_62_218" vbProcedure="false">"#"</definedName>
    <definedName function="false" hidden="true" name="FDC_62_219" vbProcedure="false">"#"</definedName>
    <definedName function="false" hidden="true" name="FDC_62_22" vbProcedure="false">"#"</definedName>
    <definedName function="false" hidden="true" name="FDC_62_220" vbProcedure="false">"#"</definedName>
    <definedName function="false" hidden="true" name="FDC_62_221" vbProcedure="false">"#"</definedName>
    <definedName function="false" hidden="true" name="FDC_62_222" vbProcedure="false">"#"</definedName>
    <definedName function="false" hidden="true" name="FDC_62_223" vbProcedure="false">"#"</definedName>
    <definedName function="false" hidden="true" name="FDC_62_224" vbProcedure="false">"#"</definedName>
    <definedName function="false" hidden="true" name="FDC_62_225" vbProcedure="false">"#"</definedName>
    <definedName function="false" hidden="true" name="FDC_62_226" vbProcedure="false">"#"</definedName>
    <definedName function="false" hidden="true" name="FDC_62_227" vbProcedure="false">"#"</definedName>
    <definedName function="false" hidden="true" name="FDC_62_228" vbProcedure="false">"#"</definedName>
    <definedName function="false" hidden="true" name="FDC_62_229" vbProcedure="false">"#"</definedName>
    <definedName function="false" hidden="true" name="FDC_62_23" vbProcedure="false">"#"</definedName>
    <definedName function="false" hidden="true" name="FDC_62_230" vbProcedure="false">"#"</definedName>
    <definedName function="false" hidden="true" name="FDC_62_231" vbProcedure="false">"#"</definedName>
    <definedName function="false" hidden="true" name="FDC_62_232" vbProcedure="false">"#"</definedName>
    <definedName function="false" hidden="true" name="FDC_62_233" vbProcedure="false">"#"</definedName>
    <definedName function="false" hidden="true" name="FDC_62_234" vbProcedure="false">"#"</definedName>
    <definedName function="false" hidden="true" name="FDC_62_235" vbProcedure="false">"#"</definedName>
    <definedName function="false" hidden="true" name="FDC_62_236" vbProcedure="false">"#"</definedName>
    <definedName function="false" hidden="true" name="FDC_62_237" vbProcedure="false">"#"</definedName>
    <definedName function="false" hidden="true" name="FDC_62_238" vbProcedure="false">"#"</definedName>
    <definedName function="false" hidden="true" name="FDC_62_239" vbProcedure="false">"#"</definedName>
    <definedName function="false" hidden="true" name="FDC_62_24" vbProcedure="false">"#"</definedName>
    <definedName function="false" hidden="true" name="FDC_62_240" vbProcedure="false">"#"</definedName>
    <definedName function="false" hidden="true" name="FDC_62_241" vbProcedure="false">"#"</definedName>
    <definedName function="false" hidden="true" name="FDC_62_242" vbProcedure="false">"#"</definedName>
    <definedName function="false" hidden="true" name="FDC_62_243" vbProcedure="false">"#"</definedName>
    <definedName function="false" hidden="true" name="FDC_62_244" vbProcedure="false">"#"</definedName>
    <definedName function="false" hidden="true" name="FDC_62_245" vbProcedure="false">"#"</definedName>
    <definedName function="false" hidden="true" name="FDC_62_246" vbProcedure="false">"#"</definedName>
    <definedName function="false" hidden="true" name="FDC_62_247" vbProcedure="false">"#"</definedName>
    <definedName function="false" hidden="true" name="FDC_62_248" vbProcedure="false">"#"</definedName>
    <definedName function="false" hidden="true" name="FDC_62_249" vbProcedure="false">"#"</definedName>
    <definedName function="false" hidden="true" name="FDC_62_25" vbProcedure="false">"#"</definedName>
    <definedName function="false" hidden="true" name="FDC_62_250" vbProcedure="false">"#"</definedName>
    <definedName function="false" hidden="true" name="FDC_62_251" vbProcedure="false">"#"</definedName>
    <definedName function="false" hidden="true" name="FDC_62_252" vbProcedure="false">"#"</definedName>
    <definedName function="false" hidden="true" name="FDC_62_253" vbProcedure="false">"#"</definedName>
    <definedName function="false" hidden="true" name="FDC_62_254" vbProcedure="false">"#"</definedName>
    <definedName function="false" hidden="true" name="FDC_62_255" vbProcedure="false">"#"</definedName>
    <definedName function="false" hidden="true" name="FDC_62_256" vbProcedure="false">"#"</definedName>
    <definedName function="false" hidden="true" name="FDC_62_257" vbProcedure="false">"#"</definedName>
    <definedName function="false" hidden="true" name="FDC_62_258" vbProcedure="false">"#"</definedName>
    <definedName function="false" hidden="true" name="FDC_62_259" vbProcedure="false">"#"</definedName>
    <definedName function="false" hidden="true" name="FDC_62_26" vbProcedure="false">"#"</definedName>
    <definedName function="false" hidden="true" name="FDC_62_260" vbProcedure="false">"#"</definedName>
    <definedName function="false" hidden="true" name="FDC_62_261" vbProcedure="false">"#"</definedName>
    <definedName function="false" hidden="true" name="FDC_62_27" vbProcedure="false">"#"</definedName>
    <definedName function="false" hidden="true" name="FDC_62_28" vbProcedure="false">"#"</definedName>
    <definedName function="false" hidden="true" name="FDC_62_29" vbProcedure="false">"#"</definedName>
    <definedName function="false" hidden="true" name="FDC_62_3" vbProcedure="false">"#"</definedName>
    <definedName function="false" hidden="true" name="FDC_62_30" vbProcedure="false">"#"</definedName>
    <definedName function="false" hidden="true" name="FDC_62_31" vbProcedure="false">"#"</definedName>
    <definedName function="false" hidden="true" name="FDC_62_32" vbProcedure="false">"#"</definedName>
    <definedName function="false" hidden="true" name="FDC_62_33" vbProcedure="false">"#"</definedName>
    <definedName function="false" hidden="true" name="FDC_62_34" vbProcedure="false">"#"</definedName>
    <definedName function="false" hidden="true" name="FDC_62_35" vbProcedure="false">"#"</definedName>
    <definedName function="false" hidden="true" name="FDC_62_36" vbProcedure="false">"#"</definedName>
    <definedName function="false" hidden="true" name="FDC_62_37" vbProcedure="false">"#"</definedName>
    <definedName function="false" hidden="true" name="FDC_62_38" vbProcedure="false">"#"</definedName>
    <definedName function="false" hidden="true" name="FDC_62_39" vbProcedure="false">"#"</definedName>
    <definedName function="false" hidden="true" name="FDC_62_4" vbProcedure="false">"#"</definedName>
    <definedName function="false" hidden="true" name="FDC_62_40" vbProcedure="false">"#"</definedName>
    <definedName function="false" hidden="true" name="FDC_62_41" vbProcedure="false">"#"</definedName>
    <definedName function="false" hidden="true" name="FDC_62_42" vbProcedure="false">"#"</definedName>
    <definedName function="false" hidden="true" name="FDC_62_43" vbProcedure="false">"#"</definedName>
    <definedName function="false" hidden="true" name="FDC_62_44" vbProcedure="false">"#"</definedName>
    <definedName function="false" hidden="true" name="FDC_62_45" vbProcedure="false">"#"</definedName>
    <definedName function="false" hidden="true" name="FDC_62_46" vbProcedure="false">"#"</definedName>
    <definedName function="false" hidden="true" name="FDC_62_47" vbProcedure="false">"#"</definedName>
    <definedName function="false" hidden="true" name="FDC_62_48" vbProcedure="false">"#"</definedName>
    <definedName function="false" hidden="true" name="FDC_62_49" vbProcedure="false">"#"</definedName>
    <definedName function="false" hidden="true" name="FDC_62_5" vbProcedure="false">"#"</definedName>
    <definedName function="false" hidden="true" name="FDC_62_50" vbProcedure="false">"#"</definedName>
    <definedName function="false" hidden="true" name="FDC_62_51" vbProcedure="false">"#"</definedName>
    <definedName function="false" hidden="true" name="FDC_62_52" vbProcedure="false">"#"</definedName>
    <definedName function="false" hidden="true" name="FDC_62_53" vbProcedure="false">"#"</definedName>
    <definedName function="false" hidden="true" name="FDC_62_54" vbProcedure="false">"#"</definedName>
    <definedName function="false" hidden="true" name="FDC_62_55" vbProcedure="false">"#"</definedName>
    <definedName function="false" hidden="true" name="FDC_62_56" vbProcedure="false">"#"</definedName>
    <definedName function="false" hidden="true" name="FDC_62_57" vbProcedure="false">"#"</definedName>
    <definedName function="false" hidden="true" name="FDC_62_58" vbProcedure="false">"#"</definedName>
    <definedName function="false" hidden="true" name="FDC_62_59" vbProcedure="false">"#"</definedName>
    <definedName function="false" hidden="true" name="FDC_62_6" vbProcedure="false">"#"</definedName>
    <definedName function="false" hidden="true" name="FDC_62_60" vbProcedure="false">"#"</definedName>
    <definedName function="false" hidden="true" name="FDC_62_61" vbProcedure="false">"#"</definedName>
    <definedName function="false" hidden="true" name="FDC_62_62" vbProcedure="false">"#"</definedName>
    <definedName function="false" hidden="true" name="FDC_62_63" vbProcedure="false">"#"</definedName>
    <definedName function="false" hidden="true" name="FDC_62_64" vbProcedure="false">"#"</definedName>
    <definedName function="false" hidden="true" name="FDC_62_65" vbProcedure="false">"#"</definedName>
    <definedName function="false" hidden="true" name="FDC_62_66" vbProcedure="false">"#"</definedName>
    <definedName function="false" hidden="true" name="FDC_62_67" vbProcedure="false">"#"</definedName>
    <definedName function="false" hidden="true" name="FDC_62_68" vbProcedure="false">"#"</definedName>
    <definedName function="false" hidden="true" name="FDC_62_69" vbProcedure="false">"#"</definedName>
    <definedName function="false" hidden="true" name="FDC_62_7" vbProcedure="false">"#"</definedName>
    <definedName function="false" hidden="true" name="FDC_62_70" vbProcedure="false">"#"</definedName>
    <definedName function="false" hidden="true" name="FDC_62_71" vbProcedure="false">"#"</definedName>
    <definedName function="false" hidden="true" name="FDC_62_72" vbProcedure="false">"#"</definedName>
    <definedName function="false" hidden="true" name="FDC_62_73" vbProcedure="false">"#"</definedName>
    <definedName function="false" hidden="true" name="FDC_62_74" vbProcedure="false">"#"</definedName>
    <definedName function="false" hidden="true" name="FDC_62_75" vbProcedure="false">"#"</definedName>
    <definedName function="false" hidden="true" name="FDC_62_76" vbProcedure="false">"#"</definedName>
    <definedName function="false" hidden="true" name="FDC_62_77" vbProcedure="false">"#"</definedName>
    <definedName function="false" hidden="true" name="FDC_62_78" vbProcedure="false">"#"</definedName>
    <definedName function="false" hidden="true" name="FDC_62_79" vbProcedure="false">"#"</definedName>
    <definedName function="false" hidden="true" name="FDC_62_8" vbProcedure="false">"#"</definedName>
    <definedName function="false" hidden="true" name="FDC_62_80" vbProcedure="false">"#"</definedName>
    <definedName function="false" hidden="true" name="FDC_62_81" vbProcedure="false">"#"</definedName>
    <definedName function="false" hidden="true" name="FDC_62_82" vbProcedure="false">"#"</definedName>
    <definedName function="false" hidden="true" name="FDC_62_83" vbProcedure="false">"#"</definedName>
    <definedName function="false" hidden="true" name="FDC_62_84" vbProcedure="false">"#"</definedName>
    <definedName function="false" hidden="true" name="FDC_62_85" vbProcedure="false">"#"</definedName>
    <definedName function="false" hidden="true" name="FDC_62_86" vbProcedure="false">"#"</definedName>
    <definedName function="false" hidden="true" name="FDC_62_87" vbProcedure="false">"#"</definedName>
    <definedName function="false" hidden="true" name="FDC_62_88" vbProcedure="false">"#"</definedName>
    <definedName function="false" hidden="true" name="FDC_62_89" vbProcedure="false">"#"</definedName>
    <definedName function="false" hidden="true" name="FDC_62_9" vbProcedure="false">"#"</definedName>
    <definedName function="false" hidden="true" name="FDC_62_90" vbProcedure="false">"#"</definedName>
    <definedName function="false" hidden="true" name="FDC_62_91" vbProcedure="false">"#"</definedName>
    <definedName function="false" hidden="true" name="FDC_62_92" vbProcedure="false">"#"</definedName>
    <definedName function="false" hidden="true" name="FDC_62_93" vbProcedure="false">"#"</definedName>
    <definedName function="false" hidden="true" name="FDC_62_94" vbProcedure="false">"#"</definedName>
    <definedName function="false" hidden="true" name="FDC_62_95" vbProcedure="false">"#"</definedName>
    <definedName function="false" hidden="true" name="FDC_62_96" vbProcedure="false">"#"</definedName>
    <definedName function="false" hidden="true" name="FDC_62_97" vbProcedure="false">"#"</definedName>
    <definedName function="false" hidden="true" name="FDC_62_98" vbProcedure="false">"#"</definedName>
    <definedName function="false" hidden="true" name="FDC_62_99" vbProcedure="false">"#"</definedName>
    <definedName function="false" hidden="true" name="FDC_63_0" vbProcedure="false">"#"</definedName>
    <definedName function="false" hidden="true" name="FDC_63_1" vbProcedure="false">"#"</definedName>
    <definedName function="false" hidden="true" name="FDC_63_10" vbProcedure="false">"#"</definedName>
    <definedName function="false" hidden="true" name="FDC_63_100" vbProcedure="false">"#"</definedName>
    <definedName function="false" hidden="true" name="FDC_63_101" vbProcedure="false">"#"</definedName>
    <definedName function="false" hidden="true" name="FDC_63_102" vbProcedure="false">"#"</definedName>
    <definedName function="false" hidden="true" name="FDC_63_103" vbProcedure="false">"#"</definedName>
    <definedName function="false" hidden="true" name="FDC_63_104" vbProcedure="false">"#"</definedName>
    <definedName function="false" hidden="true" name="FDC_63_105" vbProcedure="false">"#"</definedName>
    <definedName function="false" hidden="true" name="FDC_63_106" vbProcedure="false">"#"</definedName>
    <definedName function="false" hidden="true" name="FDC_63_107" vbProcedure="false">"#"</definedName>
    <definedName function="false" hidden="true" name="FDC_63_108" vbProcedure="false">"#"</definedName>
    <definedName function="false" hidden="true" name="FDC_63_109" vbProcedure="false">"#"</definedName>
    <definedName function="false" hidden="true" name="FDC_63_11" vbProcedure="false">"#"</definedName>
    <definedName function="false" hidden="true" name="FDC_63_110" vbProcedure="false">"#"</definedName>
    <definedName function="false" hidden="true" name="FDC_63_111" vbProcedure="false">"#"</definedName>
    <definedName function="false" hidden="true" name="FDC_63_112" vbProcedure="false">"#"</definedName>
    <definedName function="false" hidden="true" name="FDC_63_113" vbProcedure="false">"#"</definedName>
    <definedName function="false" hidden="true" name="FDC_63_114" vbProcedure="false">"#"</definedName>
    <definedName function="false" hidden="true" name="FDC_63_115" vbProcedure="false">"#"</definedName>
    <definedName function="false" hidden="true" name="FDC_63_116" vbProcedure="false">"#"</definedName>
    <definedName function="false" hidden="true" name="FDC_63_117" vbProcedure="false">"#"</definedName>
    <definedName function="false" hidden="true" name="FDC_63_118" vbProcedure="false">"#"</definedName>
    <definedName function="false" hidden="true" name="FDC_63_119" vbProcedure="false">"#"</definedName>
    <definedName function="false" hidden="true" name="FDC_63_12" vbProcedure="false">"#"</definedName>
    <definedName function="false" hidden="true" name="FDC_63_120" vbProcedure="false">"#"</definedName>
    <definedName function="false" hidden="true" name="FDC_63_121" vbProcedure="false">"#"</definedName>
    <definedName function="false" hidden="true" name="FDC_63_122" vbProcedure="false">"#"</definedName>
    <definedName function="false" hidden="true" name="FDC_63_123" vbProcedure="false">"#"</definedName>
    <definedName function="false" hidden="true" name="FDC_63_124" vbProcedure="false">"#"</definedName>
    <definedName function="false" hidden="true" name="FDC_63_125" vbProcedure="false">"#"</definedName>
    <definedName function="false" hidden="true" name="FDC_63_126" vbProcedure="false">"#"</definedName>
    <definedName function="false" hidden="true" name="FDC_63_127" vbProcedure="false">"#"</definedName>
    <definedName function="false" hidden="true" name="FDC_63_128" vbProcedure="false">"#"</definedName>
    <definedName function="false" hidden="true" name="FDC_63_129" vbProcedure="false">"#"</definedName>
    <definedName function="false" hidden="true" name="FDC_63_13" vbProcedure="false">"#"</definedName>
    <definedName function="false" hidden="true" name="FDC_63_130" vbProcedure="false">"#"</definedName>
    <definedName function="false" hidden="true" name="FDC_63_131" vbProcedure="false">"#"</definedName>
    <definedName function="false" hidden="true" name="FDC_63_132" vbProcedure="false">"#"</definedName>
    <definedName function="false" hidden="true" name="FDC_63_133" vbProcedure="false">"#"</definedName>
    <definedName function="false" hidden="true" name="FDC_63_134" vbProcedure="false">"#"</definedName>
    <definedName function="false" hidden="true" name="FDC_63_135" vbProcedure="false">"#"</definedName>
    <definedName function="false" hidden="true" name="FDC_63_136" vbProcedure="false">"#"</definedName>
    <definedName function="false" hidden="true" name="FDC_63_137" vbProcedure="false">"#"</definedName>
    <definedName function="false" hidden="true" name="FDC_63_138" vbProcedure="false">"#"</definedName>
    <definedName function="false" hidden="true" name="FDC_63_139" vbProcedure="false">"#"</definedName>
    <definedName function="false" hidden="true" name="FDC_63_14" vbProcedure="false">"#"</definedName>
    <definedName function="false" hidden="true" name="FDC_63_140" vbProcedure="false">"#"</definedName>
    <definedName function="false" hidden="true" name="FDC_63_141" vbProcedure="false">"#"</definedName>
    <definedName function="false" hidden="true" name="FDC_63_142" vbProcedure="false">"#"</definedName>
    <definedName function="false" hidden="true" name="FDC_63_143" vbProcedure="false">"#"</definedName>
    <definedName function="false" hidden="true" name="FDC_63_144" vbProcedure="false">"#"</definedName>
    <definedName function="false" hidden="true" name="FDC_63_145" vbProcedure="false">"#"</definedName>
    <definedName function="false" hidden="true" name="FDC_63_146" vbProcedure="false">"#"</definedName>
    <definedName function="false" hidden="true" name="FDC_63_147" vbProcedure="false">"#"</definedName>
    <definedName function="false" hidden="true" name="FDC_63_148" vbProcedure="false">"#"</definedName>
    <definedName function="false" hidden="true" name="FDC_63_149" vbProcedure="false">"#"</definedName>
    <definedName function="false" hidden="true" name="FDC_63_15" vbProcedure="false">"#"</definedName>
    <definedName function="false" hidden="true" name="FDC_63_150" vbProcedure="false">"#"</definedName>
    <definedName function="false" hidden="true" name="FDC_63_151" vbProcedure="false">"#"</definedName>
    <definedName function="false" hidden="true" name="FDC_63_152" vbProcedure="false">"#"</definedName>
    <definedName function="false" hidden="true" name="FDC_63_153" vbProcedure="false">"#"</definedName>
    <definedName function="false" hidden="true" name="FDC_63_154" vbProcedure="false">"#"</definedName>
    <definedName function="false" hidden="true" name="FDC_63_155" vbProcedure="false">"#"</definedName>
    <definedName function="false" hidden="true" name="FDC_63_156" vbProcedure="false">"#"</definedName>
    <definedName function="false" hidden="true" name="FDC_63_157" vbProcedure="false">"#"</definedName>
    <definedName function="false" hidden="true" name="FDC_63_158" vbProcedure="false">"#"</definedName>
    <definedName function="false" hidden="true" name="FDC_63_159" vbProcedure="false">"#"</definedName>
    <definedName function="false" hidden="true" name="FDC_63_16" vbProcedure="false">"#"</definedName>
    <definedName function="false" hidden="true" name="FDC_63_160" vbProcedure="false">"#"</definedName>
    <definedName function="false" hidden="true" name="FDC_63_161" vbProcedure="false">"#"</definedName>
    <definedName function="false" hidden="true" name="FDC_63_162" vbProcedure="false">"#"</definedName>
    <definedName function="false" hidden="true" name="FDC_63_163" vbProcedure="false">"#"</definedName>
    <definedName function="false" hidden="true" name="FDC_63_164" vbProcedure="false">"#"</definedName>
    <definedName function="false" hidden="true" name="FDC_63_165" vbProcedure="false">"#"</definedName>
    <definedName function="false" hidden="true" name="FDC_63_166" vbProcedure="false">"#"</definedName>
    <definedName function="false" hidden="true" name="FDC_63_167" vbProcedure="false">"#"</definedName>
    <definedName function="false" hidden="true" name="FDC_63_168" vbProcedure="false">"#"</definedName>
    <definedName function="false" hidden="true" name="FDC_63_169" vbProcedure="false">"#"</definedName>
    <definedName function="false" hidden="true" name="FDC_63_17" vbProcedure="false">"#"</definedName>
    <definedName function="false" hidden="true" name="FDC_63_170" vbProcedure="false">"#"</definedName>
    <definedName function="false" hidden="true" name="FDC_63_171" vbProcedure="false">"#"</definedName>
    <definedName function="false" hidden="true" name="FDC_63_172" vbProcedure="false">"#"</definedName>
    <definedName function="false" hidden="true" name="FDC_63_173" vbProcedure="false">"#"</definedName>
    <definedName function="false" hidden="true" name="FDC_63_174" vbProcedure="false">"#"</definedName>
    <definedName function="false" hidden="true" name="FDC_63_175" vbProcedure="false">"#"</definedName>
    <definedName function="false" hidden="true" name="FDC_63_176" vbProcedure="false">"#"</definedName>
    <definedName function="false" hidden="true" name="FDC_63_177" vbProcedure="false">"#"</definedName>
    <definedName function="false" hidden="true" name="FDC_63_178" vbProcedure="false">"#"</definedName>
    <definedName function="false" hidden="true" name="FDC_63_179" vbProcedure="false">"#"</definedName>
    <definedName function="false" hidden="true" name="FDC_63_18" vbProcedure="false">"#"</definedName>
    <definedName function="false" hidden="true" name="FDC_63_180" vbProcedure="false">"#"</definedName>
    <definedName function="false" hidden="true" name="FDC_63_181" vbProcedure="false">"#"</definedName>
    <definedName function="false" hidden="true" name="FDC_63_182" vbProcedure="false">"#"</definedName>
    <definedName function="false" hidden="true" name="FDC_63_183" vbProcedure="false">"#"</definedName>
    <definedName function="false" hidden="true" name="FDC_63_184" vbProcedure="false">"#"</definedName>
    <definedName function="false" hidden="true" name="FDC_63_185" vbProcedure="false">"#"</definedName>
    <definedName function="false" hidden="true" name="FDC_63_186" vbProcedure="false">"#"</definedName>
    <definedName function="false" hidden="true" name="FDC_63_187" vbProcedure="false">"#"</definedName>
    <definedName function="false" hidden="true" name="FDC_63_188" vbProcedure="false">"#"</definedName>
    <definedName function="false" hidden="true" name="FDC_63_189" vbProcedure="false">"#"</definedName>
    <definedName function="false" hidden="true" name="FDC_63_19" vbProcedure="false">"#"</definedName>
    <definedName function="false" hidden="true" name="FDC_63_190" vbProcedure="false">"#"</definedName>
    <definedName function="false" hidden="true" name="FDC_63_191" vbProcedure="false">"#"</definedName>
    <definedName function="false" hidden="true" name="FDC_63_192" vbProcedure="false">"#"</definedName>
    <definedName function="false" hidden="true" name="FDC_63_193" vbProcedure="false">"#"</definedName>
    <definedName function="false" hidden="true" name="FDC_63_194" vbProcedure="false">"#"</definedName>
    <definedName function="false" hidden="true" name="FDC_63_195" vbProcedure="false">"#"</definedName>
    <definedName function="false" hidden="true" name="FDC_63_196" vbProcedure="false">"#"</definedName>
    <definedName function="false" hidden="true" name="FDC_63_197" vbProcedure="false">"#"</definedName>
    <definedName function="false" hidden="true" name="FDC_63_198" vbProcedure="false">"#"</definedName>
    <definedName function="false" hidden="true" name="FDC_63_199" vbProcedure="false">"#"</definedName>
    <definedName function="false" hidden="true" name="FDC_63_2" vbProcedure="false">"#"</definedName>
    <definedName function="false" hidden="true" name="FDC_63_20" vbProcedure="false">"#"</definedName>
    <definedName function="false" hidden="true" name="FDC_63_200" vbProcedure="false">"#"</definedName>
    <definedName function="false" hidden="true" name="FDC_63_201" vbProcedure="false">"#"</definedName>
    <definedName function="false" hidden="true" name="FDC_63_202" vbProcedure="false">"#"</definedName>
    <definedName function="false" hidden="true" name="FDC_63_203" vbProcedure="false">"#"</definedName>
    <definedName function="false" hidden="true" name="FDC_63_204" vbProcedure="false">"#"</definedName>
    <definedName function="false" hidden="true" name="FDC_63_205" vbProcedure="false">"#"</definedName>
    <definedName function="false" hidden="true" name="FDC_63_206" vbProcedure="false">"#"</definedName>
    <definedName function="false" hidden="true" name="FDC_63_207" vbProcedure="false">"#"</definedName>
    <definedName function="false" hidden="true" name="FDC_63_208" vbProcedure="false">"#"</definedName>
    <definedName function="false" hidden="true" name="FDC_63_209" vbProcedure="false">"#"</definedName>
    <definedName function="false" hidden="true" name="FDC_63_21" vbProcedure="false">"#"</definedName>
    <definedName function="false" hidden="true" name="FDC_63_210" vbProcedure="false">"#"</definedName>
    <definedName function="false" hidden="true" name="FDC_63_211" vbProcedure="false">"#"</definedName>
    <definedName function="false" hidden="true" name="FDC_63_212" vbProcedure="false">"#"</definedName>
    <definedName function="false" hidden="true" name="FDC_63_213" vbProcedure="false">"#"</definedName>
    <definedName function="false" hidden="true" name="FDC_63_214" vbProcedure="false">"#"</definedName>
    <definedName function="false" hidden="true" name="FDC_63_215" vbProcedure="false">"#"</definedName>
    <definedName function="false" hidden="true" name="FDC_63_216" vbProcedure="false">"#"</definedName>
    <definedName function="false" hidden="true" name="FDC_63_217" vbProcedure="false">"#"</definedName>
    <definedName function="false" hidden="true" name="FDC_63_218" vbProcedure="false">"#"</definedName>
    <definedName function="false" hidden="true" name="FDC_63_219" vbProcedure="false">"#"</definedName>
    <definedName function="false" hidden="true" name="FDC_63_22" vbProcedure="false">"#"</definedName>
    <definedName function="false" hidden="true" name="FDC_63_220" vbProcedure="false">"#"</definedName>
    <definedName function="false" hidden="true" name="FDC_63_221" vbProcedure="false">"#"</definedName>
    <definedName function="false" hidden="true" name="FDC_63_222" vbProcedure="false">"#"</definedName>
    <definedName function="false" hidden="true" name="FDC_63_223" vbProcedure="false">"#"</definedName>
    <definedName function="false" hidden="true" name="FDC_63_224" vbProcedure="false">"#"</definedName>
    <definedName function="false" hidden="true" name="FDC_63_225" vbProcedure="false">"#"</definedName>
    <definedName function="false" hidden="true" name="FDC_63_226" vbProcedure="false">"#"</definedName>
    <definedName function="false" hidden="true" name="FDC_63_227" vbProcedure="false">"#"</definedName>
    <definedName function="false" hidden="true" name="FDC_63_228" vbProcedure="false">"#"</definedName>
    <definedName function="false" hidden="true" name="FDC_63_229" vbProcedure="false">"#"</definedName>
    <definedName function="false" hidden="true" name="FDC_63_23" vbProcedure="false">"#"</definedName>
    <definedName function="false" hidden="true" name="FDC_63_230" vbProcedure="false">"#"</definedName>
    <definedName function="false" hidden="true" name="FDC_63_231" vbProcedure="false">"#"</definedName>
    <definedName function="false" hidden="true" name="FDC_63_232" vbProcedure="false">"#"</definedName>
    <definedName function="false" hidden="true" name="FDC_63_233" vbProcedure="false">"#"</definedName>
    <definedName function="false" hidden="true" name="FDC_63_234" vbProcedure="false">"#"</definedName>
    <definedName function="false" hidden="true" name="FDC_63_235" vbProcedure="false">"#"</definedName>
    <definedName function="false" hidden="true" name="FDC_63_236" vbProcedure="false">"#"</definedName>
    <definedName function="false" hidden="true" name="FDC_63_237" vbProcedure="false">"#"</definedName>
    <definedName function="false" hidden="true" name="FDC_63_238" vbProcedure="false">"#"</definedName>
    <definedName function="false" hidden="true" name="FDC_63_239" vbProcedure="false">"#"</definedName>
    <definedName function="false" hidden="true" name="FDC_63_24" vbProcedure="false">"#"</definedName>
    <definedName function="false" hidden="true" name="FDC_63_240" vbProcedure="false">"#"</definedName>
    <definedName function="false" hidden="true" name="FDC_63_241" vbProcedure="false">"#"</definedName>
    <definedName function="false" hidden="true" name="FDC_63_242" vbProcedure="false">"#"</definedName>
    <definedName function="false" hidden="true" name="FDC_63_243" vbProcedure="false">"#"</definedName>
    <definedName function="false" hidden="true" name="FDC_63_244" vbProcedure="false">"#"</definedName>
    <definedName function="false" hidden="true" name="FDC_63_245" vbProcedure="false">"#"</definedName>
    <definedName function="false" hidden="true" name="FDC_63_246" vbProcedure="false">"#"</definedName>
    <definedName function="false" hidden="true" name="FDC_63_247" vbProcedure="false">"#"</definedName>
    <definedName function="false" hidden="true" name="FDC_63_248" vbProcedure="false">"#"</definedName>
    <definedName function="false" hidden="true" name="FDC_63_249" vbProcedure="false">"#"</definedName>
    <definedName function="false" hidden="true" name="FDC_63_25" vbProcedure="false">"#"</definedName>
    <definedName function="false" hidden="true" name="FDC_63_250" vbProcedure="false">"#"</definedName>
    <definedName function="false" hidden="true" name="FDC_63_251" vbProcedure="false">"#"</definedName>
    <definedName function="false" hidden="true" name="FDC_63_252" vbProcedure="false">"#"</definedName>
    <definedName function="false" hidden="true" name="FDC_63_253" vbProcedure="false">"#"</definedName>
    <definedName function="false" hidden="true" name="FDC_63_254" vbProcedure="false">"#"</definedName>
    <definedName function="false" hidden="true" name="FDC_63_255" vbProcedure="false">"#"</definedName>
    <definedName function="false" hidden="true" name="FDC_63_256" vbProcedure="false">"#"</definedName>
    <definedName function="false" hidden="true" name="FDC_63_257" vbProcedure="false">"#"</definedName>
    <definedName function="false" hidden="true" name="FDC_63_258" vbProcedure="false">"#"</definedName>
    <definedName function="false" hidden="true" name="FDC_63_259" vbProcedure="false">"#"</definedName>
    <definedName function="false" hidden="true" name="FDC_63_26" vbProcedure="false">"#"</definedName>
    <definedName function="false" hidden="true" name="FDC_63_260" vbProcedure="false">"#"</definedName>
    <definedName function="false" hidden="true" name="FDC_63_261" vbProcedure="false">"#"</definedName>
    <definedName function="false" hidden="true" name="FDC_63_27" vbProcedure="false">"#"</definedName>
    <definedName function="false" hidden="true" name="FDC_63_28" vbProcedure="false">"#"</definedName>
    <definedName function="false" hidden="true" name="FDC_63_29" vbProcedure="false">"#"</definedName>
    <definedName function="false" hidden="true" name="FDC_63_3" vbProcedure="false">"#"</definedName>
    <definedName function="false" hidden="true" name="FDC_63_30" vbProcedure="false">"#"</definedName>
    <definedName function="false" hidden="true" name="FDC_63_31" vbProcedure="false">"#"</definedName>
    <definedName function="false" hidden="true" name="FDC_63_32" vbProcedure="false">"#"</definedName>
    <definedName function="false" hidden="true" name="FDC_63_33" vbProcedure="false">"#"</definedName>
    <definedName function="false" hidden="true" name="FDC_63_34" vbProcedure="false">"#"</definedName>
    <definedName function="false" hidden="true" name="FDC_63_35" vbProcedure="false">"#"</definedName>
    <definedName function="false" hidden="true" name="FDC_63_36" vbProcedure="false">"#"</definedName>
    <definedName function="false" hidden="true" name="FDC_63_37" vbProcedure="false">"#"</definedName>
    <definedName function="false" hidden="true" name="FDC_63_38" vbProcedure="false">"#"</definedName>
    <definedName function="false" hidden="true" name="FDC_63_39" vbProcedure="false">"#"</definedName>
    <definedName function="false" hidden="true" name="FDC_63_4" vbProcedure="false">"#"</definedName>
    <definedName function="false" hidden="true" name="FDC_63_40" vbProcedure="false">"#"</definedName>
    <definedName function="false" hidden="true" name="FDC_63_41" vbProcedure="false">"#"</definedName>
    <definedName function="false" hidden="true" name="FDC_63_42" vbProcedure="false">"#"</definedName>
    <definedName function="false" hidden="true" name="FDC_63_43" vbProcedure="false">"#"</definedName>
    <definedName function="false" hidden="true" name="FDC_63_44" vbProcedure="false">"#"</definedName>
    <definedName function="false" hidden="true" name="FDC_63_45" vbProcedure="false">"#"</definedName>
    <definedName function="false" hidden="true" name="FDC_63_46" vbProcedure="false">"#"</definedName>
    <definedName function="false" hidden="true" name="FDC_63_47" vbProcedure="false">"#"</definedName>
    <definedName function="false" hidden="true" name="FDC_63_48" vbProcedure="false">"#"</definedName>
    <definedName function="false" hidden="true" name="FDC_63_49" vbProcedure="false">"#"</definedName>
    <definedName function="false" hidden="true" name="FDC_63_5" vbProcedure="false">"#"</definedName>
    <definedName function="false" hidden="true" name="FDC_63_50" vbProcedure="false">"#"</definedName>
    <definedName function="false" hidden="true" name="FDC_63_51" vbProcedure="false">"#"</definedName>
    <definedName function="false" hidden="true" name="FDC_63_52" vbProcedure="false">"#"</definedName>
    <definedName function="false" hidden="true" name="FDC_63_53" vbProcedure="false">"#"</definedName>
    <definedName function="false" hidden="true" name="FDC_63_54" vbProcedure="false">"#"</definedName>
    <definedName function="false" hidden="true" name="FDC_63_55" vbProcedure="false">"#"</definedName>
    <definedName function="false" hidden="true" name="FDC_63_56" vbProcedure="false">"#"</definedName>
    <definedName function="false" hidden="true" name="FDC_63_57" vbProcedure="false">"#"</definedName>
    <definedName function="false" hidden="true" name="FDC_63_58" vbProcedure="false">"#"</definedName>
    <definedName function="false" hidden="true" name="FDC_63_59" vbProcedure="false">"#"</definedName>
    <definedName function="false" hidden="true" name="FDC_63_6" vbProcedure="false">"#"</definedName>
    <definedName function="false" hidden="true" name="FDC_63_60" vbProcedure="false">"#"</definedName>
    <definedName function="false" hidden="true" name="FDC_63_61" vbProcedure="false">"#"</definedName>
    <definedName function="false" hidden="true" name="FDC_63_62" vbProcedure="false">"#"</definedName>
    <definedName function="false" hidden="true" name="FDC_63_63" vbProcedure="false">"#"</definedName>
    <definedName function="false" hidden="true" name="FDC_63_64" vbProcedure="false">"#"</definedName>
    <definedName function="false" hidden="true" name="FDC_63_65" vbProcedure="false">"#"</definedName>
    <definedName function="false" hidden="true" name="FDC_63_66" vbProcedure="false">"#"</definedName>
    <definedName function="false" hidden="true" name="FDC_63_67" vbProcedure="false">"#"</definedName>
    <definedName function="false" hidden="true" name="FDC_63_68" vbProcedure="false">"#"</definedName>
    <definedName function="false" hidden="true" name="FDC_63_69" vbProcedure="false">"#"</definedName>
    <definedName function="false" hidden="true" name="FDC_63_7" vbProcedure="false">"#"</definedName>
    <definedName function="false" hidden="true" name="FDC_63_70" vbProcedure="false">"#"</definedName>
    <definedName function="false" hidden="true" name="FDC_63_71" vbProcedure="false">"#"</definedName>
    <definedName function="false" hidden="true" name="FDC_63_72" vbProcedure="false">"#"</definedName>
    <definedName function="false" hidden="true" name="FDC_63_73" vbProcedure="false">"#"</definedName>
    <definedName function="false" hidden="true" name="FDC_63_74" vbProcedure="false">"#"</definedName>
    <definedName function="false" hidden="true" name="FDC_63_75" vbProcedure="false">"#"</definedName>
    <definedName function="false" hidden="true" name="FDC_63_76" vbProcedure="false">"#"</definedName>
    <definedName function="false" hidden="true" name="FDC_63_77" vbProcedure="false">"#"</definedName>
    <definedName function="false" hidden="true" name="FDC_63_78" vbProcedure="false">"#"</definedName>
    <definedName function="false" hidden="true" name="FDC_63_79" vbProcedure="false">"#"</definedName>
    <definedName function="false" hidden="true" name="FDC_63_8" vbProcedure="false">"#"</definedName>
    <definedName function="false" hidden="true" name="FDC_63_80" vbProcedure="false">"#"</definedName>
    <definedName function="false" hidden="true" name="FDC_63_81" vbProcedure="false">"#"</definedName>
    <definedName function="false" hidden="true" name="FDC_63_82" vbProcedure="false">"#"</definedName>
    <definedName function="false" hidden="true" name="FDC_63_83" vbProcedure="false">"#"</definedName>
    <definedName function="false" hidden="true" name="FDC_63_84" vbProcedure="false">"#"</definedName>
    <definedName function="false" hidden="true" name="FDC_63_85" vbProcedure="false">"#"</definedName>
    <definedName function="false" hidden="true" name="FDC_63_86" vbProcedure="false">"#"</definedName>
    <definedName function="false" hidden="true" name="FDC_63_87" vbProcedure="false">"#"</definedName>
    <definedName function="false" hidden="true" name="FDC_63_88" vbProcedure="false">"#"</definedName>
    <definedName function="false" hidden="true" name="FDC_63_89" vbProcedure="false">"#"</definedName>
    <definedName function="false" hidden="true" name="FDC_63_9" vbProcedure="false">"#"</definedName>
    <definedName function="false" hidden="true" name="FDC_63_90" vbProcedure="false">"#"</definedName>
    <definedName function="false" hidden="true" name="FDC_63_91" vbProcedure="false">"#"</definedName>
    <definedName function="false" hidden="true" name="FDC_63_92" vbProcedure="false">"#"</definedName>
    <definedName function="false" hidden="true" name="FDC_63_93" vbProcedure="false">"#"</definedName>
    <definedName function="false" hidden="true" name="FDC_63_94" vbProcedure="false">"#"</definedName>
    <definedName function="false" hidden="true" name="FDC_63_95" vbProcedure="false">"#"</definedName>
    <definedName function="false" hidden="true" name="FDC_63_96" vbProcedure="false">"#"</definedName>
    <definedName function="false" hidden="true" name="FDC_63_97" vbProcedure="false">"#"</definedName>
    <definedName function="false" hidden="true" name="FDC_63_98" vbProcedure="false">"#"</definedName>
    <definedName function="false" hidden="true" name="FDC_63_99" vbProcedure="false">"#"</definedName>
    <definedName function="false" hidden="true" name="FDC_64_0" vbProcedure="false">"#"</definedName>
    <definedName function="false" hidden="true" name="FDC_64_1" vbProcedure="false">"#"</definedName>
    <definedName function="false" hidden="true" name="FDC_64_10" vbProcedure="false">"#"</definedName>
    <definedName function="false" hidden="true" name="FDC_64_100" vbProcedure="false">"#"</definedName>
    <definedName function="false" hidden="true" name="FDC_64_101" vbProcedure="false">"#"</definedName>
    <definedName function="false" hidden="true" name="FDC_64_102" vbProcedure="false">"#"</definedName>
    <definedName function="false" hidden="true" name="FDC_64_103" vbProcedure="false">"#"</definedName>
    <definedName function="false" hidden="true" name="FDC_64_104" vbProcedure="false">"#"</definedName>
    <definedName function="false" hidden="true" name="FDC_64_105" vbProcedure="false">"#"</definedName>
    <definedName function="false" hidden="true" name="FDC_64_106" vbProcedure="false">"#"</definedName>
    <definedName function="false" hidden="true" name="FDC_64_107" vbProcedure="false">"#"</definedName>
    <definedName function="false" hidden="true" name="FDC_64_108" vbProcedure="false">"#"</definedName>
    <definedName function="false" hidden="true" name="FDC_64_109" vbProcedure="false">"#"</definedName>
    <definedName function="false" hidden="true" name="FDC_64_11" vbProcedure="false">"#"</definedName>
    <definedName function="false" hidden="true" name="FDC_64_110" vbProcedure="false">"#"</definedName>
    <definedName function="false" hidden="true" name="FDC_64_111" vbProcedure="false">"#"</definedName>
    <definedName function="false" hidden="true" name="FDC_64_112" vbProcedure="false">"#"</definedName>
    <definedName function="false" hidden="true" name="FDC_64_113" vbProcedure="false">"#"</definedName>
    <definedName function="false" hidden="true" name="FDC_64_114" vbProcedure="false">"#"</definedName>
    <definedName function="false" hidden="true" name="FDC_64_115" vbProcedure="false">"#"</definedName>
    <definedName function="false" hidden="true" name="FDC_64_116" vbProcedure="false">"#"</definedName>
    <definedName function="false" hidden="true" name="FDC_64_117" vbProcedure="false">"#"</definedName>
    <definedName function="false" hidden="true" name="FDC_64_118" vbProcedure="false">"#"</definedName>
    <definedName function="false" hidden="true" name="FDC_64_119" vbProcedure="false">"#"</definedName>
    <definedName function="false" hidden="true" name="FDC_64_12" vbProcedure="false">"#"</definedName>
    <definedName function="false" hidden="true" name="FDC_64_120" vbProcedure="false">"#"</definedName>
    <definedName function="false" hidden="true" name="FDC_64_121" vbProcedure="false">"#"</definedName>
    <definedName function="false" hidden="true" name="FDC_64_122" vbProcedure="false">"#"</definedName>
    <definedName function="false" hidden="true" name="FDC_64_123" vbProcedure="false">"#"</definedName>
    <definedName function="false" hidden="true" name="FDC_64_124" vbProcedure="false">"#"</definedName>
    <definedName function="false" hidden="true" name="FDC_64_125" vbProcedure="false">"#"</definedName>
    <definedName function="false" hidden="true" name="FDC_64_126" vbProcedure="false">"#"</definedName>
    <definedName function="false" hidden="true" name="FDC_64_127" vbProcedure="false">"#"</definedName>
    <definedName function="false" hidden="true" name="FDC_64_128" vbProcedure="false">"#"</definedName>
    <definedName function="false" hidden="true" name="FDC_64_129" vbProcedure="false">"#"</definedName>
    <definedName function="false" hidden="true" name="FDC_64_13" vbProcedure="false">"#"</definedName>
    <definedName function="false" hidden="true" name="FDC_64_130" vbProcedure="false">"#"</definedName>
    <definedName function="false" hidden="true" name="FDC_64_131" vbProcedure="false">"#"</definedName>
    <definedName function="false" hidden="true" name="FDC_64_132" vbProcedure="false">"#"</definedName>
    <definedName function="false" hidden="true" name="FDC_64_133" vbProcedure="false">"#"</definedName>
    <definedName function="false" hidden="true" name="FDC_64_134" vbProcedure="false">"#"</definedName>
    <definedName function="false" hidden="true" name="FDC_64_135" vbProcedure="false">"#"</definedName>
    <definedName function="false" hidden="true" name="FDC_64_136" vbProcedure="false">"#"</definedName>
    <definedName function="false" hidden="true" name="FDC_64_137" vbProcedure="false">"#"</definedName>
    <definedName function="false" hidden="true" name="FDC_64_138" vbProcedure="false">"#"</definedName>
    <definedName function="false" hidden="true" name="FDC_64_139" vbProcedure="false">"#"</definedName>
    <definedName function="false" hidden="true" name="FDC_64_14" vbProcedure="false">"#"</definedName>
    <definedName function="false" hidden="true" name="FDC_64_140" vbProcedure="false">"#"</definedName>
    <definedName function="false" hidden="true" name="FDC_64_141" vbProcedure="false">"#"</definedName>
    <definedName function="false" hidden="true" name="FDC_64_142" vbProcedure="false">"#"</definedName>
    <definedName function="false" hidden="true" name="FDC_64_143" vbProcedure="false">"#"</definedName>
    <definedName function="false" hidden="true" name="FDC_64_144" vbProcedure="false">"#"</definedName>
    <definedName function="false" hidden="true" name="FDC_64_145" vbProcedure="false">"#"</definedName>
    <definedName function="false" hidden="true" name="FDC_64_146" vbProcedure="false">"#"</definedName>
    <definedName function="false" hidden="true" name="FDC_64_147" vbProcedure="false">"#"</definedName>
    <definedName function="false" hidden="true" name="FDC_64_148" vbProcedure="false">"#"</definedName>
    <definedName function="false" hidden="true" name="FDC_64_149" vbProcedure="false">"#"</definedName>
    <definedName function="false" hidden="true" name="FDC_64_15" vbProcedure="false">"#"</definedName>
    <definedName function="false" hidden="true" name="FDC_64_150" vbProcedure="false">"#"</definedName>
    <definedName function="false" hidden="true" name="FDC_64_151" vbProcedure="false">"#"</definedName>
    <definedName function="false" hidden="true" name="FDC_64_152" vbProcedure="false">"#"</definedName>
    <definedName function="false" hidden="true" name="FDC_64_153" vbProcedure="false">"#"</definedName>
    <definedName function="false" hidden="true" name="FDC_64_154" vbProcedure="false">"#"</definedName>
    <definedName function="false" hidden="true" name="FDC_64_155" vbProcedure="false">"#"</definedName>
    <definedName function="false" hidden="true" name="FDC_64_156" vbProcedure="false">"#"</definedName>
    <definedName function="false" hidden="true" name="FDC_64_157" vbProcedure="false">"#"</definedName>
    <definedName function="false" hidden="true" name="FDC_64_158" vbProcedure="false">"#"</definedName>
    <definedName function="false" hidden="true" name="FDC_64_159" vbProcedure="false">"#"</definedName>
    <definedName function="false" hidden="true" name="FDC_64_16" vbProcedure="false">"#"</definedName>
    <definedName function="false" hidden="true" name="FDC_64_160" vbProcedure="false">"#"</definedName>
    <definedName function="false" hidden="true" name="FDC_64_161" vbProcedure="false">"#"</definedName>
    <definedName function="false" hidden="true" name="FDC_64_162" vbProcedure="false">"#"</definedName>
    <definedName function="false" hidden="true" name="FDC_64_163" vbProcedure="false">"#"</definedName>
    <definedName function="false" hidden="true" name="FDC_64_164" vbProcedure="false">"#"</definedName>
    <definedName function="false" hidden="true" name="FDC_64_165" vbProcedure="false">"#"</definedName>
    <definedName function="false" hidden="true" name="FDC_64_166" vbProcedure="false">"#"</definedName>
    <definedName function="false" hidden="true" name="FDC_64_167" vbProcedure="false">"#"</definedName>
    <definedName function="false" hidden="true" name="FDC_64_168" vbProcedure="false">"#"</definedName>
    <definedName function="false" hidden="true" name="FDC_64_169" vbProcedure="false">"#"</definedName>
    <definedName function="false" hidden="true" name="FDC_64_17" vbProcedure="false">"#"</definedName>
    <definedName function="false" hidden="true" name="FDC_64_170" vbProcedure="false">"#"</definedName>
    <definedName function="false" hidden="true" name="FDC_64_171" vbProcedure="false">"#"</definedName>
    <definedName function="false" hidden="true" name="FDC_64_172" vbProcedure="false">"#"</definedName>
    <definedName function="false" hidden="true" name="FDC_64_173" vbProcedure="false">"#"</definedName>
    <definedName function="false" hidden="true" name="FDC_64_174" vbProcedure="false">"#"</definedName>
    <definedName function="false" hidden="true" name="FDC_64_175" vbProcedure="false">"#"</definedName>
    <definedName function="false" hidden="true" name="FDC_64_176" vbProcedure="false">"#"</definedName>
    <definedName function="false" hidden="true" name="FDC_64_177" vbProcedure="false">"#"</definedName>
    <definedName function="false" hidden="true" name="FDC_64_178" vbProcedure="false">"#"</definedName>
    <definedName function="false" hidden="true" name="FDC_64_179" vbProcedure="false">"#"</definedName>
    <definedName function="false" hidden="true" name="FDC_64_18" vbProcedure="false">"#"</definedName>
    <definedName function="false" hidden="true" name="FDC_64_180" vbProcedure="false">"#"</definedName>
    <definedName function="false" hidden="true" name="FDC_64_181" vbProcedure="false">"#"</definedName>
    <definedName function="false" hidden="true" name="FDC_64_182" vbProcedure="false">"#"</definedName>
    <definedName function="false" hidden="true" name="FDC_64_183" vbProcedure="false">"#"</definedName>
    <definedName function="false" hidden="true" name="FDC_64_184" vbProcedure="false">"#"</definedName>
    <definedName function="false" hidden="true" name="FDC_64_185" vbProcedure="false">"#"</definedName>
    <definedName function="false" hidden="true" name="FDC_64_186" vbProcedure="false">"#"</definedName>
    <definedName function="false" hidden="true" name="FDC_64_187" vbProcedure="false">"#"</definedName>
    <definedName function="false" hidden="true" name="FDC_64_188" vbProcedure="false">"#"</definedName>
    <definedName function="false" hidden="true" name="FDC_64_189" vbProcedure="false">"#"</definedName>
    <definedName function="false" hidden="true" name="FDC_64_19" vbProcedure="false">"#"</definedName>
    <definedName function="false" hidden="true" name="FDC_64_190" vbProcedure="false">"#"</definedName>
    <definedName function="false" hidden="true" name="FDC_64_191" vbProcedure="false">"#"</definedName>
    <definedName function="false" hidden="true" name="FDC_64_192" vbProcedure="false">"#"</definedName>
    <definedName function="false" hidden="true" name="FDC_64_193" vbProcedure="false">"#"</definedName>
    <definedName function="false" hidden="true" name="FDC_64_194" vbProcedure="false">"#"</definedName>
    <definedName function="false" hidden="true" name="FDC_64_195" vbProcedure="false">"#"</definedName>
    <definedName function="false" hidden="true" name="FDC_64_196" vbProcedure="false">"#"</definedName>
    <definedName function="false" hidden="true" name="FDC_64_197" vbProcedure="false">"#"</definedName>
    <definedName function="false" hidden="true" name="FDC_64_198" vbProcedure="false">"#"</definedName>
    <definedName function="false" hidden="true" name="FDC_64_199" vbProcedure="false">"#"</definedName>
    <definedName function="false" hidden="true" name="FDC_64_2" vbProcedure="false">"#"</definedName>
    <definedName function="false" hidden="true" name="FDC_64_20" vbProcedure="false">"#"</definedName>
    <definedName function="false" hidden="true" name="FDC_64_200" vbProcedure="false">"#"</definedName>
    <definedName function="false" hidden="true" name="FDC_64_201" vbProcedure="false">"#"</definedName>
    <definedName function="false" hidden="true" name="FDC_64_202" vbProcedure="false">"#"</definedName>
    <definedName function="false" hidden="true" name="FDC_64_203" vbProcedure="false">"#"</definedName>
    <definedName function="false" hidden="true" name="FDC_64_204" vbProcedure="false">"#"</definedName>
    <definedName function="false" hidden="true" name="FDC_64_205" vbProcedure="false">"#"</definedName>
    <definedName function="false" hidden="true" name="FDC_64_206" vbProcedure="false">"#"</definedName>
    <definedName function="false" hidden="true" name="FDC_64_207" vbProcedure="false">"#"</definedName>
    <definedName function="false" hidden="true" name="FDC_64_208" vbProcedure="false">"#"</definedName>
    <definedName function="false" hidden="true" name="FDC_64_209" vbProcedure="false">"#"</definedName>
    <definedName function="false" hidden="true" name="FDC_64_21" vbProcedure="false">"#"</definedName>
    <definedName function="false" hidden="true" name="FDC_64_210" vbProcedure="false">"#"</definedName>
    <definedName function="false" hidden="true" name="FDC_64_211" vbProcedure="false">"#"</definedName>
    <definedName function="false" hidden="true" name="FDC_64_212" vbProcedure="false">"#"</definedName>
    <definedName function="false" hidden="true" name="FDC_64_213" vbProcedure="false">"#"</definedName>
    <definedName function="false" hidden="true" name="FDC_64_214" vbProcedure="false">"#"</definedName>
    <definedName function="false" hidden="true" name="FDC_64_215" vbProcedure="false">"#"</definedName>
    <definedName function="false" hidden="true" name="FDC_64_216" vbProcedure="false">"#"</definedName>
    <definedName function="false" hidden="true" name="FDC_64_217" vbProcedure="false">"#"</definedName>
    <definedName function="false" hidden="true" name="FDC_64_218" vbProcedure="false">"#"</definedName>
    <definedName function="false" hidden="true" name="FDC_64_219" vbProcedure="false">"#"</definedName>
    <definedName function="false" hidden="true" name="FDC_64_22" vbProcedure="false">"#"</definedName>
    <definedName function="false" hidden="true" name="FDC_64_220" vbProcedure="false">"#"</definedName>
    <definedName function="false" hidden="true" name="FDC_64_221" vbProcedure="false">"#"</definedName>
    <definedName function="false" hidden="true" name="FDC_64_222" vbProcedure="false">"#"</definedName>
    <definedName function="false" hidden="true" name="FDC_64_223" vbProcedure="false">"#"</definedName>
    <definedName function="false" hidden="true" name="FDC_64_224" vbProcedure="false">"#"</definedName>
    <definedName function="false" hidden="true" name="FDC_64_225" vbProcedure="false">"#"</definedName>
    <definedName function="false" hidden="true" name="FDC_64_226" vbProcedure="false">"#"</definedName>
    <definedName function="false" hidden="true" name="FDC_64_227" vbProcedure="false">"#"</definedName>
    <definedName function="false" hidden="true" name="FDC_64_228" vbProcedure="false">"#"</definedName>
    <definedName function="false" hidden="true" name="FDC_64_229" vbProcedure="false">"#"</definedName>
    <definedName function="false" hidden="true" name="FDC_64_23" vbProcedure="false">"#"</definedName>
    <definedName function="false" hidden="true" name="FDC_64_230" vbProcedure="false">"#"</definedName>
    <definedName function="false" hidden="true" name="FDC_64_231" vbProcedure="false">"#"</definedName>
    <definedName function="false" hidden="true" name="FDC_64_232" vbProcedure="false">"#"</definedName>
    <definedName function="false" hidden="true" name="FDC_64_233" vbProcedure="false">"#"</definedName>
    <definedName function="false" hidden="true" name="FDC_64_234" vbProcedure="false">"#"</definedName>
    <definedName function="false" hidden="true" name="FDC_64_235" vbProcedure="false">"#"</definedName>
    <definedName function="false" hidden="true" name="FDC_64_236" vbProcedure="false">"#"</definedName>
    <definedName function="false" hidden="true" name="FDC_64_237" vbProcedure="false">"#"</definedName>
    <definedName function="false" hidden="true" name="FDC_64_238" vbProcedure="false">"#"</definedName>
    <definedName function="false" hidden="true" name="FDC_64_239" vbProcedure="false">"#"</definedName>
    <definedName function="false" hidden="true" name="FDC_64_24" vbProcedure="false">"#"</definedName>
    <definedName function="false" hidden="true" name="FDC_64_240" vbProcedure="false">"#"</definedName>
    <definedName function="false" hidden="true" name="FDC_64_241" vbProcedure="false">"#"</definedName>
    <definedName function="false" hidden="true" name="FDC_64_242" vbProcedure="false">"#"</definedName>
    <definedName function="false" hidden="true" name="FDC_64_243" vbProcedure="false">"#"</definedName>
    <definedName function="false" hidden="true" name="FDC_64_244" vbProcedure="false">"#"</definedName>
    <definedName function="false" hidden="true" name="FDC_64_245" vbProcedure="false">"#"</definedName>
    <definedName function="false" hidden="true" name="FDC_64_246" vbProcedure="false">"#"</definedName>
    <definedName function="false" hidden="true" name="FDC_64_247" vbProcedure="false">"#"</definedName>
    <definedName function="false" hidden="true" name="FDC_64_248" vbProcedure="false">"#"</definedName>
    <definedName function="false" hidden="true" name="FDC_64_249" vbProcedure="false">"#"</definedName>
    <definedName function="false" hidden="true" name="FDC_64_25" vbProcedure="false">"#"</definedName>
    <definedName function="false" hidden="true" name="FDC_64_250" vbProcedure="false">"#"</definedName>
    <definedName function="false" hidden="true" name="FDC_64_251" vbProcedure="false">"#"</definedName>
    <definedName function="false" hidden="true" name="FDC_64_252" vbProcedure="false">"#"</definedName>
    <definedName function="false" hidden="true" name="FDC_64_253" vbProcedure="false">"#"</definedName>
    <definedName function="false" hidden="true" name="FDC_64_254" vbProcedure="false">"#"</definedName>
    <definedName function="false" hidden="true" name="FDC_64_255" vbProcedure="false">"#"</definedName>
    <definedName function="false" hidden="true" name="FDC_64_256" vbProcedure="false">"#"</definedName>
    <definedName function="false" hidden="true" name="FDC_64_257" vbProcedure="false">"#"</definedName>
    <definedName function="false" hidden="true" name="FDC_64_258" vbProcedure="false">"#"</definedName>
    <definedName function="false" hidden="true" name="FDC_64_259" vbProcedure="false">"#"</definedName>
    <definedName function="false" hidden="true" name="FDC_64_26" vbProcedure="false">"#"</definedName>
    <definedName function="false" hidden="true" name="FDC_64_260" vbProcedure="false">"#"</definedName>
    <definedName function="false" hidden="true" name="FDC_64_261" vbProcedure="false">"#"</definedName>
    <definedName function="false" hidden="true" name="FDC_64_27" vbProcedure="false">"#"</definedName>
    <definedName function="false" hidden="true" name="FDC_64_28" vbProcedure="false">"#"</definedName>
    <definedName function="false" hidden="true" name="FDC_64_29" vbProcedure="false">"#"</definedName>
    <definedName function="false" hidden="true" name="FDC_64_3" vbProcedure="false">"#"</definedName>
    <definedName function="false" hidden="true" name="FDC_64_30" vbProcedure="false">"#"</definedName>
    <definedName function="false" hidden="true" name="FDC_64_31" vbProcedure="false">"#"</definedName>
    <definedName function="false" hidden="true" name="FDC_64_32" vbProcedure="false">"#"</definedName>
    <definedName function="false" hidden="true" name="FDC_64_33" vbProcedure="false">"#"</definedName>
    <definedName function="false" hidden="true" name="FDC_64_34" vbProcedure="false">"#"</definedName>
    <definedName function="false" hidden="true" name="FDC_64_35" vbProcedure="false">"#"</definedName>
    <definedName function="false" hidden="true" name="FDC_64_36" vbProcedure="false">"#"</definedName>
    <definedName function="false" hidden="true" name="FDC_64_37" vbProcedure="false">"#"</definedName>
    <definedName function="false" hidden="true" name="FDC_64_38" vbProcedure="false">"#"</definedName>
    <definedName function="false" hidden="true" name="FDC_64_39" vbProcedure="false">"#"</definedName>
    <definedName function="false" hidden="true" name="FDC_64_4" vbProcedure="false">"#"</definedName>
    <definedName function="false" hidden="true" name="FDC_64_40" vbProcedure="false">"#"</definedName>
    <definedName function="false" hidden="true" name="FDC_64_41" vbProcedure="false">"#"</definedName>
    <definedName function="false" hidden="true" name="FDC_64_42" vbProcedure="false">"#"</definedName>
    <definedName function="false" hidden="true" name="FDC_64_43" vbProcedure="false">"#"</definedName>
    <definedName function="false" hidden="true" name="FDC_64_44" vbProcedure="false">"#"</definedName>
    <definedName function="false" hidden="true" name="FDC_64_45" vbProcedure="false">"#"</definedName>
    <definedName function="false" hidden="true" name="FDC_64_46" vbProcedure="false">"#"</definedName>
    <definedName function="false" hidden="true" name="FDC_64_47" vbProcedure="false">"#"</definedName>
    <definedName function="false" hidden="true" name="FDC_64_48" vbProcedure="false">"#"</definedName>
    <definedName function="false" hidden="true" name="FDC_64_49" vbProcedure="false">"#"</definedName>
    <definedName function="false" hidden="true" name="FDC_64_5" vbProcedure="false">"#"</definedName>
    <definedName function="false" hidden="true" name="FDC_64_50" vbProcedure="false">"#"</definedName>
    <definedName function="false" hidden="true" name="FDC_64_51" vbProcedure="false">"#"</definedName>
    <definedName function="false" hidden="true" name="FDC_64_52" vbProcedure="false">"#"</definedName>
    <definedName function="false" hidden="true" name="FDC_64_53" vbProcedure="false">"#"</definedName>
    <definedName function="false" hidden="true" name="FDC_64_54" vbProcedure="false">"#"</definedName>
    <definedName function="false" hidden="true" name="FDC_64_55" vbProcedure="false">"#"</definedName>
    <definedName function="false" hidden="true" name="FDC_64_56" vbProcedure="false">"#"</definedName>
    <definedName function="false" hidden="true" name="FDC_64_57" vbProcedure="false">"#"</definedName>
    <definedName function="false" hidden="true" name="FDC_64_58" vbProcedure="false">"#"</definedName>
    <definedName function="false" hidden="true" name="FDC_64_59" vbProcedure="false">"#"</definedName>
    <definedName function="false" hidden="true" name="FDC_64_6" vbProcedure="false">"#"</definedName>
    <definedName function="false" hidden="true" name="FDC_64_60" vbProcedure="false">"#"</definedName>
    <definedName function="false" hidden="true" name="FDC_64_61" vbProcedure="false">"#"</definedName>
    <definedName function="false" hidden="true" name="FDC_64_62" vbProcedure="false">"#"</definedName>
    <definedName function="false" hidden="true" name="FDC_64_63" vbProcedure="false">"#"</definedName>
    <definedName function="false" hidden="true" name="FDC_64_64" vbProcedure="false">"#"</definedName>
    <definedName function="false" hidden="true" name="FDC_64_65" vbProcedure="false">"#"</definedName>
    <definedName function="false" hidden="true" name="FDC_64_66" vbProcedure="false">"#"</definedName>
    <definedName function="false" hidden="true" name="FDC_64_67" vbProcedure="false">"#"</definedName>
    <definedName function="false" hidden="true" name="FDC_64_68" vbProcedure="false">"#"</definedName>
    <definedName function="false" hidden="true" name="FDC_64_69" vbProcedure="false">"#"</definedName>
    <definedName function="false" hidden="true" name="FDC_64_7" vbProcedure="false">"#"</definedName>
    <definedName function="false" hidden="true" name="FDC_64_70" vbProcedure="false">"#"</definedName>
    <definedName function="false" hidden="true" name="FDC_64_71" vbProcedure="false">"#"</definedName>
    <definedName function="false" hidden="true" name="FDC_64_72" vbProcedure="false">"#"</definedName>
    <definedName function="false" hidden="true" name="FDC_64_73" vbProcedure="false">"#"</definedName>
    <definedName function="false" hidden="true" name="FDC_64_74" vbProcedure="false">"#"</definedName>
    <definedName function="false" hidden="true" name="FDC_64_75" vbProcedure="false">"#"</definedName>
    <definedName function="false" hidden="true" name="FDC_64_76" vbProcedure="false">"#"</definedName>
    <definedName function="false" hidden="true" name="FDC_64_77" vbProcedure="false">"#"</definedName>
    <definedName function="false" hidden="true" name="FDC_64_78" vbProcedure="false">"#"</definedName>
    <definedName function="false" hidden="true" name="FDC_64_79" vbProcedure="false">"#"</definedName>
    <definedName function="false" hidden="true" name="FDC_64_8" vbProcedure="false">"#"</definedName>
    <definedName function="false" hidden="true" name="FDC_64_80" vbProcedure="false">"#"</definedName>
    <definedName function="false" hidden="true" name="FDC_64_81" vbProcedure="false">"#"</definedName>
    <definedName function="false" hidden="true" name="FDC_64_82" vbProcedure="false">"#"</definedName>
    <definedName function="false" hidden="true" name="FDC_64_83" vbProcedure="false">"#"</definedName>
    <definedName function="false" hidden="true" name="FDC_64_84" vbProcedure="false">"#"</definedName>
    <definedName function="false" hidden="true" name="FDC_64_85" vbProcedure="false">"#"</definedName>
    <definedName function="false" hidden="true" name="FDC_64_86" vbProcedure="false">"#"</definedName>
    <definedName function="false" hidden="true" name="FDC_64_87" vbProcedure="false">"#"</definedName>
    <definedName function="false" hidden="true" name="FDC_64_88" vbProcedure="false">"#"</definedName>
    <definedName function="false" hidden="true" name="FDC_64_89" vbProcedure="false">"#"</definedName>
    <definedName function="false" hidden="true" name="FDC_64_9" vbProcedure="false">"#"</definedName>
    <definedName function="false" hidden="true" name="FDC_64_90" vbProcedure="false">"#"</definedName>
    <definedName function="false" hidden="true" name="FDC_64_91" vbProcedure="false">"#"</definedName>
    <definedName function="false" hidden="true" name="FDC_64_92" vbProcedure="false">"#"</definedName>
    <definedName function="false" hidden="true" name="FDC_64_93" vbProcedure="false">"#"</definedName>
    <definedName function="false" hidden="true" name="FDC_64_94" vbProcedure="false">"#"</definedName>
    <definedName function="false" hidden="true" name="FDC_64_95" vbProcedure="false">"#"</definedName>
    <definedName function="false" hidden="true" name="FDC_64_96" vbProcedure="false">"#"</definedName>
    <definedName function="false" hidden="true" name="FDC_64_97" vbProcedure="false">"#"</definedName>
    <definedName function="false" hidden="true" name="FDC_64_98" vbProcedure="false">"#"</definedName>
    <definedName function="false" hidden="true" name="FDC_64_99" vbProcedure="false">"#"</definedName>
    <definedName function="false" hidden="true" name="FDC_65_0" vbProcedure="false">"#"</definedName>
    <definedName function="false" hidden="true" name="FDC_6_0" vbProcedure="false">"#"</definedName>
    <definedName function="false" hidden="true" name="FDC_6_1" vbProcedure="false">"#"</definedName>
    <definedName function="false" hidden="true" name="FDC_6_2" vbProcedure="false">"#"</definedName>
    <definedName function="false" hidden="true" name="FDC_6_3" vbProcedure="false">"#"</definedName>
    <definedName function="false" hidden="true" name="FDC_7_0" vbProcedure="false">"#"</definedName>
    <definedName function="false" hidden="true" name="FDC_7_1" vbProcedure="false">"#"</definedName>
    <definedName function="false" hidden="true" name="FDC_7_2" vbProcedure="false">"#"</definedName>
    <definedName function="false" hidden="true" name="FDC_7_3" vbProcedure="false">"#"</definedName>
    <definedName function="false" hidden="true" name="FDC_8_0" vbProcedure="false">"#"</definedName>
    <definedName function="false" hidden="true" name="FDC_8_1" vbProcedure="false">"#"</definedName>
    <definedName function="false" hidden="true" name="FDC_8_2" vbProcedure="false">"#"</definedName>
    <definedName function="false" hidden="true" name="FDC_8_3" vbProcedure="false">"#"</definedName>
    <definedName function="false" hidden="true" name="FDC_9_0" vbProcedure="false">"#"</definedName>
    <definedName function="false" hidden="true" name="FDC_9_1" vbProcedure="false">"#"</definedName>
    <definedName function="false" hidden="true" name="FDC_9_2" vbProcedure="false">"#"</definedName>
    <definedName function="false" hidden="true" name="FDC_9_3" vbProcedure="false">"#"</definedName>
    <definedName function="false" hidden="true" name="fddf" vbProcedure="false">{#N/A,#N/A,FALSE,"TB";#N/A,#N/A,FALSE,"AR";#N/A,#N/A,FALSE,"BS";#N/A,#N/A,FALSE,"PL";#N/A,#N/A,FALSE,"NOTES";#N/A,#N/A,FALSE,"NOTES (2)";#N/A,#N/A,FALSE,"NOTES (3)";#N/A,#N/A,FALSE,"TAXC.INDEX";#N/A,#N/A,FALSE,"Schedule I";#N/A,#N/A,FALSE,"DPL";#N/A,#N/A,FALSE,"Schedule IV";#N/A,#N/A,FALSE,"Adjustments"}</definedName>
    <definedName function="false" hidden="true" name="fddfdf" vbProcedure="false">{#N/A,#N/A,FALSE,"Presentation by Unit";#N/A,#N/A,FALSE,"Presentation by BD";#N/A,#N/A,FALSE,"Presentation Split by Biggest U";#N/A,#N/A,FALSE,"Presentation Split by Area";#N/A,#N/A,FALSE,"Presentation Split by BD"}</definedName>
    <definedName function="false" hidden="true" name="FDD_0_0" vbProcedure="false">"A30681"</definedName>
    <definedName function="false" hidden="true" name="FDD_0_1" vbProcedure="false">"A31047"</definedName>
    <definedName function="false" hidden="true" name="FDD_0_10" vbProcedure="false">"A34334"</definedName>
    <definedName function="false" hidden="true" name="FDD_0_11" vbProcedure="false">"A34699"</definedName>
    <definedName function="false" hidden="true" name="FDD_0_12" vbProcedure="false">"A35064"</definedName>
    <definedName function="false" hidden="true" name="FDD_0_13" vbProcedure="false">"A35430"</definedName>
    <definedName function="false" hidden="true" name="FDD_0_14" vbProcedure="false">"A35795"</definedName>
    <definedName function="false" hidden="true" name="FDD_0_2" vbProcedure="false">"A31412"</definedName>
    <definedName function="false" hidden="true" name="FDD_0_3" vbProcedure="false">"A31777"</definedName>
    <definedName function="false" hidden="true" name="FDD_0_4" vbProcedure="false">"A32142"</definedName>
    <definedName function="false" hidden="true" name="FDD_0_5" vbProcedure="false">"A32508"</definedName>
    <definedName function="false" hidden="true" name="FDD_0_6" vbProcedure="false">"A32873"</definedName>
    <definedName function="false" hidden="true" name="FDD_0_7" vbProcedure="false">"A33238"</definedName>
    <definedName function="false" hidden="true" name="FDD_0_8" vbProcedure="false">"A33603"</definedName>
    <definedName function="false" hidden="true" name="FDD_0_9" vbProcedure="false">"A33969"</definedName>
    <definedName function="false" hidden="true" name="FDD_100_0" vbProcedure="false">"A25569"</definedName>
    <definedName function="false" hidden="true" name="FDD_101_0" vbProcedure="false">"A25569"</definedName>
    <definedName function="false" hidden="true" name="FDD_102_0" vbProcedure="false">"A25569"</definedName>
    <definedName function="false" hidden="true" name="FDD_103_0" vbProcedure="false">"A25569"</definedName>
    <definedName function="false" hidden="true" name="FDD_104_0" vbProcedure="false">"A25569"</definedName>
    <definedName function="false" hidden="true" name="FDD_105_0" vbProcedure="false">"A25569"</definedName>
    <definedName function="false" hidden="true" name="FDD_106_0" vbProcedure="false">"A25569"</definedName>
    <definedName function="false" hidden="true" name="FDD_107_0" vbProcedure="false">"A25569"</definedName>
    <definedName function="false" hidden="true" name="FDD_108_0" vbProcedure="false">"A25569"</definedName>
    <definedName function="false" hidden="true" name="FDD_109_0" vbProcedure="false">"A25569"</definedName>
    <definedName function="false" hidden="true" name="FDD_10_0" vbProcedure="false">"A25569"</definedName>
    <definedName function="false" hidden="true" name="FDD_10_1" vbProcedure="false">"A35795"</definedName>
    <definedName function="false" hidden="true" name="FDD_10_2" vbProcedure="false">"A36160"</definedName>
    <definedName function="false" hidden="true" name="FDD_10_3" vbProcedure="false">"E36525"</definedName>
    <definedName function="false" hidden="true" name="FDD_110_0" vbProcedure="false">"A25569"</definedName>
    <definedName function="false" hidden="true" name="FDD_111_0" vbProcedure="false">"A25569"</definedName>
    <definedName function="false" hidden="true" name="FDD_112_0" vbProcedure="false">"A25569"</definedName>
    <definedName function="false" hidden="true" name="FDD_113_0" vbProcedure="false">"A25569"</definedName>
    <definedName function="false" hidden="true" name="FDD_114_0" vbProcedure="false">"A25569"</definedName>
    <definedName function="false" hidden="true" name="FDD_115_0" vbProcedure="false">"A25569"</definedName>
    <definedName function="false" hidden="true" name="FDD_116_0" vbProcedure="false">"A25569"</definedName>
    <definedName function="false" hidden="true" name="FDD_117_0" vbProcedure="false">"A30681"</definedName>
    <definedName function="false" hidden="true" name="FDD_117_1" vbProcedure="false">"A31047"</definedName>
    <definedName function="false" hidden="true" name="FDD_117_10" vbProcedure="false">"A34334"</definedName>
    <definedName function="false" hidden="true" name="FDD_117_11" vbProcedure="false">"A34699"</definedName>
    <definedName function="false" hidden="true" name="FDD_117_12" vbProcedure="false">"A35064"</definedName>
    <definedName function="false" hidden="true" name="FDD_117_13" vbProcedure="false">"A35430"</definedName>
    <definedName function="false" hidden="true" name="FDD_117_14" vbProcedure="false">"A35795"</definedName>
    <definedName function="false" hidden="true" name="FDD_117_2" vbProcedure="false">"A31412"</definedName>
    <definedName function="false" hidden="true" name="FDD_117_3" vbProcedure="false">"A31777"</definedName>
    <definedName function="false" hidden="true" name="FDD_117_4" vbProcedure="false">"A32142"</definedName>
    <definedName function="false" hidden="true" name="FDD_117_5" vbProcedure="false">"A32508"</definedName>
    <definedName function="false" hidden="true" name="FDD_117_6" vbProcedure="false">"A32873"</definedName>
    <definedName function="false" hidden="true" name="FDD_117_7" vbProcedure="false">"A33238"</definedName>
    <definedName function="false" hidden="true" name="FDD_117_8" vbProcedure="false">"A33603"</definedName>
    <definedName function="false" hidden="true" name="FDD_117_9" vbProcedure="false">"A33969"</definedName>
    <definedName function="false" hidden="true" name="FDD_118_0" vbProcedure="false">"A30681"</definedName>
    <definedName function="false" hidden="true" name="FDD_118_1" vbProcedure="false">"A31047"</definedName>
    <definedName function="false" hidden="true" name="FDD_118_10" vbProcedure="false">"A34334"</definedName>
    <definedName function="false" hidden="true" name="FDD_118_11" vbProcedure="false">"A34699"</definedName>
    <definedName function="false" hidden="true" name="FDD_118_12" vbProcedure="false">"A35064"</definedName>
    <definedName function="false" hidden="true" name="FDD_118_13" vbProcedure="false">"A35430"</definedName>
    <definedName function="false" hidden="true" name="FDD_118_14" vbProcedure="false">"A35795"</definedName>
    <definedName function="false" hidden="true" name="FDD_118_2" vbProcedure="false">"A31412"</definedName>
    <definedName function="false" hidden="true" name="FDD_118_3" vbProcedure="false">"A31777"</definedName>
    <definedName function="false" hidden="true" name="FDD_118_4" vbProcedure="false">"A32142"</definedName>
    <definedName function="false" hidden="true" name="FDD_118_5" vbProcedure="false">"A32508"</definedName>
    <definedName function="false" hidden="true" name="FDD_118_6" vbProcedure="false">"A32873"</definedName>
    <definedName function="false" hidden="true" name="FDD_118_7" vbProcedure="false">"A33238"</definedName>
    <definedName function="false" hidden="true" name="FDD_118_8" vbProcedure="false">"A33603"</definedName>
    <definedName function="false" hidden="true" name="FDD_118_9" vbProcedure="false">"A33969"</definedName>
    <definedName function="false" hidden="true" name="FDD_119_0" vbProcedure="false">"A30681"</definedName>
    <definedName function="false" hidden="true" name="FDD_119_1" vbProcedure="false">"A31047"</definedName>
    <definedName function="false" hidden="true" name="FDD_119_10" vbProcedure="false">"A34334"</definedName>
    <definedName function="false" hidden="true" name="FDD_119_11" vbProcedure="false">"A34699"</definedName>
    <definedName function="false" hidden="true" name="FDD_119_12" vbProcedure="false">"A35064"</definedName>
    <definedName function="false" hidden="true" name="FDD_119_13" vbProcedure="false">"A35430"</definedName>
    <definedName function="false" hidden="true" name="FDD_119_14" vbProcedure="false">"A35795"</definedName>
    <definedName function="false" hidden="true" name="FDD_119_2" vbProcedure="false">"A31412"</definedName>
    <definedName function="false" hidden="true" name="FDD_119_3" vbProcedure="false">"A31777"</definedName>
    <definedName function="false" hidden="true" name="FDD_119_4" vbProcedure="false">"A32142"</definedName>
    <definedName function="false" hidden="true" name="FDD_119_5" vbProcedure="false">"A32508"</definedName>
    <definedName function="false" hidden="true" name="FDD_119_6" vbProcedure="false">"A32873"</definedName>
    <definedName function="false" hidden="true" name="FDD_119_7" vbProcedure="false">"A33238"</definedName>
    <definedName function="false" hidden="true" name="FDD_119_8" vbProcedure="false">"A33603"</definedName>
    <definedName function="false" hidden="true" name="FDD_119_9" vbProcedure="false">"A33969"</definedName>
    <definedName function="false" hidden="true" name="FDD_11_0" vbProcedure="false">"A25569"</definedName>
    <definedName function="false" hidden="true" name="FDD_11_1" vbProcedure="false">"E35795"</definedName>
    <definedName function="false" hidden="true" name="FDD_11_2" vbProcedure="false">"E36160"</definedName>
    <definedName function="false" hidden="true" name="FDD_11_3" vbProcedure="false">"E36525"</definedName>
    <definedName function="false" hidden="true" name="FDD_120_0" vbProcedure="false">"A30681"</definedName>
    <definedName function="false" hidden="true" name="FDD_120_1" vbProcedure="false">"A31047"</definedName>
    <definedName function="false" hidden="true" name="FDD_120_10" vbProcedure="false">"A34334"</definedName>
    <definedName function="false" hidden="true" name="FDD_120_11" vbProcedure="false">"A34699"</definedName>
    <definedName function="false" hidden="true" name="FDD_120_12" vbProcedure="false">"A35064"</definedName>
    <definedName function="false" hidden="true" name="FDD_120_13" vbProcedure="false">"A35430"</definedName>
    <definedName function="false" hidden="true" name="FDD_120_14" vbProcedure="false">"A35795"</definedName>
    <definedName function="false" hidden="true" name="FDD_120_2" vbProcedure="false">"A31412"</definedName>
    <definedName function="false" hidden="true" name="FDD_120_3" vbProcedure="false">"A31777"</definedName>
    <definedName function="false" hidden="true" name="FDD_120_4" vbProcedure="false">"A32142"</definedName>
    <definedName function="false" hidden="true" name="FDD_120_5" vbProcedure="false">"A32508"</definedName>
    <definedName function="false" hidden="true" name="FDD_120_6" vbProcedure="false">"A32873"</definedName>
    <definedName function="false" hidden="true" name="FDD_120_7" vbProcedure="false">"A33238"</definedName>
    <definedName function="false" hidden="true" name="FDD_120_8" vbProcedure="false">"A33603"</definedName>
    <definedName function="false" hidden="true" name="FDD_120_9" vbProcedure="false">"A33969"</definedName>
    <definedName function="false" hidden="true" name="FDD_121_0" vbProcedure="false">"A30681"</definedName>
    <definedName function="false" hidden="true" name="FDD_121_1" vbProcedure="false">"A31047"</definedName>
    <definedName function="false" hidden="true" name="FDD_121_10" vbProcedure="false">"A34334"</definedName>
    <definedName function="false" hidden="true" name="FDD_121_11" vbProcedure="false">"A34699"</definedName>
    <definedName function="false" hidden="true" name="FDD_121_12" vbProcedure="false">"A35064"</definedName>
    <definedName function="false" hidden="true" name="FDD_121_13" vbProcedure="false">"A35430"</definedName>
    <definedName function="false" hidden="true" name="FDD_121_14" vbProcedure="false">"A35795"</definedName>
    <definedName function="false" hidden="true" name="FDD_121_2" vbProcedure="false">"A31412"</definedName>
    <definedName function="false" hidden="true" name="FDD_121_3" vbProcedure="false">"A31777"</definedName>
    <definedName function="false" hidden="true" name="FDD_121_4" vbProcedure="false">"A32142"</definedName>
    <definedName function="false" hidden="true" name="FDD_121_5" vbProcedure="false">"A32508"</definedName>
    <definedName function="false" hidden="true" name="FDD_121_6" vbProcedure="false">"A32873"</definedName>
    <definedName function="false" hidden="true" name="FDD_121_7" vbProcedure="false">"A33238"</definedName>
    <definedName function="false" hidden="true" name="FDD_121_8" vbProcedure="false">"A33603"</definedName>
    <definedName function="false" hidden="true" name="FDD_121_9" vbProcedure="false">"A33969"</definedName>
    <definedName function="false" hidden="true" name="FDD_122_0" vbProcedure="false">"A30681"</definedName>
    <definedName function="false" hidden="true" name="FDD_122_1" vbProcedure="false">"A31047"</definedName>
    <definedName function="false" hidden="true" name="FDD_122_10" vbProcedure="false">"A34334"</definedName>
    <definedName function="false" hidden="true" name="FDD_122_11" vbProcedure="false">"A34699"</definedName>
    <definedName function="false" hidden="true" name="FDD_122_12" vbProcedure="false">"A35064"</definedName>
    <definedName function="false" hidden="true" name="FDD_122_13" vbProcedure="false">"A35430"</definedName>
    <definedName function="false" hidden="true" name="FDD_122_14" vbProcedure="false">"A35795"</definedName>
    <definedName function="false" hidden="true" name="FDD_122_2" vbProcedure="false">"A31412"</definedName>
    <definedName function="false" hidden="true" name="FDD_122_3" vbProcedure="false">"A31777"</definedName>
    <definedName function="false" hidden="true" name="FDD_122_4" vbProcedure="false">"A32142"</definedName>
    <definedName function="false" hidden="true" name="FDD_122_5" vbProcedure="false">"A32508"</definedName>
    <definedName function="false" hidden="true" name="FDD_122_6" vbProcedure="false">"A32873"</definedName>
    <definedName function="false" hidden="true" name="FDD_122_7" vbProcedure="false">"A33238"</definedName>
    <definedName function="false" hidden="true" name="FDD_122_8" vbProcedure="false">"A33603"</definedName>
    <definedName function="false" hidden="true" name="FDD_122_9" vbProcedure="false">"A33969"</definedName>
    <definedName function="false" hidden="true" name="FDD_123_0" vbProcedure="false">"A30681"</definedName>
    <definedName function="false" hidden="true" name="FDD_123_1" vbProcedure="false">"A31047"</definedName>
    <definedName function="false" hidden="true" name="FDD_123_10" vbProcedure="false">"A34334"</definedName>
    <definedName function="false" hidden="true" name="FDD_123_11" vbProcedure="false">"A34699"</definedName>
    <definedName function="false" hidden="true" name="FDD_123_12" vbProcedure="false">"A35064"</definedName>
    <definedName function="false" hidden="true" name="FDD_123_13" vbProcedure="false">"A35430"</definedName>
    <definedName function="false" hidden="true" name="FDD_123_14" vbProcedure="false">"A35795"</definedName>
    <definedName function="false" hidden="true" name="FDD_123_2" vbProcedure="false">"A31412"</definedName>
    <definedName function="false" hidden="true" name="FDD_123_3" vbProcedure="false">"A31777"</definedName>
    <definedName function="false" hidden="true" name="FDD_123_4" vbProcedure="false">"A32142"</definedName>
    <definedName function="false" hidden="true" name="FDD_123_5" vbProcedure="false">"A32508"</definedName>
    <definedName function="false" hidden="true" name="FDD_123_6" vbProcedure="false">"A32873"</definedName>
    <definedName function="false" hidden="true" name="FDD_123_7" vbProcedure="false">"A33238"</definedName>
    <definedName function="false" hidden="true" name="FDD_123_8" vbProcedure="false">"A33603"</definedName>
    <definedName function="false" hidden="true" name="FDD_123_9" vbProcedure="false">"A33969"</definedName>
    <definedName function="false" hidden="true" name="FDD_124_0" vbProcedure="false">"A30681"</definedName>
    <definedName function="false" hidden="true" name="FDD_124_1" vbProcedure="false">"A31047"</definedName>
    <definedName function="false" hidden="true" name="FDD_124_10" vbProcedure="false">"A34334"</definedName>
    <definedName function="false" hidden="true" name="FDD_124_11" vbProcedure="false">"A34699"</definedName>
    <definedName function="false" hidden="true" name="FDD_124_12" vbProcedure="false">"A35064"</definedName>
    <definedName function="false" hidden="true" name="FDD_124_13" vbProcedure="false">"A35430"</definedName>
    <definedName function="false" hidden="true" name="FDD_124_14" vbProcedure="false">"A35795"</definedName>
    <definedName function="false" hidden="true" name="FDD_124_2" vbProcedure="false">"A31412"</definedName>
    <definedName function="false" hidden="true" name="FDD_124_3" vbProcedure="false">"A31777"</definedName>
    <definedName function="false" hidden="true" name="FDD_124_4" vbProcedure="false">"A32142"</definedName>
    <definedName function="false" hidden="true" name="FDD_124_5" vbProcedure="false">"A32508"</definedName>
    <definedName function="false" hidden="true" name="FDD_124_6" vbProcedure="false">"A32873"</definedName>
    <definedName function="false" hidden="true" name="FDD_124_7" vbProcedure="false">"A33238"</definedName>
    <definedName function="false" hidden="true" name="FDD_124_8" vbProcedure="false">"A33603"</definedName>
    <definedName function="false" hidden="true" name="FDD_124_9" vbProcedure="false">"A33969"</definedName>
    <definedName function="false" hidden="true" name="FDD_125_0" vbProcedure="false">"A30681"</definedName>
    <definedName function="false" hidden="true" name="FDD_125_1" vbProcedure="false">"A31047"</definedName>
    <definedName function="false" hidden="true" name="FDD_125_10" vbProcedure="false">"A34334"</definedName>
    <definedName function="false" hidden="true" name="FDD_125_11" vbProcedure="false">"A34699"</definedName>
    <definedName function="false" hidden="true" name="FDD_125_12" vbProcedure="false">"A35064"</definedName>
    <definedName function="false" hidden="true" name="FDD_125_13" vbProcedure="false">"A35430"</definedName>
    <definedName function="false" hidden="true" name="FDD_125_14" vbProcedure="false">"A35795"</definedName>
    <definedName function="false" hidden="true" name="FDD_125_2" vbProcedure="false">"A31412"</definedName>
    <definedName function="false" hidden="true" name="FDD_125_3" vbProcedure="false">"A31777"</definedName>
    <definedName function="false" hidden="true" name="FDD_125_4" vbProcedure="false">"A32142"</definedName>
    <definedName function="false" hidden="true" name="FDD_125_5" vbProcedure="false">"A32508"</definedName>
    <definedName function="false" hidden="true" name="FDD_125_6" vbProcedure="false">"A32873"</definedName>
    <definedName function="false" hidden="true" name="FDD_125_7" vbProcedure="false">"A33238"</definedName>
    <definedName function="false" hidden="true" name="FDD_125_8" vbProcedure="false">"A33603"</definedName>
    <definedName function="false" hidden="true" name="FDD_125_9" vbProcedure="false">"A33969"</definedName>
    <definedName function="false" hidden="true" name="FDD_126_0" vbProcedure="false">"A30681"</definedName>
    <definedName function="false" hidden="true" name="FDD_126_1" vbProcedure="false">"A31047"</definedName>
    <definedName function="false" hidden="true" name="FDD_126_10" vbProcedure="false">"A34334"</definedName>
    <definedName function="false" hidden="true" name="FDD_126_11" vbProcedure="false">"A34699"</definedName>
    <definedName function="false" hidden="true" name="FDD_126_12" vbProcedure="false">"A35064"</definedName>
    <definedName function="false" hidden="true" name="FDD_126_13" vbProcedure="false">"A35430"</definedName>
    <definedName function="false" hidden="true" name="FDD_126_14" vbProcedure="false">"A35795"</definedName>
    <definedName function="false" hidden="true" name="FDD_126_2" vbProcedure="false">"A31412"</definedName>
    <definedName function="false" hidden="true" name="FDD_126_3" vbProcedure="false">"A31777"</definedName>
    <definedName function="false" hidden="true" name="FDD_126_4" vbProcedure="false">"A32142"</definedName>
    <definedName function="false" hidden="true" name="FDD_126_5" vbProcedure="false">"A32508"</definedName>
    <definedName function="false" hidden="true" name="FDD_126_6" vbProcedure="false">"A32873"</definedName>
    <definedName function="false" hidden="true" name="FDD_126_7" vbProcedure="false">"A33238"</definedName>
    <definedName function="false" hidden="true" name="FDD_126_8" vbProcedure="false">"A33603"</definedName>
    <definedName function="false" hidden="true" name="FDD_126_9" vbProcedure="false">"A33969"</definedName>
    <definedName function="false" hidden="true" name="FDD_127_0" vbProcedure="false">"A30681"</definedName>
    <definedName function="false" hidden="true" name="FDD_127_1" vbProcedure="false">"A31047"</definedName>
    <definedName function="false" hidden="true" name="FDD_127_10" vbProcedure="false">"A34334"</definedName>
    <definedName function="false" hidden="true" name="FDD_127_11" vbProcedure="false">"A34699"</definedName>
    <definedName function="false" hidden="true" name="FDD_127_12" vbProcedure="false">"A35064"</definedName>
    <definedName function="false" hidden="true" name="FDD_127_13" vbProcedure="false">"A35430"</definedName>
    <definedName function="false" hidden="true" name="FDD_127_14" vbProcedure="false">"A35795"</definedName>
    <definedName function="false" hidden="true" name="FDD_127_2" vbProcedure="false">"A31412"</definedName>
    <definedName function="false" hidden="true" name="FDD_127_3" vbProcedure="false">"A31777"</definedName>
    <definedName function="false" hidden="true" name="FDD_127_4" vbProcedure="false">"A32142"</definedName>
    <definedName function="false" hidden="true" name="FDD_127_5" vbProcedure="false">"A32508"</definedName>
    <definedName function="false" hidden="true" name="FDD_127_6" vbProcedure="false">"A32873"</definedName>
    <definedName function="false" hidden="true" name="FDD_127_7" vbProcedure="false">"A33238"</definedName>
    <definedName function="false" hidden="true" name="FDD_127_8" vbProcedure="false">"A33603"</definedName>
    <definedName function="false" hidden="true" name="FDD_127_9" vbProcedure="false">"A33969"</definedName>
    <definedName function="false" hidden="true" name="FDD_128_0" vbProcedure="false">"A30681"</definedName>
    <definedName function="false" hidden="true" name="FDD_128_1" vbProcedure="false">"A31047"</definedName>
    <definedName function="false" hidden="true" name="FDD_128_10" vbProcedure="false">"A34334"</definedName>
    <definedName function="false" hidden="true" name="FDD_128_11" vbProcedure="false">"A34699"</definedName>
    <definedName function="false" hidden="true" name="FDD_128_12" vbProcedure="false">"A35064"</definedName>
    <definedName function="false" hidden="true" name="FDD_128_13" vbProcedure="false">"A35430"</definedName>
    <definedName function="false" hidden="true" name="FDD_128_14" vbProcedure="false">"A35795"</definedName>
    <definedName function="false" hidden="true" name="FDD_128_2" vbProcedure="false">"A31412"</definedName>
    <definedName function="false" hidden="true" name="FDD_128_3" vbProcedure="false">"A31777"</definedName>
    <definedName function="false" hidden="true" name="FDD_128_4" vbProcedure="false">"A32142"</definedName>
    <definedName function="false" hidden="true" name="FDD_128_5" vbProcedure="false">"A32508"</definedName>
    <definedName function="false" hidden="true" name="FDD_128_6" vbProcedure="false">"A32873"</definedName>
    <definedName function="false" hidden="true" name="FDD_128_7" vbProcedure="false">"A33238"</definedName>
    <definedName function="false" hidden="true" name="FDD_128_8" vbProcedure="false">"A33603"</definedName>
    <definedName function="false" hidden="true" name="FDD_128_9" vbProcedure="false">"A33969"</definedName>
    <definedName function="false" hidden="true" name="FDD_129_0" vbProcedure="false">"A30681"</definedName>
    <definedName function="false" hidden="true" name="FDD_129_1" vbProcedure="false">"A31047"</definedName>
    <definedName function="false" hidden="true" name="FDD_129_10" vbProcedure="false">"A34334"</definedName>
    <definedName function="false" hidden="true" name="FDD_129_11" vbProcedure="false">"A34699"</definedName>
    <definedName function="false" hidden="true" name="FDD_129_12" vbProcedure="false">"A35064"</definedName>
    <definedName function="false" hidden="true" name="FDD_129_13" vbProcedure="false">"A35430"</definedName>
    <definedName function="false" hidden="true" name="FDD_129_14" vbProcedure="false">"A35795"</definedName>
    <definedName function="false" hidden="true" name="FDD_129_2" vbProcedure="false">"A31412"</definedName>
    <definedName function="false" hidden="true" name="FDD_129_3" vbProcedure="false">"A31777"</definedName>
    <definedName function="false" hidden="true" name="FDD_129_4" vbProcedure="false">"A32142"</definedName>
    <definedName function="false" hidden="true" name="FDD_129_5" vbProcedure="false">"A32508"</definedName>
    <definedName function="false" hidden="true" name="FDD_129_6" vbProcedure="false">"A32873"</definedName>
    <definedName function="false" hidden="true" name="FDD_129_7" vbProcedure="false">"A33238"</definedName>
    <definedName function="false" hidden="true" name="FDD_129_8" vbProcedure="false">"A33603"</definedName>
    <definedName function="false" hidden="true" name="FDD_129_9" vbProcedure="false">"A33969"</definedName>
    <definedName function="false" hidden="true" name="FDD_12_0" vbProcedure="false">"A25569"</definedName>
    <definedName function="false" hidden="true" name="FDD_12_1" vbProcedure="false">"E35795"</definedName>
    <definedName function="false" hidden="true" name="FDD_12_2" vbProcedure="false">"E36160"</definedName>
    <definedName function="false" hidden="true" name="FDD_12_3" vbProcedure="false">"E36525"</definedName>
    <definedName function="false" hidden="true" name="FDD_130_0" vbProcedure="false">"A30681"</definedName>
    <definedName function="false" hidden="true" name="FDD_130_1" vbProcedure="false">"A31047"</definedName>
    <definedName function="false" hidden="true" name="FDD_130_10" vbProcedure="false">"A34334"</definedName>
    <definedName function="false" hidden="true" name="FDD_130_11" vbProcedure="false">"A34699"</definedName>
    <definedName function="false" hidden="true" name="FDD_130_12" vbProcedure="false">"A35064"</definedName>
    <definedName function="false" hidden="true" name="FDD_130_13" vbProcedure="false">"A35430"</definedName>
    <definedName function="false" hidden="true" name="FDD_130_14" vbProcedure="false">"A35795"</definedName>
    <definedName function="false" hidden="true" name="FDD_130_2" vbProcedure="false">"A31412"</definedName>
    <definedName function="false" hidden="true" name="FDD_130_3" vbProcedure="false">"A31777"</definedName>
    <definedName function="false" hidden="true" name="FDD_130_4" vbProcedure="false">"A32142"</definedName>
    <definedName function="false" hidden="true" name="FDD_130_5" vbProcedure="false">"A32508"</definedName>
    <definedName function="false" hidden="true" name="FDD_130_6" vbProcedure="false">"A32873"</definedName>
    <definedName function="false" hidden="true" name="FDD_130_7" vbProcedure="false">"A33238"</definedName>
    <definedName function="false" hidden="true" name="FDD_130_8" vbProcedure="false">"A33603"</definedName>
    <definedName function="false" hidden="true" name="FDD_130_9" vbProcedure="false">"A33969"</definedName>
    <definedName function="false" hidden="true" name="FDD_131_0" vbProcedure="false">"A30681"</definedName>
    <definedName function="false" hidden="true" name="FDD_131_1" vbProcedure="false">"A31047"</definedName>
    <definedName function="false" hidden="true" name="FDD_131_10" vbProcedure="false">"A34334"</definedName>
    <definedName function="false" hidden="true" name="FDD_131_11" vbProcedure="false">"A34699"</definedName>
    <definedName function="false" hidden="true" name="FDD_131_12" vbProcedure="false">"A35064"</definedName>
    <definedName function="false" hidden="true" name="FDD_131_13" vbProcedure="false">"A35430"</definedName>
    <definedName function="false" hidden="true" name="FDD_131_14" vbProcedure="false">"A35795"</definedName>
    <definedName function="false" hidden="true" name="FDD_131_2" vbProcedure="false">"A31412"</definedName>
    <definedName function="false" hidden="true" name="FDD_131_3" vbProcedure="false">"A31777"</definedName>
    <definedName function="false" hidden="true" name="FDD_131_4" vbProcedure="false">"A32142"</definedName>
    <definedName function="false" hidden="true" name="FDD_131_5" vbProcedure="false">"A32508"</definedName>
    <definedName function="false" hidden="true" name="FDD_131_6" vbProcedure="false">"A32873"</definedName>
    <definedName function="false" hidden="true" name="FDD_131_7" vbProcedure="false">"A33238"</definedName>
    <definedName function="false" hidden="true" name="FDD_131_8" vbProcedure="false">"A33603"</definedName>
    <definedName function="false" hidden="true" name="FDD_131_9" vbProcedure="false">"A33969"</definedName>
    <definedName function="false" hidden="true" name="FDD_132_0" vbProcedure="false">"U30681"</definedName>
    <definedName function="false" hidden="true" name="FDD_132_1" vbProcedure="false">"U31047"</definedName>
    <definedName function="false" hidden="true" name="FDD_132_10" vbProcedure="false">"U34334"</definedName>
    <definedName function="false" hidden="true" name="FDD_132_11" vbProcedure="false">"U34699"</definedName>
    <definedName function="false" hidden="true" name="FDD_132_12" vbProcedure="false">"U35064"</definedName>
    <definedName function="false" hidden="true" name="FDD_132_13" vbProcedure="false">"U35430"</definedName>
    <definedName function="false" hidden="true" name="FDD_132_14" vbProcedure="false">"U35795"</definedName>
    <definedName function="false" hidden="true" name="FDD_132_2" vbProcedure="false">"U31412"</definedName>
    <definedName function="false" hidden="true" name="FDD_132_3" vbProcedure="false">"U31777"</definedName>
    <definedName function="false" hidden="true" name="FDD_132_4" vbProcedure="false">"U32142"</definedName>
    <definedName function="false" hidden="true" name="FDD_132_5" vbProcedure="false">"U32508"</definedName>
    <definedName function="false" hidden="true" name="FDD_132_6" vbProcedure="false">"U32873"</definedName>
    <definedName function="false" hidden="true" name="FDD_132_7" vbProcedure="false">"U33238"</definedName>
    <definedName function="false" hidden="true" name="FDD_132_8" vbProcedure="false">"U33603"</definedName>
    <definedName function="false" hidden="true" name="FDD_132_9" vbProcedure="false">"U33969"</definedName>
    <definedName function="false" hidden="true" name="FDD_133_0" vbProcedure="false">"A30681"</definedName>
    <definedName function="false" hidden="true" name="FDD_133_1" vbProcedure="false">"A31047"</definedName>
    <definedName function="false" hidden="true" name="FDD_133_10" vbProcedure="false">"A34334"</definedName>
    <definedName function="false" hidden="true" name="FDD_133_11" vbProcedure="false">"A34699"</definedName>
    <definedName function="false" hidden="true" name="FDD_133_12" vbProcedure="false">"A35064"</definedName>
    <definedName function="false" hidden="true" name="FDD_133_13" vbProcedure="false">"A35430"</definedName>
    <definedName function="false" hidden="true" name="FDD_133_14" vbProcedure="false">"A35795"</definedName>
    <definedName function="false" hidden="true" name="FDD_133_2" vbProcedure="false">"A31412"</definedName>
    <definedName function="false" hidden="true" name="FDD_133_3" vbProcedure="false">"A31777"</definedName>
    <definedName function="false" hidden="true" name="FDD_133_4" vbProcedure="false">"A32142"</definedName>
    <definedName function="false" hidden="true" name="FDD_133_5" vbProcedure="false">"A32508"</definedName>
    <definedName function="false" hidden="true" name="FDD_133_6" vbProcedure="false">"A32873"</definedName>
    <definedName function="false" hidden="true" name="FDD_133_7" vbProcedure="false">"A33238"</definedName>
    <definedName function="false" hidden="true" name="FDD_133_8" vbProcedure="false">"A33603"</definedName>
    <definedName function="false" hidden="true" name="FDD_133_9" vbProcedure="false">"A33969"</definedName>
    <definedName function="false" hidden="true" name="FDD_134_0" vbProcedure="false">"A30681"</definedName>
    <definedName function="false" hidden="true" name="FDD_134_1" vbProcedure="false">"A31047"</definedName>
    <definedName function="false" hidden="true" name="FDD_134_10" vbProcedure="false">"A34334"</definedName>
    <definedName function="false" hidden="true" name="FDD_134_11" vbProcedure="false">"A34699"</definedName>
    <definedName function="false" hidden="true" name="FDD_134_12" vbProcedure="false">"A35064"</definedName>
    <definedName function="false" hidden="true" name="FDD_134_13" vbProcedure="false">"A35430"</definedName>
    <definedName function="false" hidden="true" name="FDD_134_14" vbProcedure="false">"A35795"</definedName>
    <definedName function="false" hidden="true" name="FDD_134_2" vbProcedure="false">"A31412"</definedName>
    <definedName function="false" hidden="true" name="FDD_134_3" vbProcedure="false">"A31777"</definedName>
    <definedName function="false" hidden="true" name="FDD_134_4" vbProcedure="false">"A32142"</definedName>
    <definedName function="false" hidden="true" name="FDD_134_5" vbProcedure="false">"A32508"</definedName>
    <definedName function="false" hidden="true" name="FDD_134_6" vbProcedure="false">"A32873"</definedName>
    <definedName function="false" hidden="true" name="FDD_134_7" vbProcedure="false">"A33238"</definedName>
    <definedName function="false" hidden="true" name="FDD_134_8" vbProcedure="false">"A33603"</definedName>
    <definedName function="false" hidden="true" name="FDD_134_9" vbProcedure="false">"A33969"</definedName>
    <definedName function="false" hidden="true" name="FDD_135_0" vbProcedure="false">"A30681"</definedName>
    <definedName function="false" hidden="true" name="FDD_135_1" vbProcedure="false">"A31047"</definedName>
    <definedName function="false" hidden="true" name="FDD_135_10" vbProcedure="false">"A34334"</definedName>
    <definedName function="false" hidden="true" name="FDD_135_11" vbProcedure="false">"A34699"</definedName>
    <definedName function="false" hidden="true" name="FDD_135_12" vbProcedure="false">"A35064"</definedName>
    <definedName function="false" hidden="true" name="FDD_135_13" vbProcedure="false">"A35430"</definedName>
    <definedName function="false" hidden="true" name="FDD_135_14" vbProcedure="false">"A35795"</definedName>
    <definedName function="false" hidden="true" name="FDD_135_2" vbProcedure="false">"A31412"</definedName>
    <definedName function="false" hidden="true" name="FDD_135_3" vbProcedure="false">"A31777"</definedName>
    <definedName function="false" hidden="true" name="FDD_135_4" vbProcedure="false">"A32142"</definedName>
    <definedName function="false" hidden="true" name="FDD_135_5" vbProcedure="false">"A32508"</definedName>
    <definedName function="false" hidden="true" name="FDD_135_6" vbProcedure="false">"A32873"</definedName>
    <definedName function="false" hidden="true" name="FDD_135_7" vbProcedure="false">"A33238"</definedName>
    <definedName function="false" hidden="true" name="FDD_135_8" vbProcedure="false">"A33603"</definedName>
    <definedName function="false" hidden="true" name="FDD_135_9" vbProcedure="false">"A33969"</definedName>
    <definedName function="false" hidden="true" name="FDD_136_0" vbProcedure="false">"A30681"</definedName>
    <definedName function="false" hidden="true" name="FDD_136_1" vbProcedure="false">"A31047"</definedName>
    <definedName function="false" hidden="true" name="FDD_136_10" vbProcedure="false">"A34334"</definedName>
    <definedName function="false" hidden="true" name="FDD_136_11" vbProcedure="false">"A34699"</definedName>
    <definedName function="false" hidden="true" name="FDD_136_12" vbProcedure="false">"A35064"</definedName>
    <definedName function="false" hidden="true" name="FDD_136_13" vbProcedure="false">"A35430"</definedName>
    <definedName function="false" hidden="true" name="FDD_136_14" vbProcedure="false">"A35795"</definedName>
    <definedName function="false" hidden="true" name="FDD_136_2" vbProcedure="false">"A31412"</definedName>
    <definedName function="false" hidden="true" name="FDD_136_3" vbProcedure="false">"A31777"</definedName>
    <definedName function="false" hidden="true" name="FDD_136_4" vbProcedure="false">"A32142"</definedName>
    <definedName function="false" hidden="true" name="FDD_136_5" vbProcedure="false">"A32508"</definedName>
    <definedName function="false" hidden="true" name="FDD_136_6" vbProcedure="false">"A32873"</definedName>
    <definedName function="false" hidden="true" name="FDD_136_7" vbProcedure="false">"A33238"</definedName>
    <definedName function="false" hidden="true" name="FDD_136_8" vbProcedure="false">"A33603"</definedName>
    <definedName function="false" hidden="true" name="FDD_136_9" vbProcedure="false">"A33969"</definedName>
    <definedName function="false" hidden="true" name="FDD_137_0" vbProcedure="false">"A30681"</definedName>
    <definedName function="false" hidden="true" name="FDD_137_1" vbProcedure="false">"A31047"</definedName>
    <definedName function="false" hidden="true" name="FDD_137_10" vbProcedure="false">"A34334"</definedName>
    <definedName function="false" hidden="true" name="FDD_137_11" vbProcedure="false">"A34699"</definedName>
    <definedName function="false" hidden="true" name="FDD_137_12" vbProcedure="false">"A35064"</definedName>
    <definedName function="false" hidden="true" name="FDD_137_13" vbProcedure="false">"A35430"</definedName>
    <definedName function="false" hidden="true" name="FDD_137_14" vbProcedure="false">"A35795"</definedName>
    <definedName function="false" hidden="true" name="FDD_137_2" vbProcedure="false">"A31412"</definedName>
    <definedName function="false" hidden="true" name="FDD_137_3" vbProcedure="false">"A31777"</definedName>
    <definedName function="false" hidden="true" name="FDD_137_4" vbProcedure="false">"A32142"</definedName>
    <definedName function="false" hidden="true" name="FDD_137_5" vbProcedure="false">"A32508"</definedName>
    <definedName function="false" hidden="true" name="FDD_137_6" vbProcedure="false">"A32873"</definedName>
    <definedName function="false" hidden="true" name="FDD_137_7" vbProcedure="false">"A33238"</definedName>
    <definedName function="false" hidden="true" name="FDD_137_8" vbProcedure="false">"A33603"</definedName>
    <definedName function="false" hidden="true" name="FDD_137_9" vbProcedure="false">"A33969"</definedName>
    <definedName function="false" hidden="true" name="FDD_138_0" vbProcedure="false">"A30681"</definedName>
    <definedName function="false" hidden="true" name="FDD_138_1" vbProcedure="false">"A31047"</definedName>
    <definedName function="false" hidden="true" name="FDD_138_10" vbProcedure="false">"A34334"</definedName>
    <definedName function="false" hidden="true" name="FDD_138_11" vbProcedure="false">"A34699"</definedName>
    <definedName function="false" hidden="true" name="FDD_138_12" vbProcedure="false">"A35064"</definedName>
    <definedName function="false" hidden="true" name="FDD_138_13" vbProcedure="false">"A35430"</definedName>
    <definedName function="false" hidden="true" name="FDD_138_14" vbProcedure="false">"A35795"</definedName>
    <definedName function="false" hidden="true" name="FDD_138_2" vbProcedure="false">"A31412"</definedName>
    <definedName function="false" hidden="true" name="FDD_138_3" vbProcedure="false">"A31777"</definedName>
    <definedName function="false" hidden="true" name="FDD_138_4" vbProcedure="false">"A32142"</definedName>
    <definedName function="false" hidden="true" name="FDD_138_5" vbProcedure="false">"A32508"</definedName>
    <definedName function="false" hidden="true" name="FDD_138_6" vbProcedure="false">"A32873"</definedName>
    <definedName function="false" hidden="true" name="FDD_138_7" vbProcedure="false">"A33238"</definedName>
    <definedName function="false" hidden="true" name="FDD_138_8" vbProcedure="false">"A33603"</definedName>
    <definedName function="false" hidden="true" name="FDD_138_9" vbProcedure="false">"A33969"</definedName>
    <definedName function="false" hidden="true" name="FDD_139_0" vbProcedure="false">"A30681"</definedName>
    <definedName function="false" hidden="true" name="FDD_139_1" vbProcedure="false">"A31047"</definedName>
    <definedName function="false" hidden="true" name="FDD_139_10" vbProcedure="false">"U34334"</definedName>
    <definedName function="false" hidden="true" name="FDD_139_11" vbProcedure="false">"U34699"</definedName>
    <definedName function="false" hidden="true" name="FDD_139_12" vbProcedure="false">"U35064"</definedName>
    <definedName function="false" hidden="true" name="FDD_139_13" vbProcedure="false">"U35430"</definedName>
    <definedName function="false" hidden="true" name="FDD_139_14" vbProcedure="false">"U35795"</definedName>
    <definedName function="false" hidden="true" name="FDD_139_2" vbProcedure="false">"A31412"</definedName>
    <definedName function="false" hidden="true" name="FDD_139_3" vbProcedure="false">"U31777"</definedName>
    <definedName function="false" hidden="true" name="FDD_139_4" vbProcedure="false">"U32142"</definedName>
    <definedName function="false" hidden="true" name="FDD_139_5" vbProcedure="false">"U32508"</definedName>
    <definedName function="false" hidden="true" name="FDD_139_6" vbProcedure="false">"U32873"</definedName>
    <definedName function="false" hidden="true" name="FDD_139_7" vbProcedure="false">"U33238"</definedName>
    <definedName function="false" hidden="true" name="FDD_139_8" vbProcedure="false">"U33603"</definedName>
    <definedName function="false" hidden="true" name="FDD_139_9" vbProcedure="false">"U33969"</definedName>
    <definedName function="false" hidden="true" name="FDD_13_0" vbProcedure="false">"A25569"</definedName>
    <definedName function="false" hidden="true" name="FDD_140_0" vbProcedure="false">"A25569"</definedName>
    <definedName function="false" hidden="true" name="FDD_141_0" vbProcedure="false">"A30681"</definedName>
    <definedName function="false" hidden="true" name="FDD_141_1" vbProcedure="false">"A31047"</definedName>
    <definedName function="false" hidden="true" name="FDD_141_10" vbProcedure="false">"A34334"</definedName>
    <definedName function="false" hidden="true" name="FDD_141_11" vbProcedure="false">"A34699"</definedName>
    <definedName function="false" hidden="true" name="FDD_141_12" vbProcedure="false">"A35064"</definedName>
    <definedName function="false" hidden="true" name="FDD_141_13" vbProcedure="false">"A35430"</definedName>
    <definedName function="false" hidden="true" name="FDD_141_14" vbProcedure="false">"A35795"</definedName>
    <definedName function="false" hidden="true" name="FDD_141_2" vbProcedure="false">"A31412"</definedName>
    <definedName function="false" hidden="true" name="FDD_141_3" vbProcedure="false">"A31777"</definedName>
    <definedName function="false" hidden="true" name="FDD_141_4" vbProcedure="false">"A32142"</definedName>
    <definedName function="false" hidden="true" name="FDD_141_5" vbProcedure="false">"A32508"</definedName>
    <definedName function="false" hidden="true" name="FDD_141_6" vbProcedure="false">"A32873"</definedName>
    <definedName function="false" hidden="true" name="FDD_141_7" vbProcedure="false">"A33238"</definedName>
    <definedName function="false" hidden="true" name="FDD_141_8" vbProcedure="false">"A33603"</definedName>
    <definedName function="false" hidden="true" name="FDD_141_9" vbProcedure="false">"A33969"</definedName>
    <definedName function="false" hidden="true" name="FDD_142_0" vbProcedure="false">"A30681"</definedName>
    <definedName function="false" hidden="true" name="FDD_142_1" vbProcedure="false">"A31047"</definedName>
    <definedName function="false" hidden="true" name="FDD_142_10" vbProcedure="false">"A34334"</definedName>
    <definedName function="false" hidden="true" name="FDD_142_11" vbProcedure="false">"A34699"</definedName>
    <definedName function="false" hidden="true" name="FDD_142_12" vbProcedure="false">"A35064"</definedName>
    <definedName function="false" hidden="true" name="FDD_142_13" vbProcedure="false">"A35430"</definedName>
    <definedName function="false" hidden="true" name="FDD_142_14" vbProcedure="false">"A35795"</definedName>
    <definedName function="false" hidden="true" name="FDD_142_2" vbProcedure="false">"A31412"</definedName>
    <definedName function="false" hidden="true" name="FDD_142_3" vbProcedure="false">"A31777"</definedName>
    <definedName function="false" hidden="true" name="FDD_142_4" vbProcedure="false">"A32142"</definedName>
    <definedName function="false" hidden="true" name="FDD_142_5" vbProcedure="false">"A32508"</definedName>
    <definedName function="false" hidden="true" name="FDD_142_6" vbProcedure="false">"A32873"</definedName>
    <definedName function="false" hidden="true" name="FDD_142_7" vbProcedure="false">"A33238"</definedName>
    <definedName function="false" hidden="true" name="FDD_142_8" vbProcedure="false">"A33603"</definedName>
    <definedName function="false" hidden="true" name="FDD_142_9" vbProcedure="false">"A33969"</definedName>
    <definedName function="false" hidden="true" name="FDD_143_0" vbProcedure="false">"A30681"</definedName>
    <definedName function="false" hidden="true" name="FDD_143_1" vbProcedure="false">"A31047"</definedName>
    <definedName function="false" hidden="true" name="FDD_143_10" vbProcedure="false">"A34334"</definedName>
    <definedName function="false" hidden="true" name="FDD_143_11" vbProcedure="false">"A34699"</definedName>
    <definedName function="false" hidden="true" name="FDD_143_12" vbProcedure="false">"A35064"</definedName>
    <definedName function="false" hidden="true" name="FDD_143_13" vbProcedure="false">"A35430"</definedName>
    <definedName function="false" hidden="true" name="FDD_143_14" vbProcedure="false">"A35795"</definedName>
    <definedName function="false" hidden="true" name="FDD_143_2" vbProcedure="false">"A31412"</definedName>
    <definedName function="false" hidden="true" name="FDD_143_3" vbProcedure="false">"A31777"</definedName>
    <definedName function="false" hidden="true" name="FDD_143_4" vbProcedure="false">"A32142"</definedName>
    <definedName function="false" hidden="true" name="FDD_143_5" vbProcedure="false">"A32508"</definedName>
    <definedName function="false" hidden="true" name="FDD_143_6" vbProcedure="false">"A32873"</definedName>
    <definedName function="false" hidden="true" name="FDD_143_7" vbProcedure="false">"A33238"</definedName>
    <definedName function="false" hidden="true" name="FDD_143_8" vbProcedure="false">"A33603"</definedName>
    <definedName function="false" hidden="true" name="FDD_143_9" vbProcedure="false">"A33969"</definedName>
    <definedName function="false" hidden="true" name="FDD_144_0" vbProcedure="false">"A30681"</definedName>
    <definedName function="false" hidden="true" name="FDD_144_1" vbProcedure="false">"A31047"</definedName>
    <definedName function="false" hidden="true" name="FDD_144_10" vbProcedure="false">"A34334"</definedName>
    <definedName function="false" hidden="true" name="FDD_144_11" vbProcedure="false">"A34699"</definedName>
    <definedName function="false" hidden="true" name="FDD_144_12" vbProcedure="false">"A35064"</definedName>
    <definedName function="false" hidden="true" name="FDD_144_13" vbProcedure="false">"A35430"</definedName>
    <definedName function="false" hidden="true" name="FDD_144_14" vbProcedure="false">"A35795"</definedName>
    <definedName function="false" hidden="true" name="FDD_144_2" vbProcedure="false">"A31412"</definedName>
    <definedName function="false" hidden="true" name="FDD_144_3" vbProcedure="false">"A31777"</definedName>
    <definedName function="false" hidden="true" name="FDD_144_4" vbProcedure="false">"A32142"</definedName>
    <definedName function="false" hidden="true" name="FDD_144_5" vbProcedure="false">"A32508"</definedName>
    <definedName function="false" hidden="true" name="FDD_144_6" vbProcedure="false">"A32873"</definedName>
    <definedName function="false" hidden="true" name="FDD_144_7" vbProcedure="false">"A33238"</definedName>
    <definedName function="false" hidden="true" name="FDD_144_8" vbProcedure="false">"A33603"</definedName>
    <definedName function="false" hidden="true" name="FDD_144_9" vbProcedure="false">"A33969"</definedName>
    <definedName function="false" hidden="true" name="FDD_145_0" vbProcedure="false">"A30681"</definedName>
    <definedName function="false" hidden="true" name="FDD_145_1" vbProcedure="false">"A31047"</definedName>
    <definedName function="false" hidden="true" name="FDD_145_10" vbProcedure="false">"A34334"</definedName>
    <definedName function="false" hidden="true" name="FDD_145_11" vbProcedure="false">"A34699"</definedName>
    <definedName function="false" hidden="true" name="FDD_145_12" vbProcedure="false">"A35064"</definedName>
    <definedName function="false" hidden="true" name="FDD_145_13" vbProcedure="false">"A35430"</definedName>
    <definedName function="false" hidden="true" name="FDD_145_14" vbProcedure="false">"A35795"</definedName>
    <definedName function="false" hidden="true" name="FDD_145_2" vbProcedure="false">"A31412"</definedName>
    <definedName function="false" hidden="true" name="FDD_145_3" vbProcedure="false">"A31777"</definedName>
    <definedName function="false" hidden="true" name="FDD_145_4" vbProcedure="false">"A32142"</definedName>
    <definedName function="false" hidden="true" name="FDD_145_5" vbProcedure="false">"A32508"</definedName>
    <definedName function="false" hidden="true" name="FDD_145_6" vbProcedure="false">"A32873"</definedName>
    <definedName function="false" hidden="true" name="FDD_145_7" vbProcedure="false">"A33238"</definedName>
    <definedName function="false" hidden="true" name="FDD_145_8" vbProcedure="false">"A33603"</definedName>
    <definedName function="false" hidden="true" name="FDD_145_9" vbProcedure="false">"A33969"</definedName>
    <definedName function="false" hidden="true" name="FDD_146_0" vbProcedure="false">"A30681"</definedName>
    <definedName function="false" hidden="true" name="FDD_146_1" vbProcedure="false">"A31047"</definedName>
    <definedName function="false" hidden="true" name="FDD_146_10" vbProcedure="false">"A34334"</definedName>
    <definedName function="false" hidden="true" name="FDD_146_11" vbProcedure="false">"A34699"</definedName>
    <definedName function="false" hidden="true" name="FDD_146_12" vbProcedure="false">"A35064"</definedName>
    <definedName function="false" hidden="true" name="FDD_146_13" vbProcedure="false">"A35430"</definedName>
    <definedName function="false" hidden="true" name="FDD_146_14" vbProcedure="false">"A35795"</definedName>
    <definedName function="false" hidden="true" name="FDD_146_2" vbProcedure="false">"A31412"</definedName>
    <definedName function="false" hidden="true" name="FDD_146_3" vbProcedure="false">"A31777"</definedName>
    <definedName function="false" hidden="true" name="FDD_146_4" vbProcedure="false">"A32142"</definedName>
    <definedName function="false" hidden="true" name="FDD_146_5" vbProcedure="false">"A32508"</definedName>
    <definedName function="false" hidden="true" name="FDD_146_6" vbProcedure="false">"A32873"</definedName>
    <definedName function="false" hidden="true" name="FDD_146_7" vbProcedure="false">"A33238"</definedName>
    <definedName function="false" hidden="true" name="FDD_146_8" vbProcedure="false">"A33603"</definedName>
    <definedName function="false" hidden="true" name="FDD_146_9" vbProcedure="false">"A33969"</definedName>
    <definedName function="false" hidden="true" name="FDD_147_0" vbProcedure="false">"U30681"</definedName>
    <definedName function="false" hidden="true" name="FDD_147_1" vbProcedure="false">"U31047"</definedName>
    <definedName function="false" hidden="true" name="FDD_147_10" vbProcedure="false">"U34334"</definedName>
    <definedName function="false" hidden="true" name="FDD_147_11" vbProcedure="false">"U34699"</definedName>
    <definedName function="false" hidden="true" name="FDD_147_12" vbProcedure="false">"U35064"</definedName>
    <definedName function="false" hidden="true" name="FDD_147_13" vbProcedure="false">"U35430"</definedName>
    <definedName function="false" hidden="true" name="FDD_147_14" vbProcedure="false">"U35795"</definedName>
    <definedName function="false" hidden="true" name="FDD_147_2" vbProcedure="false">"U31412"</definedName>
    <definedName function="false" hidden="true" name="FDD_147_3" vbProcedure="false">"U31777"</definedName>
    <definedName function="false" hidden="true" name="FDD_147_4" vbProcedure="false">"U32142"</definedName>
    <definedName function="false" hidden="true" name="FDD_147_5" vbProcedure="false">"U32508"</definedName>
    <definedName function="false" hidden="true" name="FDD_147_6" vbProcedure="false">"U32873"</definedName>
    <definedName function="false" hidden="true" name="FDD_147_7" vbProcedure="false">"U33238"</definedName>
    <definedName function="false" hidden="true" name="FDD_147_8" vbProcedure="false">"U33603"</definedName>
    <definedName function="false" hidden="true" name="FDD_147_9" vbProcedure="false">"U33969"</definedName>
    <definedName function="false" hidden="true" name="FDD_148_0" vbProcedure="false">"A30681"</definedName>
    <definedName function="false" hidden="true" name="FDD_148_1" vbProcedure="false">"A31047"</definedName>
    <definedName function="false" hidden="true" name="FDD_148_10" vbProcedure="false">"A34334"</definedName>
    <definedName function="false" hidden="true" name="FDD_148_11" vbProcedure="false">"A34699"</definedName>
    <definedName function="false" hidden="true" name="FDD_148_12" vbProcedure="false">"A35064"</definedName>
    <definedName function="false" hidden="true" name="FDD_148_13" vbProcedure="false">"A35430"</definedName>
    <definedName function="false" hidden="true" name="FDD_148_14" vbProcedure="false">"A35795"</definedName>
    <definedName function="false" hidden="true" name="FDD_148_2" vbProcedure="false">"A31412"</definedName>
    <definedName function="false" hidden="true" name="FDD_148_3" vbProcedure="false">"A31777"</definedName>
    <definedName function="false" hidden="true" name="FDD_148_4" vbProcedure="false">"A32142"</definedName>
    <definedName function="false" hidden="true" name="FDD_148_5" vbProcedure="false">"A32508"</definedName>
    <definedName function="false" hidden="true" name="FDD_148_6" vbProcedure="false">"A32873"</definedName>
    <definedName function="false" hidden="true" name="FDD_148_7" vbProcedure="false">"A33238"</definedName>
    <definedName function="false" hidden="true" name="FDD_148_8" vbProcedure="false">"A33603"</definedName>
    <definedName function="false" hidden="true" name="FDD_148_9" vbProcedure="false">"A33969"</definedName>
    <definedName function="false" hidden="true" name="FDD_149_0" vbProcedure="false">"U30681"</definedName>
    <definedName function="false" hidden="true" name="FDD_149_1" vbProcedure="false">"U31047"</definedName>
    <definedName function="false" hidden="true" name="FDD_149_10" vbProcedure="false">"U34334"</definedName>
    <definedName function="false" hidden="true" name="FDD_149_11" vbProcedure="false">"U34699"</definedName>
    <definedName function="false" hidden="true" name="FDD_149_12" vbProcedure="false">"U35064"</definedName>
    <definedName function="false" hidden="true" name="FDD_149_13" vbProcedure="false">"U35430"</definedName>
    <definedName function="false" hidden="true" name="FDD_149_14" vbProcedure="false">"A35795"</definedName>
    <definedName function="false" hidden="true" name="FDD_149_2" vbProcedure="false">"U31412"</definedName>
    <definedName function="false" hidden="true" name="FDD_149_3" vbProcedure="false">"U31777"</definedName>
    <definedName function="false" hidden="true" name="FDD_149_4" vbProcedure="false">"U32142"</definedName>
    <definedName function="false" hidden="true" name="FDD_149_5" vbProcedure="false">"U32508"</definedName>
    <definedName function="false" hidden="true" name="FDD_149_6" vbProcedure="false">"U32873"</definedName>
    <definedName function="false" hidden="true" name="FDD_149_7" vbProcedure="false">"U33238"</definedName>
    <definedName function="false" hidden="true" name="FDD_149_8" vbProcedure="false">"U33603"</definedName>
    <definedName function="false" hidden="true" name="FDD_149_9" vbProcedure="false">"U33969"</definedName>
    <definedName function="false" hidden="true" name="FDD_14_0" vbProcedure="false">"A25569"</definedName>
    <definedName function="false" hidden="true" name="FDD_151_0" vbProcedure="false">"A30681"</definedName>
    <definedName function="false" hidden="true" name="FDD_151_1" vbProcedure="false">"A31047"</definedName>
    <definedName function="false" hidden="true" name="FDD_151_10" vbProcedure="false">"A34334"</definedName>
    <definedName function="false" hidden="true" name="FDD_151_11" vbProcedure="false">"A34699"</definedName>
    <definedName function="false" hidden="true" name="FDD_151_12" vbProcedure="false">"A35064"</definedName>
    <definedName function="false" hidden="true" name="FDD_151_13" vbProcedure="false">"A35430"</definedName>
    <definedName function="false" hidden="true" name="FDD_151_14" vbProcedure="false">"A35795"</definedName>
    <definedName function="false" hidden="true" name="FDD_151_2" vbProcedure="false">"A31412"</definedName>
    <definedName function="false" hidden="true" name="FDD_151_3" vbProcedure="false">"A31777"</definedName>
    <definedName function="false" hidden="true" name="FDD_151_4" vbProcedure="false">"A32142"</definedName>
    <definedName function="false" hidden="true" name="FDD_151_5" vbProcedure="false">"A32508"</definedName>
    <definedName function="false" hidden="true" name="FDD_151_6" vbProcedure="false">"A32873"</definedName>
    <definedName function="false" hidden="true" name="FDD_151_7" vbProcedure="false">"A33238"</definedName>
    <definedName function="false" hidden="true" name="FDD_151_8" vbProcedure="false">"A33603"</definedName>
    <definedName function="false" hidden="true" name="FDD_151_9" vbProcedure="false">"A33969"</definedName>
    <definedName function="false" hidden="true" name="FDD_152_0" vbProcedure="false">"A30681"</definedName>
    <definedName function="false" hidden="true" name="FDD_152_1" vbProcedure="false">"A31047"</definedName>
    <definedName function="false" hidden="true" name="FDD_152_10" vbProcedure="false">"A34334"</definedName>
    <definedName function="false" hidden="true" name="FDD_152_11" vbProcedure="false">"A34699"</definedName>
    <definedName function="false" hidden="true" name="FDD_152_12" vbProcedure="false">"A35064"</definedName>
    <definedName function="false" hidden="true" name="FDD_152_13" vbProcedure="false">"A35430"</definedName>
    <definedName function="false" hidden="true" name="FDD_152_14" vbProcedure="false">"A35795"</definedName>
    <definedName function="false" hidden="true" name="FDD_152_15" vbProcedure="false">"E36160"</definedName>
    <definedName function="false" hidden="true" name="FDD_152_2" vbProcedure="false">"A31412"</definedName>
    <definedName function="false" hidden="true" name="FDD_152_3" vbProcedure="false">"A31777"</definedName>
    <definedName function="false" hidden="true" name="FDD_152_4" vbProcedure="false">"A32142"</definedName>
    <definedName function="false" hidden="true" name="FDD_152_5" vbProcedure="false">"A32508"</definedName>
    <definedName function="false" hidden="true" name="FDD_152_6" vbProcedure="false">"A32873"</definedName>
    <definedName function="false" hidden="true" name="FDD_152_7" vbProcedure="false">"A33238"</definedName>
    <definedName function="false" hidden="true" name="FDD_152_8" vbProcedure="false">"A33603"</definedName>
    <definedName function="false" hidden="true" name="FDD_152_9" vbProcedure="false">"A33969"</definedName>
    <definedName function="false" hidden="true" name="FDD_153_0" vbProcedure="false">"A30681"</definedName>
    <definedName function="false" hidden="true" name="FDD_153_1" vbProcedure="false">"A31047"</definedName>
    <definedName function="false" hidden="true" name="FDD_153_10" vbProcedure="false">"A34334"</definedName>
    <definedName function="false" hidden="true" name="FDD_153_11" vbProcedure="false">"A34699"</definedName>
    <definedName function="false" hidden="true" name="FDD_153_12" vbProcedure="false">"A35064"</definedName>
    <definedName function="false" hidden="true" name="FDD_153_13" vbProcedure="false">"A35430"</definedName>
    <definedName function="false" hidden="true" name="FDD_153_14" vbProcedure="false">"A35795"</definedName>
    <definedName function="false" hidden="true" name="FDD_153_2" vbProcedure="false">"A31412"</definedName>
    <definedName function="false" hidden="true" name="FDD_153_3" vbProcedure="false">"A31777"</definedName>
    <definedName function="false" hidden="true" name="FDD_153_4" vbProcedure="false">"A32142"</definedName>
    <definedName function="false" hidden="true" name="FDD_153_5" vbProcedure="false">"A32508"</definedName>
    <definedName function="false" hidden="true" name="FDD_153_6" vbProcedure="false">"A32873"</definedName>
    <definedName function="false" hidden="true" name="FDD_153_7" vbProcedure="false">"A33238"</definedName>
    <definedName function="false" hidden="true" name="FDD_153_8" vbProcedure="false">"A33603"</definedName>
    <definedName function="false" hidden="true" name="FDD_153_9" vbProcedure="false">"A33969"</definedName>
    <definedName function="false" hidden="true" name="FDD_154_0" vbProcedure="false">"A30681"</definedName>
    <definedName function="false" hidden="true" name="FDD_154_1" vbProcedure="false">"A31047"</definedName>
    <definedName function="false" hidden="true" name="FDD_154_10" vbProcedure="false">"A34334"</definedName>
    <definedName function="false" hidden="true" name="FDD_154_11" vbProcedure="false">"A34699"</definedName>
    <definedName function="false" hidden="true" name="FDD_154_12" vbProcedure="false">"A35064"</definedName>
    <definedName function="false" hidden="true" name="FDD_154_13" vbProcedure="false">"A35430"</definedName>
    <definedName function="false" hidden="true" name="FDD_154_14" vbProcedure="false">"A35795"</definedName>
    <definedName function="false" hidden="true" name="FDD_154_2" vbProcedure="false">"A31412"</definedName>
    <definedName function="false" hidden="true" name="FDD_154_3" vbProcedure="false">"A31777"</definedName>
    <definedName function="false" hidden="true" name="FDD_154_4" vbProcedure="false">"A32142"</definedName>
    <definedName function="false" hidden="true" name="FDD_154_5" vbProcedure="false">"A32508"</definedName>
    <definedName function="false" hidden="true" name="FDD_154_6" vbProcedure="false">"A32873"</definedName>
    <definedName function="false" hidden="true" name="FDD_154_7" vbProcedure="false">"A33238"</definedName>
    <definedName function="false" hidden="true" name="FDD_154_8" vbProcedure="false">"A33603"</definedName>
    <definedName function="false" hidden="true" name="FDD_154_9" vbProcedure="false">"A33969"</definedName>
    <definedName function="false" hidden="true" name="FDD_155_0" vbProcedure="false">"A25569"</definedName>
    <definedName function="false" hidden="true" name="FDD_156_0" vbProcedure="false">"A30681"</definedName>
    <definedName function="false" hidden="true" name="FDD_156_1" vbProcedure="false">"A31047"</definedName>
    <definedName function="false" hidden="true" name="FDD_156_10" vbProcedure="false">"A34334"</definedName>
    <definedName function="false" hidden="true" name="FDD_156_11" vbProcedure="false">"A34699"</definedName>
    <definedName function="false" hidden="true" name="FDD_156_12" vbProcedure="false">"A35064"</definedName>
    <definedName function="false" hidden="true" name="FDD_156_13" vbProcedure="false">"A35430"</definedName>
    <definedName function="false" hidden="true" name="FDD_156_14" vbProcedure="false">"A35795"</definedName>
    <definedName function="false" hidden="true" name="FDD_156_15" vbProcedure="false">"E36160"</definedName>
    <definedName function="false" hidden="true" name="FDD_156_2" vbProcedure="false">"A31412"</definedName>
    <definedName function="false" hidden="true" name="FDD_156_3" vbProcedure="false">"A31777"</definedName>
    <definedName function="false" hidden="true" name="FDD_156_4" vbProcedure="false">"A32142"</definedName>
    <definedName function="false" hidden="true" name="FDD_156_5" vbProcedure="false">"A32508"</definedName>
    <definedName function="false" hidden="true" name="FDD_156_6" vbProcedure="false">"A32873"</definedName>
    <definedName function="false" hidden="true" name="FDD_156_7" vbProcedure="false">"A33238"</definedName>
    <definedName function="false" hidden="true" name="FDD_156_8" vbProcedure="false">"A33603"</definedName>
    <definedName function="false" hidden="true" name="FDD_156_9" vbProcedure="false">"A33969"</definedName>
    <definedName function="false" hidden="true" name="FDD_157_0" vbProcedure="false">"A30681"</definedName>
    <definedName function="false" hidden="true" name="FDD_157_1" vbProcedure="false">"A31047"</definedName>
    <definedName function="false" hidden="true" name="FDD_157_10" vbProcedure="false">"A34334"</definedName>
    <definedName function="false" hidden="true" name="FDD_157_11" vbProcedure="false">"A34699"</definedName>
    <definedName function="false" hidden="true" name="FDD_157_12" vbProcedure="false">"A35064"</definedName>
    <definedName function="false" hidden="true" name="FDD_157_13" vbProcedure="false">"A35430"</definedName>
    <definedName function="false" hidden="true" name="FDD_157_14" vbProcedure="false">"A35795"</definedName>
    <definedName function="false" hidden="true" name="FDD_157_2" vbProcedure="false">"A31412"</definedName>
    <definedName function="false" hidden="true" name="FDD_157_3" vbProcedure="false">"A31777"</definedName>
    <definedName function="false" hidden="true" name="FDD_157_4" vbProcedure="false">"A32142"</definedName>
    <definedName function="false" hidden="true" name="FDD_157_5" vbProcedure="false">"A32508"</definedName>
    <definedName function="false" hidden="true" name="FDD_157_6" vbProcedure="false">"A32873"</definedName>
    <definedName function="false" hidden="true" name="FDD_157_7" vbProcedure="false">"A33238"</definedName>
    <definedName function="false" hidden="true" name="FDD_157_8" vbProcedure="false">"A33603"</definedName>
    <definedName function="false" hidden="true" name="FDD_157_9" vbProcedure="false">"A33969"</definedName>
    <definedName function="false" hidden="true" name="FDD_158_0" vbProcedure="false">"A30681"</definedName>
    <definedName function="false" hidden="true" name="FDD_158_1" vbProcedure="false">"A31047"</definedName>
    <definedName function="false" hidden="true" name="FDD_158_10" vbProcedure="false">"A34334"</definedName>
    <definedName function="false" hidden="true" name="FDD_158_11" vbProcedure="false">"A34699"</definedName>
    <definedName function="false" hidden="true" name="FDD_158_12" vbProcedure="false">"A35064"</definedName>
    <definedName function="false" hidden="true" name="FDD_158_13" vbProcedure="false">"A35430"</definedName>
    <definedName function="false" hidden="true" name="FDD_158_14" vbProcedure="false">"A35795"</definedName>
    <definedName function="false" hidden="true" name="FDD_158_15" vbProcedure="false">"E36160"</definedName>
    <definedName function="false" hidden="true" name="FDD_158_2" vbProcedure="false">"A31412"</definedName>
    <definedName function="false" hidden="true" name="FDD_158_3" vbProcedure="false">"A31777"</definedName>
    <definedName function="false" hidden="true" name="FDD_158_4" vbProcedure="false">"A32142"</definedName>
    <definedName function="false" hidden="true" name="FDD_158_5" vbProcedure="false">"A32508"</definedName>
    <definedName function="false" hidden="true" name="FDD_158_6" vbProcedure="false">"A32873"</definedName>
    <definedName function="false" hidden="true" name="FDD_158_7" vbProcedure="false">"A33238"</definedName>
    <definedName function="false" hidden="true" name="FDD_158_8" vbProcedure="false">"A33603"</definedName>
    <definedName function="false" hidden="true" name="FDD_158_9" vbProcedure="false">"A33969"</definedName>
    <definedName function="false" hidden="true" name="FDD_159_0" vbProcedure="false">"A30681"</definedName>
    <definedName function="false" hidden="true" name="FDD_159_1" vbProcedure="false">"A31047"</definedName>
    <definedName function="false" hidden="true" name="FDD_159_10" vbProcedure="false">"A34334"</definedName>
    <definedName function="false" hidden="true" name="FDD_159_11" vbProcedure="false">"A34699"</definedName>
    <definedName function="false" hidden="true" name="FDD_159_12" vbProcedure="false">"A35064"</definedName>
    <definedName function="false" hidden="true" name="FDD_159_13" vbProcedure="false">"A35430"</definedName>
    <definedName function="false" hidden="true" name="FDD_159_14" vbProcedure="false">"A35795"</definedName>
    <definedName function="false" hidden="true" name="FDD_159_2" vbProcedure="false">"A31412"</definedName>
    <definedName function="false" hidden="true" name="FDD_159_3" vbProcedure="false">"A31777"</definedName>
    <definedName function="false" hidden="true" name="FDD_159_4" vbProcedure="false">"A32142"</definedName>
    <definedName function="false" hidden="true" name="FDD_159_5" vbProcedure="false">"A32508"</definedName>
    <definedName function="false" hidden="true" name="FDD_159_6" vbProcedure="false">"A32873"</definedName>
    <definedName function="false" hidden="true" name="FDD_159_7" vbProcedure="false">"A33238"</definedName>
    <definedName function="false" hidden="true" name="FDD_159_8" vbProcedure="false">"A33603"</definedName>
    <definedName function="false" hidden="true" name="FDD_159_9" vbProcedure="false">"A33969"</definedName>
    <definedName function="false" hidden="true" name="FDD_15_0" vbProcedure="false">"A25569"</definedName>
    <definedName function="false" hidden="true" name="FDD_160_0" vbProcedure="false">"A30681"</definedName>
    <definedName function="false" hidden="true" name="FDD_160_1" vbProcedure="false">"A31047"</definedName>
    <definedName function="false" hidden="true" name="FDD_160_10" vbProcedure="false">"A34334"</definedName>
    <definedName function="false" hidden="true" name="FDD_160_11" vbProcedure="false">"A34699"</definedName>
    <definedName function="false" hidden="true" name="FDD_160_12" vbProcedure="false">"A35064"</definedName>
    <definedName function="false" hidden="true" name="FDD_160_13" vbProcedure="false">"A35430"</definedName>
    <definedName function="false" hidden="true" name="FDD_160_14" vbProcedure="false">"A35795"</definedName>
    <definedName function="false" hidden="true" name="FDD_160_15" vbProcedure="false">"E36160"</definedName>
    <definedName function="false" hidden="true" name="FDD_160_2" vbProcedure="false">"A31412"</definedName>
    <definedName function="false" hidden="true" name="FDD_160_3" vbProcedure="false">"A31777"</definedName>
    <definedName function="false" hidden="true" name="FDD_160_4" vbProcedure="false">"A32142"</definedName>
    <definedName function="false" hidden="true" name="FDD_160_5" vbProcedure="false">"A32508"</definedName>
    <definedName function="false" hidden="true" name="FDD_160_6" vbProcedure="false">"A32873"</definedName>
    <definedName function="false" hidden="true" name="FDD_160_7" vbProcedure="false">"A33238"</definedName>
    <definedName function="false" hidden="true" name="FDD_160_8" vbProcedure="false">"A33603"</definedName>
    <definedName function="false" hidden="true" name="FDD_160_9" vbProcedure="false">"A33969"</definedName>
    <definedName function="false" hidden="true" name="FDD_161_0" vbProcedure="false">"A30681"</definedName>
    <definedName function="false" hidden="true" name="FDD_161_1" vbProcedure="false">"A31047"</definedName>
    <definedName function="false" hidden="true" name="FDD_161_10" vbProcedure="false">"A34334"</definedName>
    <definedName function="false" hidden="true" name="FDD_161_11" vbProcedure="false">"A34699"</definedName>
    <definedName function="false" hidden="true" name="FDD_161_12" vbProcedure="false">"A35064"</definedName>
    <definedName function="false" hidden="true" name="FDD_161_13" vbProcedure="false">"A35430"</definedName>
    <definedName function="false" hidden="true" name="FDD_161_14" vbProcedure="false">"A35795"</definedName>
    <definedName function="false" hidden="true" name="FDD_161_2" vbProcedure="false">"A31412"</definedName>
    <definedName function="false" hidden="true" name="FDD_161_3" vbProcedure="false">"A31777"</definedName>
    <definedName function="false" hidden="true" name="FDD_161_4" vbProcedure="false">"A32142"</definedName>
    <definedName function="false" hidden="true" name="FDD_161_5" vbProcedure="false">"A32508"</definedName>
    <definedName function="false" hidden="true" name="FDD_161_6" vbProcedure="false">"A32873"</definedName>
    <definedName function="false" hidden="true" name="FDD_161_7" vbProcedure="false">"A33238"</definedName>
    <definedName function="false" hidden="true" name="FDD_161_8" vbProcedure="false">"A33603"</definedName>
    <definedName function="false" hidden="true" name="FDD_161_9" vbProcedure="false">"A33969"</definedName>
    <definedName function="false" hidden="true" name="FDD_162_0" vbProcedure="false">"A30681"</definedName>
    <definedName function="false" hidden="true" name="FDD_162_1" vbProcedure="false">"A31047"</definedName>
    <definedName function="false" hidden="true" name="FDD_162_10" vbProcedure="false">"A34334"</definedName>
    <definedName function="false" hidden="true" name="FDD_162_11" vbProcedure="false">"A34699"</definedName>
    <definedName function="false" hidden="true" name="FDD_162_12" vbProcedure="false">"A35064"</definedName>
    <definedName function="false" hidden="true" name="FDD_162_13" vbProcedure="false">"A35430"</definedName>
    <definedName function="false" hidden="true" name="FDD_162_14" vbProcedure="false">"A35795"</definedName>
    <definedName function="false" hidden="true" name="FDD_162_2" vbProcedure="false">"A31412"</definedName>
    <definedName function="false" hidden="true" name="FDD_162_3" vbProcedure="false">"A31777"</definedName>
    <definedName function="false" hidden="true" name="FDD_162_4" vbProcedure="false">"A32142"</definedName>
    <definedName function="false" hidden="true" name="FDD_162_5" vbProcedure="false">"A32508"</definedName>
    <definedName function="false" hidden="true" name="FDD_162_6" vbProcedure="false">"A32873"</definedName>
    <definedName function="false" hidden="true" name="FDD_162_7" vbProcedure="false">"A33238"</definedName>
    <definedName function="false" hidden="true" name="FDD_162_8" vbProcedure="false">"A33603"</definedName>
    <definedName function="false" hidden="true" name="FDD_162_9" vbProcedure="false">"A33969"</definedName>
    <definedName function="false" hidden="true" name="FDD_163_0" vbProcedure="false">"A30681"</definedName>
    <definedName function="false" hidden="true" name="FDD_163_1" vbProcedure="false">"A31047"</definedName>
    <definedName function="false" hidden="true" name="FDD_163_10" vbProcedure="false">"A34334"</definedName>
    <definedName function="false" hidden="true" name="FDD_163_11" vbProcedure="false">"A34699"</definedName>
    <definedName function="false" hidden="true" name="FDD_163_12" vbProcedure="false">"A35064"</definedName>
    <definedName function="false" hidden="true" name="FDD_163_13" vbProcedure="false">"A35430"</definedName>
    <definedName function="false" hidden="true" name="FDD_163_14" vbProcedure="false">"A35795"</definedName>
    <definedName function="false" hidden="true" name="FDD_163_2" vbProcedure="false">"A31412"</definedName>
    <definedName function="false" hidden="true" name="FDD_163_3" vbProcedure="false">"A31777"</definedName>
    <definedName function="false" hidden="true" name="FDD_163_4" vbProcedure="false">"A32142"</definedName>
    <definedName function="false" hidden="true" name="FDD_163_5" vbProcedure="false">"A32508"</definedName>
    <definedName function="false" hidden="true" name="FDD_163_6" vbProcedure="false">"A32873"</definedName>
    <definedName function="false" hidden="true" name="FDD_163_7" vbProcedure="false">"A33238"</definedName>
    <definedName function="false" hidden="true" name="FDD_163_8" vbProcedure="false">"A33603"</definedName>
    <definedName function="false" hidden="true" name="FDD_163_9" vbProcedure="false">"A33969"</definedName>
    <definedName function="false" hidden="true" name="FDD_164_0" vbProcedure="false">"A25569"</definedName>
    <definedName function="false" hidden="true" name="FDD_165_0" vbProcedure="false">"A30681"</definedName>
    <definedName function="false" hidden="true" name="FDD_165_1" vbProcedure="false">"A31047"</definedName>
    <definedName function="false" hidden="true" name="FDD_165_10" vbProcedure="false">"A34334"</definedName>
    <definedName function="false" hidden="true" name="FDD_165_11" vbProcedure="false">"A34699"</definedName>
    <definedName function="false" hidden="true" name="FDD_165_12" vbProcedure="false">"A35064"</definedName>
    <definedName function="false" hidden="true" name="FDD_165_13" vbProcedure="false">"A35430"</definedName>
    <definedName function="false" hidden="true" name="FDD_165_14" vbProcedure="false">"A35795"</definedName>
    <definedName function="false" hidden="true" name="FDD_165_2" vbProcedure="false">"A31412"</definedName>
    <definedName function="false" hidden="true" name="FDD_165_3" vbProcedure="false">"A31777"</definedName>
    <definedName function="false" hidden="true" name="FDD_165_4" vbProcedure="false">"A32142"</definedName>
    <definedName function="false" hidden="true" name="FDD_165_5" vbProcedure="false">"A32508"</definedName>
    <definedName function="false" hidden="true" name="FDD_165_6" vbProcedure="false">"A32873"</definedName>
    <definedName function="false" hidden="true" name="FDD_165_7" vbProcedure="false">"A33238"</definedName>
    <definedName function="false" hidden="true" name="FDD_165_8" vbProcedure="false">"A33603"</definedName>
    <definedName function="false" hidden="true" name="FDD_165_9" vbProcedure="false">"A33969"</definedName>
    <definedName function="false" hidden="true" name="FDD_166_0" vbProcedure="false">"A30681"</definedName>
    <definedName function="false" hidden="true" name="FDD_166_1" vbProcedure="false">"A31047"</definedName>
    <definedName function="false" hidden="true" name="FDD_166_10" vbProcedure="false">"A34334"</definedName>
    <definedName function="false" hidden="true" name="FDD_166_11" vbProcedure="false">"A34699"</definedName>
    <definedName function="false" hidden="true" name="FDD_166_12" vbProcedure="false">"A35064"</definedName>
    <definedName function="false" hidden="true" name="FDD_166_13" vbProcedure="false">"A35430"</definedName>
    <definedName function="false" hidden="true" name="FDD_166_14" vbProcedure="false">"A35795"</definedName>
    <definedName function="false" hidden="true" name="FDD_166_2" vbProcedure="false">"A31412"</definedName>
    <definedName function="false" hidden="true" name="FDD_166_3" vbProcedure="false">"A31777"</definedName>
    <definedName function="false" hidden="true" name="FDD_166_4" vbProcedure="false">"A32142"</definedName>
    <definedName function="false" hidden="true" name="FDD_166_5" vbProcedure="false">"A32508"</definedName>
    <definedName function="false" hidden="true" name="FDD_166_6" vbProcedure="false">"A32873"</definedName>
    <definedName function="false" hidden="true" name="FDD_166_7" vbProcedure="false">"A33238"</definedName>
    <definedName function="false" hidden="true" name="FDD_166_8" vbProcedure="false">"A33603"</definedName>
    <definedName function="false" hidden="true" name="FDD_166_9" vbProcedure="false">"A33969"</definedName>
    <definedName function="false" hidden="true" name="FDD_167_0" vbProcedure="false">"A30681"</definedName>
    <definedName function="false" hidden="true" name="FDD_167_1" vbProcedure="false">"A31047"</definedName>
    <definedName function="false" hidden="true" name="FDD_167_10" vbProcedure="false">"A34334"</definedName>
    <definedName function="false" hidden="true" name="FDD_167_11" vbProcedure="false">"A34699"</definedName>
    <definedName function="false" hidden="true" name="FDD_167_12" vbProcedure="false">"A35064"</definedName>
    <definedName function="false" hidden="true" name="FDD_167_13" vbProcedure="false">"A35430"</definedName>
    <definedName function="false" hidden="true" name="FDD_167_14" vbProcedure="false">"A35795"</definedName>
    <definedName function="false" hidden="true" name="FDD_167_2" vbProcedure="false">"A31412"</definedName>
    <definedName function="false" hidden="true" name="FDD_167_3" vbProcedure="false">"A31777"</definedName>
    <definedName function="false" hidden="true" name="FDD_167_4" vbProcedure="false">"A32142"</definedName>
    <definedName function="false" hidden="true" name="FDD_167_5" vbProcedure="false">"A32508"</definedName>
    <definedName function="false" hidden="true" name="FDD_167_6" vbProcedure="false">"A32873"</definedName>
    <definedName function="false" hidden="true" name="FDD_167_7" vbProcedure="false">"A33238"</definedName>
    <definedName function="false" hidden="true" name="FDD_167_8" vbProcedure="false">"A33603"</definedName>
    <definedName function="false" hidden="true" name="FDD_167_9" vbProcedure="false">"A33969"</definedName>
    <definedName function="false" hidden="true" name="FDD_168_0" vbProcedure="false">"E36160"</definedName>
    <definedName function="false" hidden="true" name="FDD_168_1" vbProcedure="false">"E36525"</definedName>
    <definedName function="false" hidden="true" name="FDD_168_2" vbProcedure="false">"E36891"</definedName>
    <definedName function="false" hidden="true" name="FDD_169_0" vbProcedure="false">"A30681"</definedName>
    <definedName function="false" hidden="true" name="FDD_169_1" vbProcedure="false">"A31047"</definedName>
    <definedName function="false" hidden="true" name="FDD_169_10" vbProcedure="false">"A34334"</definedName>
    <definedName function="false" hidden="true" name="FDD_169_11" vbProcedure="false">"A34699"</definedName>
    <definedName function="false" hidden="true" name="FDD_169_12" vbProcedure="false">"A35064"</definedName>
    <definedName function="false" hidden="true" name="FDD_169_13" vbProcedure="false">"A35430"</definedName>
    <definedName function="false" hidden="true" name="FDD_169_14" vbProcedure="false">"A35795"</definedName>
    <definedName function="false" hidden="true" name="FDD_169_2" vbProcedure="false">"A31412"</definedName>
    <definedName function="false" hidden="true" name="FDD_169_3" vbProcedure="false">"A31777"</definedName>
    <definedName function="false" hidden="true" name="FDD_169_4" vbProcedure="false">"A32142"</definedName>
    <definedName function="false" hidden="true" name="FDD_169_5" vbProcedure="false">"A32508"</definedName>
    <definedName function="false" hidden="true" name="FDD_169_6" vbProcedure="false">"A32873"</definedName>
    <definedName function="false" hidden="true" name="FDD_169_7" vbProcedure="false">"A33238"</definedName>
    <definedName function="false" hidden="true" name="FDD_169_8" vbProcedure="false">"A33603"</definedName>
    <definedName function="false" hidden="true" name="FDD_169_9" vbProcedure="false">"A33969"</definedName>
    <definedName function="false" hidden="true" name="FDD_16_0" vbProcedure="false">"A25569"</definedName>
    <definedName function="false" hidden="true" name="FDD_170_0" vbProcedure="false">"A30681"</definedName>
    <definedName function="false" hidden="true" name="FDD_170_1" vbProcedure="false">"A31047"</definedName>
    <definedName function="false" hidden="true" name="FDD_170_10" vbProcedure="false">"A34334"</definedName>
    <definedName function="false" hidden="true" name="FDD_170_11" vbProcedure="false">"A34699"</definedName>
    <definedName function="false" hidden="true" name="FDD_170_12" vbProcedure="false">"A35064"</definedName>
    <definedName function="false" hidden="true" name="FDD_170_13" vbProcedure="false">"A35430"</definedName>
    <definedName function="false" hidden="true" name="FDD_170_14" vbProcedure="false">"A35795"</definedName>
    <definedName function="false" hidden="true" name="FDD_170_2" vbProcedure="false">"A31412"</definedName>
    <definedName function="false" hidden="true" name="FDD_170_3" vbProcedure="false">"A31777"</definedName>
    <definedName function="false" hidden="true" name="FDD_170_4" vbProcedure="false">"A32142"</definedName>
    <definedName function="false" hidden="true" name="FDD_170_5" vbProcedure="false">"A32508"</definedName>
    <definedName function="false" hidden="true" name="FDD_170_6" vbProcedure="false">"A32873"</definedName>
    <definedName function="false" hidden="true" name="FDD_170_7" vbProcedure="false">"A33238"</definedName>
    <definedName function="false" hidden="true" name="FDD_170_8" vbProcedure="false">"A33603"</definedName>
    <definedName function="false" hidden="true" name="FDD_170_9" vbProcedure="false">"A33969"</definedName>
    <definedName function="false" hidden="true" name="FDD_171_0" vbProcedure="false">"A30681"</definedName>
    <definedName function="false" hidden="true" name="FDD_171_1" vbProcedure="false">"A31047"</definedName>
    <definedName function="false" hidden="true" name="FDD_171_10" vbProcedure="false">"A34334"</definedName>
    <definedName function="false" hidden="true" name="FDD_171_11" vbProcedure="false">"A34699"</definedName>
    <definedName function="false" hidden="true" name="FDD_171_12" vbProcedure="false">"A35064"</definedName>
    <definedName function="false" hidden="true" name="FDD_171_13" vbProcedure="false">"A35430"</definedName>
    <definedName function="false" hidden="true" name="FDD_171_14" vbProcedure="false">"A35795"</definedName>
    <definedName function="false" hidden="true" name="FDD_171_2" vbProcedure="false">"A31412"</definedName>
    <definedName function="false" hidden="true" name="FDD_171_3" vbProcedure="false">"A31777"</definedName>
    <definedName function="false" hidden="true" name="FDD_171_4" vbProcedure="false">"A32142"</definedName>
    <definedName function="false" hidden="true" name="FDD_171_5" vbProcedure="false">"A32508"</definedName>
    <definedName function="false" hidden="true" name="FDD_171_6" vbProcedure="false">"A32873"</definedName>
    <definedName function="false" hidden="true" name="FDD_171_7" vbProcedure="false">"A33238"</definedName>
    <definedName function="false" hidden="true" name="FDD_171_8" vbProcedure="false">"A33603"</definedName>
    <definedName function="false" hidden="true" name="FDD_171_9" vbProcedure="false">"A33969"</definedName>
    <definedName function="false" hidden="true" name="FDD_172_0" vbProcedure="false">"A30681"</definedName>
    <definedName function="false" hidden="true" name="FDD_172_1" vbProcedure="false">"A31047"</definedName>
    <definedName function="false" hidden="true" name="FDD_172_10" vbProcedure="false">"A34334"</definedName>
    <definedName function="false" hidden="true" name="FDD_172_11" vbProcedure="false">"A34699"</definedName>
    <definedName function="false" hidden="true" name="FDD_172_12" vbProcedure="false">"A35064"</definedName>
    <definedName function="false" hidden="true" name="FDD_172_13" vbProcedure="false">"A35430"</definedName>
    <definedName function="false" hidden="true" name="FDD_172_14" vbProcedure="false">"A35795"</definedName>
    <definedName function="false" hidden="true" name="FDD_172_2" vbProcedure="false">"A31412"</definedName>
    <definedName function="false" hidden="true" name="FDD_172_3" vbProcedure="false">"A31777"</definedName>
    <definedName function="false" hidden="true" name="FDD_172_4" vbProcedure="false">"A32142"</definedName>
    <definedName function="false" hidden="true" name="FDD_172_5" vbProcedure="false">"A32508"</definedName>
    <definedName function="false" hidden="true" name="FDD_172_6" vbProcedure="false">"A32873"</definedName>
    <definedName function="false" hidden="true" name="FDD_172_7" vbProcedure="false">"A33238"</definedName>
    <definedName function="false" hidden="true" name="FDD_172_8" vbProcedure="false">"A33603"</definedName>
    <definedName function="false" hidden="true" name="FDD_172_9" vbProcedure="false">"A33969"</definedName>
    <definedName function="false" hidden="true" name="FDD_173_0" vbProcedure="false">"A30681"</definedName>
    <definedName function="false" hidden="true" name="FDD_173_1" vbProcedure="false">"A31047"</definedName>
    <definedName function="false" hidden="true" name="FDD_173_10" vbProcedure="false">"A34334"</definedName>
    <definedName function="false" hidden="true" name="FDD_173_11" vbProcedure="false">"A34699"</definedName>
    <definedName function="false" hidden="true" name="FDD_173_12" vbProcedure="false">"A35064"</definedName>
    <definedName function="false" hidden="true" name="FDD_173_13" vbProcedure="false">"A35430"</definedName>
    <definedName function="false" hidden="true" name="FDD_173_14" vbProcedure="false">"A35795"</definedName>
    <definedName function="false" hidden="true" name="FDD_173_2" vbProcedure="false">"A31412"</definedName>
    <definedName function="false" hidden="true" name="FDD_173_3" vbProcedure="false">"A31777"</definedName>
    <definedName function="false" hidden="true" name="FDD_173_4" vbProcedure="false">"A32142"</definedName>
    <definedName function="false" hidden="true" name="FDD_173_5" vbProcedure="false">"A32508"</definedName>
    <definedName function="false" hidden="true" name="FDD_173_6" vbProcedure="false">"A32873"</definedName>
    <definedName function="false" hidden="true" name="FDD_173_7" vbProcedure="false">"A33238"</definedName>
    <definedName function="false" hidden="true" name="FDD_173_8" vbProcedure="false">"A33603"</definedName>
    <definedName function="false" hidden="true" name="FDD_173_9" vbProcedure="false">"A33969"</definedName>
    <definedName function="false" hidden="true" name="FDD_174_0" vbProcedure="false">"A30681"</definedName>
    <definedName function="false" hidden="true" name="FDD_174_1" vbProcedure="false">"A31047"</definedName>
    <definedName function="false" hidden="true" name="FDD_174_10" vbProcedure="false">"A34334"</definedName>
    <definedName function="false" hidden="true" name="FDD_174_11" vbProcedure="false">"A34699"</definedName>
    <definedName function="false" hidden="true" name="FDD_174_12" vbProcedure="false">"A35064"</definedName>
    <definedName function="false" hidden="true" name="FDD_174_13" vbProcedure="false">"A35430"</definedName>
    <definedName function="false" hidden="true" name="FDD_174_14" vbProcedure="false">"A35795"</definedName>
    <definedName function="false" hidden="true" name="FDD_174_2" vbProcedure="false">"A31412"</definedName>
    <definedName function="false" hidden="true" name="FDD_174_3" vbProcedure="false">"A31777"</definedName>
    <definedName function="false" hidden="true" name="FDD_174_4" vbProcedure="false">"A32142"</definedName>
    <definedName function="false" hidden="true" name="FDD_174_5" vbProcedure="false">"A32508"</definedName>
    <definedName function="false" hidden="true" name="FDD_174_6" vbProcedure="false">"A32873"</definedName>
    <definedName function="false" hidden="true" name="FDD_174_7" vbProcedure="false">"A33238"</definedName>
    <definedName function="false" hidden="true" name="FDD_174_8" vbProcedure="false">"A33603"</definedName>
    <definedName function="false" hidden="true" name="FDD_174_9" vbProcedure="false">"A33969"</definedName>
    <definedName function="false" hidden="true" name="FDD_175_0" vbProcedure="false">"E36160"</definedName>
    <definedName function="false" hidden="true" name="FDD_175_1" vbProcedure="false">"E36525"</definedName>
    <definedName function="false" hidden="true" name="FDD_175_2" vbProcedure="false">"E36891"</definedName>
    <definedName function="false" hidden="true" name="FDD_176_0" vbProcedure="false">"E36160"</definedName>
    <definedName function="false" hidden="true" name="FDD_176_1" vbProcedure="false">"E36525"</definedName>
    <definedName function="false" hidden="true" name="FDD_176_2" vbProcedure="false">"E36891"</definedName>
    <definedName function="false" hidden="true" name="FDD_177_0" vbProcedure="false">"E36160"</definedName>
    <definedName function="false" hidden="true" name="FDD_177_1" vbProcedure="false">"E36525"</definedName>
    <definedName function="false" hidden="true" name="FDD_177_2" vbProcedure="false">"E36891"</definedName>
    <definedName function="false" hidden="true" name="FDD_178_0" vbProcedure="false">"E36160"</definedName>
    <definedName function="false" hidden="true" name="FDD_178_1" vbProcedure="false">"E36525"</definedName>
    <definedName function="false" hidden="true" name="FDD_178_2" vbProcedure="false">"E36891"</definedName>
    <definedName function="false" hidden="true" name="FDD_179_0" vbProcedure="false">"E36160"</definedName>
    <definedName function="false" hidden="true" name="FDD_179_1" vbProcedure="false">"E36525"</definedName>
    <definedName function="false" hidden="true" name="FDD_179_2" vbProcedure="false">"E36891"</definedName>
    <definedName function="false" hidden="true" name="FDD_17_0" vbProcedure="false">"A25569"</definedName>
    <definedName function="false" hidden="true" name="FDD_180_0" vbProcedure="false">"E36160"</definedName>
    <definedName function="false" hidden="true" name="FDD_180_1" vbProcedure="false">"E36525"</definedName>
    <definedName function="false" hidden="true" name="FDD_180_2" vbProcedure="false">"E36891"</definedName>
    <definedName function="false" hidden="true" name="FDD_181_0" vbProcedure="false">"E36160"</definedName>
    <definedName function="false" hidden="true" name="FDD_181_1" vbProcedure="false">"E36525"</definedName>
    <definedName function="false" hidden="true" name="FDD_181_2" vbProcedure="false">"E36891"</definedName>
    <definedName function="false" hidden="true" name="FDD_182_0" vbProcedure="false">"E36160"</definedName>
    <definedName function="false" hidden="true" name="FDD_182_1" vbProcedure="false">"E36525"</definedName>
    <definedName function="false" hidden="true" name="FDD_182_2" vbProcedure="false">"E36891"</definedName>
    <definedName function="false" hidden="true" name="FDD_183_0" vbProcedure="false">"E36160"</definedName>
    <definedName function="false" hidden="true" name="FDD_183_1" vbProcedure="false">"E36525"</definedName>
    <definedName function="false" hidden="true" name="FDD_183_2" vbProcedure="false">"E36891"</definedName>
    <definedName function="false" hidden="true" name="FDD_184_0" vbProcedure="false">"E36160"</definedName>
    <definedName function="false" hidden="true" name="FDD_184_1" vbProcedure="false">"E36525"</definedName>
    <definedName function="false" hidden="true" name="FDD_184_2" vbProcedure="false">"E36891"</definedName>
    <definedName function="false" hidden="true" name="FDD_185_0" vbProcedure="false">"E36160"</definedName>
    <definedName function="false" hidden="true" name="FDD_185_1" vbProcedure="false">"E36525"</definedName>
    <definedName function="false" hidden="true" name="FDD_185_2" vbProcedure="false">"E36891"</definedName>
    <definedName function="false" hidden="true" name="FDD_186_0" vbProcedure="false">"E36160"</definedName>
    <definedName function="false" hidden="true" name="FDD_186_1" vbProcedure="false">"E36525"</definedName>
    <definedName function="false" hidden="true" name="FDD_186_2" vbProcedure="false">"E36891"</definedName>
    <definedName function="false" hidden="true" name="FDD_187_0" vbProcedure="false">"E36160"</definedName>
    <definedName function="false" hidden="true" name="FDD_187_1" vbProcedure="false">"E36525"</definedName>
    <definedName function="false" hidden="true" name="FDD_187_2" vbProcedure="false">"E36891"</definedName>
    <definedName function="false" hidden="true" name="FDD_188_0" vbProcedure="false">"A30681"</definedName>
    <definedName function="false" hidden="true" name="FDD_188_1" vbProcedure="false">"A31047"</definedName>
    <definedName function="false" hidden="true" name="FDD_188_10" vbProcedure="false">"A34334"</definedName>
    <definedName function="false" hidden="true" name="FDD_188_11" vbProcedure="false">"A34699"</definedName>
    <definedName function="false" hidden="true" name="FDD_188_12" vbProcedure="false">"A35064"</definedName>
    <definedName function="false" hidden="true" name="FDD_188_13" vbProcedure="false">"A35430"</definedName>
    <definedName function="false" hidden="true" name="FDD_188_14" vbProcedure="false">"A35795"</definedName>
    <definedName function="false" hidden="true" name="FDD_188_2" vbProcedure="false">"A31412"</definedName>
    <definedName function="false" hidden="true" name="FDD_188_3" vbProcedure="false">"A31777"</definedName>
    <definedName function="false" hidden="true" name="FDD_188_4" vbProcedure="false">"A32142"</definedName>
    <definedName function="false" hidden="true" name="FDD_188_5" vbProcedure="false">"A32508"</definedName>
    <definedName function="false" hidden="true" name="FDD_188_6" vbProcedure="false">"A32873"</definedName>
    <definedName function="false" hidden="true" name="FDD_188_7" vbProcedure="false">"A33238"</definedName>
    <definedName function="false" hidden="true" name="FDD_188_8" vbProcedure="false">"A33603"</definedName>
    <definedName function="false" hidden="true" name="FDD_188_9" vbProcedure="false">"A33969"</definedName>
    <definedName function="false" hidden="true" name="FDD_189_0" vbProcedure="false">"A30681"</definedName>
    <definedName function="false" hidden="true" name="FDD_189_1" vbProcedure="false">"A31047"</definedName>
    <definedName function="false" hidden="true" name="FDD_189_10" vbProcedure="false">"A34334"</definedName>
    <definedName function="false" hidden="true" name="FDD_189_11" vbProcedure="false">"A34699"</definedName>
    <definedName function="false" hidden="true" name="FDD_189_12" vbProcedure="false">"A35064"</definedName>
    <definedName function="false" hidden="true" name="FDD_189_13" vbProcedure="false">"A35430"</definedName>
    <definedName function="false" hidden="true" name="FDD_189_14" vbProcedure="false">"A35795"</definedName>
    <definedName function="false" hidden="true" name="FDD_189_2" vbProcedure="false">"A31412"</definedName>
    <definedName function="false" hidden="true" name="FDD_189_3" vbProcedure="false">"A31777"</definedName>
    <definedName function="false" hidden="true" name="FDD_189_4" vbProcedure="false">"A32142"</definedName>
    <definedName function="false" hidden="true" name="FDD_189_5" vbProcedure="false">"A32508"</definedName>
    <definedName function="false" hidden="true" name="FDD_189_6" vbProcedure="false">"A32873"</definedName>
    <definedName function="false" hidden="true" name="FDD_189_7" vbProcedure="false">"A33238"</definedName>
    <definedName function="false" hidden="true" name="FDD_189_8" vbProcedure="false">"A33603"</definedName>
    <definedName function="false" hidden="true" name="FDD_189_9" vbProcedure="false">"A33969"</definedName>
    <definedName function="false" hidden="true" name="FDD_18_0" vbProcedure="false">"A25569"</definedName>
    <definedName function="false" hidden="true" name="FDD_190_0" vbProcedure="false">"A30681"</definedName>
    <definedName function="false" hidden="true" name="FDD_190_1" vbProcedure="false">"A31047"</definedName>
    <definedName function="false" hidden="true" name="FDD_190_10" vbProcedure="false">"A34334"</definedName>
    <definedName function="false" hidden="true" name="FDD_190_11" vbProcedure="false">"A34699"</definedName>
    <definedName function="false" hidden="true" name="FDD_190_12" vbProcedure="false">"A35064"</definedName>
    <definedName function="false" hidden="true" name="FDD_190_13" vbProcedure="false">"A35430"</definedName>
    <definedName function="false" hidden="true" name="FDD_190_14" vbProcedure="false">"A35795"</definedName>
    <definedName function="false" hidden="true" name="FDD_190_2" vbProcedure="false">"A31412"</definedName>
    <definedName function="false" hidden="true" name="FDD_190_3" vbProcedure="false">"A31777"</definedName>
    <definedName function="false" hidden="true" name="FDD_190_4" vbProcedure="false">"A32142"</definedName>
    <definedName function="false" hidden="true" name="FDD_190_5" vbProcedure="false">"A32508"</definedName>
    <definedName function="false" hidden="true" name="FDD_190_6" vbProcedure="false">"A32873"</definedName>
    <definedName function="false" hidden="true" name="FDD_190_7" vbProcedure="false">"A33238"</definedName>
    <definedName function="false" hidden="true" name="FDD_190_8" vbProcedure="false">"A33603"</definedName>
    <definedName function="false" hidden="true" name="FDD_190_9" vbProcedure="false">"A33969"</definedName>
    <definedName function="false" hidden="true" name="FDD_191_0" vbProcedure="false">"A30681"</definedName>
    <definedName function="false" hidden="true" name="FDD_191_1" vbProcedure="false">"A31047"</definedName>
    <definedName function="false" hidden="true" name="FDD_191_10" vbProcedure="false">"A34334"</definedName>
    <definedName function="false" hidden="true" name="FDD_191_11" vbProcedure="false">"A34699"</definedName>
    <definedName function="false" hidden="true" name="FDD_191_12" vbProcedure="false">"A35064"</definedName>
    <definedName function="false" hidden="true" name="FDD_191_13" vbProcedure="false">"A35430"</definedName>
    <definedName function="false" hidden="true" name="FDD_191_14" vbProcedure="false">"A35795"</definedName>
    <definedName function="false" hidden="true" name="FDD_191_2" vbProcedure="false">"A31412"</definedName>
    <definedName function="false" hidden="true" name="FDD_191_3" vbProcedure="false">"A31777"</definedName>
    <definedName function="false" hidden="true" name="FDD_191_4" vbProcedure="false">"A32142"</definedName>
    <definedName function="false" hidden="true" name="FDD_191_5" vbProcedure="false">"A32508"</definedName>
    <definedName function="false" hidden="true" name="FDD_191_6" vbProcedure="false">"A32873"</definedName>
    <definedName function="false" hidden="true" name="FDD_191_7" vbProcedure="false">"A33238"</definedName>
    <definedName function="false" hidden="true" name="FDD_191_8" vbProcedure="false">"A33603"</definedName>
    <definedName function="false" hidden="true" name="FDD_191_9" vbProcedure="false">"A33969"</definedName>
    <definedName function="false" hidden="true" name="FDD_192_0" vbProcedure="false">"E36160"</definedName>
    <definedName function="false" hidden="true" name="FDD_192_1" vbProcedure="false">"E36525"</definedName>
    <definedName function="false" hidden="true" name="FDD_192_2" vbProcedure="false">"E36891"</definedName>
    <definedName function="false" hidden="true" name="FDD_193_0" vbProcedure="false">"A30681"</definedName>
    <definedName function="false" hidden="true" name="FDD_193_1" vbProcedure="false">"A31047"</definedName>
    <definedName function="false" hidden="true" name="FDD_193_10" vbProcedure="false">"A34334"</definedName>
    <definedName function="false" hidden="true" name="FDD_193_11" vbProcedure="false">"A34699"</definedName>
    <definedName function="false" hidden="true" name="FDD_193_12" vbProcedure="false">"A35064"</definedName>
    <definedName function="false" hidden="true" name="FDD_193_13" vbProcedure="false">"A35430"</definedName>
    <definedName function="false" hidden="true" name="FDD_193_14" vbProcedure="false">"A35795"</definedName>
    <definedName function="false" hidden="true" name="FDD_193_2" vbProcedure="false">"A31412"</definedName>
    <definedName function="false" hidden="true" name="FDD_193_3" vbProcedure="false">"A31777"</definedName>
    <definedName function="false" hidden="true" name="FDD_193_4" vbProcedure="false">"A32142"</definedName>
    <definedName function="false" hidden="true" name="FDD_193_5" vbProcedure="false">"A32508"</definedName>
    <definedName function="false" hidden="true" name="FDD_193_6" vbProcedure="false">"A32873"</definedName>
    <definedName function="false" hidden="true" name="FDD_193_7" vbProcedure="false">"A33238"</definedName>
    <definedName function="false" hidden="true" name="FDD_193_8" vbProcedure="false">"A33603"</definedName>
    <definedName function="false" hidden="true" name="FDD_193_9" vbProcedure="false">"A33969"</definedName>
    <definedName function="false" hidden="true" name="FDD_194_0" vbProcedure="false">"A30681"</definedName>
    <definedName function="false" hidden="true" name="FDD_194_1" vbProcedure="false">"A31047"</definedName>
    <definedName function="false" hidden="true" name="FDD_194_10" vbProcedure="false">"A34334"</definedName>
    <definedName function="false" hidden="true" name="FDD_194_11" vbProcedure="false">"A34699"</definedName>
    <definedName function="false" hidden="true" name="FDD_194_12" vbProcedure="false">"A35064"</definedName>
    <definedName function="false" hidden="true" name="FDD_194_13" vbProcedure="false">"A35430"</definedName>
    <definedName function="false" hidden="true" name="FDD_194_14" vbProcedure="false">"A35795"</definedName>
    <definedName function="false" hidden="true" name="FDD_194_2" vbProcedure="false">"A31412"</definedName>
    <definedName function="false" hidden="true" name="FDD_194_3" vbProcedure="false">"A31777"</definedName>
    <definedName function="false" hidden="true" name="FDD_194_4" vbProcedure="false">"A32142"</definedName>
    <definedName function="false" hidden="true" name="FDD_194_5" vbProcedure="false">"A32508"</definedName>
    <definedName function="false" hidden="true" name="FDD_194_6" vbProcedure="false">"A32873"</definedName>
    <definedName function="false" hidden="true" name="FDD_194_7" vbProcedure="false">"A33238"</definedName>
    <definedName function="false" hidden="true" name="FDD_194_8" vbProcedure="false">"A33603"</definedName>
    <definedName function="false" hidden="true" name="FDD_194_9" vbProcedure="false">"A33969"</definedName>
    <definedName function="false" hidden="true" name="FDD_195_0" vbProcedure="false">"A30681"</definedName>
    <definedName function="false" hidden="true" name="FDD_195_1" vbProcedure="false">"A31047"</definedName>
    <definedName function="false" hidden="true" name="FDD_195_10" vbProcedure="false">"A34334"</definedName>
    <definedName function="false" hidden="true" name="FDD_195_11" vbProcedure="false">"A34699"</definedName>
    <definedName function="false" hidden="true" name="FDD_195_12" vbProcedure="false">"A35064"</definedName>
    <definedName function="false" hidden="true" name="FDD_195_13" vbProcedure="false">"A35430"</definedName>
    <definedName function="false" hidden="true" name="FDD_195_14" vbProcedure="false">"A35795"</definedName>
    <definedName function="false" hidden="true" name="FDD_195_2" vbProcedure="false">"A31412"</definedName>
    <definedName function="false" hidden="true" name="FDD_195_3" vbProcedure="false">"A31777"</definedName>
    <definedName function="false" hidden="true" name="FDD_195_4" vbProcedure="false">"A32142"</definedName>
    <definedName function="false" hidden="true" name="FDD_195_5" vbProcedure="false">"A32508"</definedName>
    <definedName function="false" hidden="true" name="FDD_195_6" vbProcedure="false">"A32873"</definedName>
    <definedName function="false" hidden="true" name="FDD_195_7" vbProcedure="false">"A33238"</definedName>
    <definedName function="false" hidden="true" name="FDD_195_8" vbProcedure="false">"A33603"</definedName>
    <definedName function="false" hidden="true" name="FDD_195_9" vbProcedure="false">"A33969"</definedName>
    <definedName function="false" hidden="true" name="FDD_196_0" vbProcedure="false">"E36160"</definedName>
    <definedName function="false" hidden="true" name="FDD_196_1" vbProcedure="false">"E36525"</definedName>
    <definedName function="false" hidden="true" name="FDD_196_2" vbProcedure="false">"E36891"</definedName>
    <definedName function="false" hidden="true" name="FDD_197_0" vbProcedure="false">"A30681"</definedName>
    <definedName function="false" hidden="true" name="FDD_197_1" vbProcedure="false">"A31047"</definedName>
    <definedName function="false" hidden="true" name="FDD_197_10" vbProcedure="false">"A34334"</definedName>
    <definedName function="false" hidden="true" name="FDD_197_11" vbProcedure="false">"A34699"</definedName>
    <definedName function="false" hidden="true" name="FDD_197_12" vbProcedure="false">"A35064"</definedName>
    <definedName function="false" hidden="true" name="FDD_197_13" vbProcedure="false">"A35430"</definedName>
    <definedName function="false" hidden="true" name="FDD_197_14" vbProcedure="false">"A35795"</definedName>
    <definedName function="false" hidden="true" name="FDD_197_2" vbProcedure="false">"A31412"</definedName>
    <definedName function="false" hidden="true" name="FDD_197_3" vbProcedure="false">"A31777"</definedName>
    <definedName function="false" hidden="true" name="FDD_197_4" vbProcedure="false">"A32142"</definedName>
    <definedName function="false" hidden="true" name="FDD_197_5" vbProcedure="false">"A32508"</definedName>
    <definedName function="false" hidden="true" name="FDD_197_6" vbProcedure="false">"A32873"</definedName>
    <definedName function="false" hidden="true" name="FDD_197_7" vbProcedure="false">"A33238"</definedName>
    <definedName function="false" hidden="true" name="FDD_197_8" vbProcedure="false">"A33603"</definedName>
    <definedName function="false" hidden="true" name="FDD_197_9" vbProcedure="false">"A33969"</definedName>
    <definedName function="false" hidden="true" name="FDD_198_0" vbProcedure="false">"A30681"</definedName>
    <definedName function="false" hidden="true" name="FDD_198_1" vbProcedure="false">"A31047"</definedName>
    <definedName function="false" hidden="true" name="FDD_198_10" vbProcedure="false">"U34334"</definedName>
    <definedName function="false" hidden="true" name="FDD_198_11" vbProcedure="false">"U34699"</definedName>
    <definedName function="false" hidden="true" name="FDD_198_12" vbProcedure="false">"U35064"</definedName>
    <definedName function="false" hidden="true" name="FDD_198_13" vbProcedure="false">"U35430"</definedName>
    <definedName function="false" hidden="true" name="FDD_198_14" vbProcedure="false">"U35795"</definedName>
    <definedName function="false" hidden="true" name="FDD_198_2" vbProcedure="false">"A31412"</definedName>
    <definedName function="false" hidden="true" name="FDD_198_3" vbProcedure="false">"U31777"</definedName>
    <definedName function="false" hidden="true" name="FDD_198_4" vbProcedure="false">"U32142"</definedName>
    <definedName function="false" hidden="true" name="FDD_198_5" vbProcedure="false">"U32508"</definedName>
    <definedName function="false" hidden="true" name="FDD_198_6" vbProcedure="false">"U32873"</definedName>
    <definedName function="false" hidden="true" name="FDD_198_7" vbProcedure="false">"U33238"</definedName>
    <definedName function="false" hidden="true" name="FDD_198_8" vbProcedure="false">"U33603"</definedName>
    <definedName function="false" hidden="true" name="FDD_198_9" vbProcedure="false">"U33969"</definedName>
    <definedName function="false" hidden="true" name="FDD_199_0" vbProcedure="false">"E36160"</definedName>
    <definedName function="false" hidden="true" name="FDD_199_1" vbProcedure="false">"E36525"</definedName>
    <definedName function="false" hidden="true" name="FDD_199_2" vbProcedure="false">"E36891"</definedName>
    <definedName function="false" hidden="true" name="FDD_19_0" vbProcedure="false">"A25569"</definedName>
    <definedName function="false" hidden="true" name="FDD_19_1" vbProcedure="false">"A35795"</definedName>
    <definedName function="false" hidden="true" name="FDD_19_2" vbProcedure="false">"E36160"</definedName>
    <definedName function="false" hidden="true" name="FDD_19_3" vbProcedure="false">"E36525"</definedName>
    <definedName function="false" hidden="true" name="FDD_1_0" vbProcedure="false">"U25569"</definedName>
    <definedName function="false" hidden="true" name="FDD_200_0" vbProcedure="false">"E36160"</definedName>
    <definedName function="false" hidden="true" name="FDD_200_1" vbProcedure="false">"E36525"</definedName>
    <definedName function="false" hidden="true" name="FDD_200_2" vbProcedure="false">"E36891"</definedName>
    <definedName function="false" hidden="true" name="FDD_201_0" vbProcedure="false">"A30681"</definedName>
    <definedName function="false" hidden="true" name="FDD_201_1" vbProcedure="false">"A31047"</definedName>
    <definedName function="false" hidden="true" name="FDD_201_10" vbProcedure="false">"A34334"</definedName>
    <definedName function="false" hidden="true" name="FDD_201_11" vbProcedure="false">"A34699"</definedName>
    <definedName function="false" hidden="true" name="FDD_201_12" vbProcedure="false">"A35064"</definedName>
    <definedName function="false" hidden="true" name="FDD_201_13" vbProcedure="false">"A35430"</definedName>
    <definedName function="false" hidden="true" name="FDD_201_14" vbProcedure="false">"A35795"</definedName>
    <definedName function="false" hidden="true" name="FDD_201_2" vbProcedure="false">"A31412"</definedName>
    <definedName function="false" hidden="true" name="FDD_201_3" vbProcedure="false">"A31777"</definedName>
    <definedName function="false" hidden="true" name="FDD_201_4" vbProcedure="false">"A32142"</definedName>
    <definedName function="false" hidden="true" name="FDD_201_5" vbProcedure="false">"A32508"</definedName>
    <definedName function="false" hidden="true" name="FDD_201_6" vbProcedure="false">"A32873"</definedName>
    <definedName function="false" hidden="true" name="FDD_201_7" vbProcedure="false">"A33238"</definedName>
    <definedName function="false" hidden="true" name="FDD_201_8" vbProcedure="false">"A33603"</definedName>
    <definedName function="false" hidden="true" name="FDD_201_9" vbProcedure="false">"A33969"</definedName>
    <definedName function="false" hidden="true" name="FDD_202_0" vbProcedure="false">"A30681"</definedName>
    <definedName function="false" hidden="true" name="FDD_202_1" vbProcedure="false">"A31047"</definedName>
    <definedName function="false" hidden="true" name="FDD_202_10" vbProcedure="false">"A34334"</definedName>
    <definedName function="false" hidden="true" name="FDD_202_11" vbProcedure="false">"A34699"</definedName>
    <definedName function="false" hidden="true" name="FDD_202_12" vbProcedure="false">"A35064"</definedName>
    <definedName function="false" hidden="true" name="FDD_202_13" vbProcedure="false">"A35430"</definedName>
    <definedName function="false" hidden="true" name="FDD_202_14" vbProcedure="false">"A35795"</definedName>
    <definedName function="false" hidden="true" name="FDD_202_2" vbProcedure="false">"A31412"</definedName>
    <definedName function="false" hidden="true" name="FDD_202_3" vbProcedure="false">"A31777"</definedName>
    <definedName function="false" hidden="true" name="FDD_202_4" vbProcedure="false">"A32142"</definedName>
    <definedName function="false" hidden="true" name="FDD_202_5" vbProcedure="false">"A32508"</definedName>
    <definedName function="false" hidden="true" name="FDD_202_6" vbProcedure="false">"A32873"</definedName>
    <definedName function="false" hidden="true" name="FDD_202_7" vbProcedure="false">"A33238"</definedName>
    <definedName function="false" hidden="true" name="FDD_202_8" vbProcedure="false">"A33603"</definedName>
    <definedName function="false" hidden="true" name="FDD_202_9" vbProcedure="false">"A33969"</definedName>
    <definedName function="false" hidden="true" name="FDD_203_0" vbProcedure="false">"E36160"</definedName>
    <definedName function="false" hidden="true" name="FDD_203_1" vbProcedure="false">"E36525"</definedName>
    <definedName function="false" hidden="true" name="FDD_203_2" vbProcedure="false">"E36891"</definedName>
    <definedName function="false" hidden="true" name="FDD_204_0" vbProcedure="false">"A25569"</definedName>
    <definedName function="false" hidden="true" name="FDD_205_0" vbProcedure="false">"A25569"</definedName>
    <definedName function="false" hidden="true" name="FDD_206_0" vbProcedure="false">"A25569"</definedName>
    <definedName function="false" hidden="true" name="FDD_207_0" vbProcedure="false">"A25569"</definedName>
    <definedName function="false" hidden="true" name="FDD_208_0" vbProcedure="false">"E36160"</definedName>
    <definedName function="false" hidden="true" name="FDD_208_1" vbProcedure="false">"E36525"</definedName>
    <definedName function="false" hidden="true" name="FDD_208_2" vbProcedure="false">"E36891"</definedName>
    <definedName function="false" hidden="true" name="FDD_209_0" vbProcedure="false">"A25569"</definedName>
    <definedName function="false" hidden="true" name="FDD_20_0" vbProcedure="false">"A25569"</definedName>
    <definedName function="false" hidden="true" name="FDD_210_0" vbProcedure="false">"A25569"</definedName>
    <definedName function="false" hidden="true" name="FDD_211_0" vbProcedure="false">"A25569"</definedName>
    <definedName function="false" hidden="true" name="FDD_212_0" vbProcedure="false">"A25569"</definedName>
    <definedName function="false" hidden="true" name="FDD_213_0" vbProcedure="false">"E36160"</definedName>
    <definedName function="false" hidden="true" name="FDD_213_1" vbProcedure="false">"E36525"</definedName>
    <definedName function="false" hidden="true" name="FDD_213_2" vbProcedure="false">"E36891"</definedName>
    <definedName function="false" hidden="true" name="FDD_214_0" vbProcedure="false">"A25569"</definedName>
    <definedName function="false" hidden="true" name="FDD_215_0" vbProcedure="false">"A25569"</definedName>
    <definedName function="false" hidden="true" name="FDD_216_0" vbProcedure="false">"A25569"</definedName>
    <definedName function="false" hidden="true" name="FDD_217_0" vbProcedure="false">"A25569"</definedName>
    <definedName function="false" hidden="true" name="FDD_218_0" vbProcedure="false">"E36160"</definedName>
    <definedName function="false" hidden="true" name="FDD_218_1" vbProcedure="false">"E36525"</definedName>
    <definedName function="false" hidden="true" name="FDD_218_2" vbProcedure="false">"E36891"</definedName>
    <definedName function="false" hidden="true" name="FDD_219_0" vbProcedure="false">"U25569"</definedName>
    <definedName function="false" hidden="true" name="FDD_21_0" vbProcedure="false">"A25569"</definedName>
    <definedName function="false" hidden="true" name="FDD_220_0" vbProcedure="false">"U25569"</definedName>
    <definedName function="false" hidden="true" name="FDD_221_0" vbProcedure="false">"U25569"</definedName>
    <definedName function="false" hidden="true" name="FDD_222_0" vbProcedure="false">"U25569"</definedName>
    <definedName function="false" hidden="true" name="FDD_223_0" vbProcedure="false">"E36160"</definedName>
    <definedName function="false" hidden="true" name="FDD_223_1" vbProcedure="false">"E36525"</definedName>
    <definedName function="false" hidden="true" name="FDD_223_2" vbProcedure="false">"E36891"</definedName>
    <definedName function="false" hidden="true" name="FDD_224_0" vbProcedure="false">"A25569"</definedName>
    <definedName function="false" hidden="true" name="FDD_225_0" vbProcedure="false">"A25569"</definedName>
    <definedName function="false" hidden="true" name="FDD_226_0" vbProcedure="false">"A25569"</definedName>
    <definedName function="false" hidden="true" name="FDD_227_0" vbProcedure="false">"A25569"</definedName>
    <definedName function="false" hidden="true" name="FDD_228_0" vbProcedure="false">"E36160"</definedName>
    <definedName function="false" hidden="true" name="FDD_228_1" vbProcedure="false">"E36525"</definedName>
    <definedName function="false" hidden="true" name="FDD_228_2" vbProcedure="false">"E36891"</definedName>
    <definedName function="false" hidden="true" name="FDD_229_0" vbProcedure="false">"A25569"</definedName>
    <definedName function="false" hidden="true" name="FDD_22_0" vbProcedure="false">"A25569"</definedName>
    <definedName function="false" hidden="true" name="FDD_230_0" vbProcedure="false">"A25569"</definedName>
    <definedName function="false" hidden="true" name="FDD_231_0" vbProcedure="false">"A25569"</definedName>
    <definedName function="false" hidden="true" name="FDD_232_0" vbProcedure="false">"A25569"</definedName>
    <definedName function="false" hidden="true" name="FDD_233_0" vbProcedure="false">"A25569"</definedName>
    <definedName function="false" hidden="true" name="FDD_234_0" vbProcedure="false">"A25569"</definedName>
    <definedName function="false" hidden="true" name="FDD_235_0" vbProcedure="false">"A25569"</definedName>
    <definedName function="false" hidden="true" name="FDD_236_0" vbProcedure="false">"A25569"</definedName>
    <definedName function="false" hidden="true" name="FDD_237_0" vbProcedure="false">"A25569"</definedName>
    <definedName function="false" hidden="true" name="FDD_238_0" vbProcedure="false">"A30681"</definedName>
    <definedName function="false" hidden="true" name="FDD_238_1" vbProcedure="false">"A31047"</definedName>
    <definedName function="false" hidden="true" name="FDD_238_10" vbProcedure="false">"A34334"</definedName>
    <definedName function="false" hidden="true" name="FDD_238_11" vbProcedure="false">"A34699"</definedName>
    <definedName function="false" hidden="true" name="FDD_238_12" vbProcedure="false">"A35064"</definedName>
    <definedName function="false" hidden="true" name="FDD_238_13" vbProcedure="false">"A35430"</definedName>
    <definedName function="false" hidden="true" name="FDD_238_14" vbProcedure="false">"A35795"</definedName>
    <definedName function="false" hidden="true" name="FDD_238_2" vbProcedure="false">"A31412"</definedName>
    <definedName function="false" hidden="true" name="FDD_238_3" vbProcedure="false">"A31777"</definedName>
    <definedName function="false" hidden="true" name="FDD_238_4" vbProcedure="false">"A32142"</definedName>
    <definedName function="false" hidden="true" name="FDD_238_5" vbProcedure="false">"A32508"</definedName>
    <definedName function="false" hidden="true" name="FDD_238_6" vbProcedure="false">"A32873"</definedName>
    <definedName function="false" hidden="true" name="FDD_238_7" vbProcedure="false">"A33238"</definedName>
    <definedName function="false" hidden="true" name="FDD_238_8" vbProcedure="false">"A33603"</definedName>
    <definedName function="false" hidden="true" name="FDD_238_9" vbProcedure="false">"A33969"</definedName>
    <definedName function="false" hidden="true" name="FDD_23_0" vbProcedure="false">"A25569"</definedName>
    <definedName function="false" hidden="true" name="FDD_243_0" vbProcedure="false">"E36160"</definedName>
    <definedName function="false" hidden="true" name="FDD_243_1" vbProcedure="false">"E36525"</definedName>
    <definedName function="false" hidden="true" name="FDD_243_2" vbProcedure="false">"E36891"</definedName>
    <definedName function="false" hidden="true" name="FDD_244_0" vbProcedure="false">"A25569"</definedName>
    <definedName function="false" hidden="true" name="FDD_245_0" vbProcedure="false">"A25569"</definedName>
    <definedName function="false" hidden="true" name="FDD_246_0" vbProcedure="false">"A25569"</definedName>
    <definedName function="false" hidden="true" name="FDD_247_0" vbProcedure="false">"A25569"</definedName>
    <definedName function="false" hidden="true" name="FDD_248_0" vbProcedure="false">"E36160"</definedName>
    <definedName function="false" hidden="true" name="FDD_248_1" vbProcedure="false">"E36525"</definedName>
    <definedName function="false" hidden="true" name="FDD_248_2" vbProcedure="false">"E36891"</definedName>
    <definedName function="false" hidden="true" name="FDD_249_0" vbProcedure="false">"A25569"</definedName>
    <definedName function="false" hidden="true" name="FDD_24_0" vbProcedure="false">"A25569"</definedName>
    <definedName function="false" hidden="true" name="FDD_250_0" vbProcedure="false">"A25569"</definedName>
    <definedName function="false" hidden="true" name="FDD_251_0" vbProcedure="false">"A25569"</definedName>
    <definedName function="false" hidden="true" name="FDD_252_0" vbProcedure="false">"A25569"</definedName>
    <definedName function="false" hidden="true" name="FDD_253_0" vbProcedure="false">"E36160"</definedName>
    <definedName function="false" hidden="true" name="FDD_253_1" vbProcedure="false">"E36525"</definedName>
    <definedName function="false" hidden="true" name="FDD_253_2" vbProcedure="false">"E36891"</definedName>
    <definedName function="false" hidden="true" name="FDD_254_0" vbProcedure="false">"E36160"</definedName>
    <definedName function="false" hidden="true" name="FDD_254_1" vbProcedure="false">"E36525"</definedName>
    <definedName function="false" hidden="true" name="FDD_254_2" vbProcedure="false">"E36891"</definedName>
    <definedName function="false" hidden="true" name="FDD_255_0" vbProcedure="false">"E36160"</definedName>
    <definedName function="false" hidden="true" name="FDD_255_1" vbProcedure="false">"E36525"</definedName>
    <definedName function="false" hidden="true" name="FDD_255_2" vbProcedure="false">"E36891"</definedName>
    <definedName function="false" hidden="true" name="FDD_256_0" vbProcedure="false">"U36160"</definedName>
    <definedName function="false" hidden="true" name="FDD_256_1" vbProcedure="false">"U36525"</definedName>
    <definedName function="false" hidden="true" name="FDD_256_2" vbProcedure="false">"U36891"</definedName>
    <definedName function="false" hidden="true" name="FDD_257_0" vbProcedure="false">"E36160"</definedName>
    <definedName function="false" hidden="true" name="FDD_257_1" vbProcedure="false">"E36525"</definedName>
    <definedName function="false" hidden="true" name="FDD_257_2" vbProcedure="false">"E36891"</definedName>
    <definedName function="false" hidden="true" name="FDD_258_0" vbProcedure="false">"E36160"</definedName>
    <definedName function="false" hidden="true" name="FDD_258_1" vbProcedure="false">"E36525"</definedName>
    <definedName function="false" hidden="true" name="FDD_258_2" vbProcedure="false">"E36891"</definedName>
    <definedName function="false" hidden="true" name="FDD_259_0" vbProcedure="false">"E36160"</definedName>
    <definedName function="false" hidden="true" name="FDD_259_1" vbProcedure="false">"E36525"</definedName>
    <definedName function="false" hidden="true" name="FDD_259_2" vbProcedure="false">"E36891"</definedName>
    <definedName function="false" hidden="true" name="FDD_25_0" vbProcedure="false">"A25569"</definedName>
    <definedName function="false" hidden="true" name="FDD_25_1" vbProcedure="false">"U35795"</definedName>
    <definedName function="false" hidden="true" name="FDD_25_2" vbProcedure="false">"U36160"</definedName>
    <definedName function="false" hidden="true" name="FDD_25_3" vbProcedure="false">"U36525"</definedName>
    <definedName function="false" hidden="true" name="FDD_260_0" vbProcedure="false">"E36160"</definedName>
    <definedName function="false" hidden="true" name="FDD_260_1" vbProcedure="false">"E36525"</definedName>
    <definedName function="false" hidden="true" name="FDD_260_2" vbProcedure="false">"E36891"</definedName>
    <definedName function="false" hidden="true" name="FDD_261_0" vbProcedure="false">"E36160"</definedName>
    <definedName function="false" hidden="true" name="FDD_261_1" vbProcedure="false">"E36525"</definedName>
    <definedName function="false" hidden="true" name="FDD_261_2" vbProcedure="false">"E36891"</definedName>
    <definedName function="false" hidden="true" name="FDD_264_0" vbProcedure="false">"E36160"</definedName>
    <definedName function="false" hidden="true" name="FDD_264_1" vbProcedure="false">"E36525"</definedName>
    <definedName function="false" hidden="true" name="FDD_264_2" vbProcedure="false">"E36891"</definedName>
    <definedName function="false" hidden="true" name="FDD_265_0" vbProcedure="false">"A25569"</definedName>
    <definedName function="false" hidden="true" name="FDD_266_0" vbProcedure="false">"A25569"</definedName>
    <definedName function="false" hidden="true" name="FDD_267_0" vbProcedure="false">"A25569"</definedName>
    <definedName function="false" hidden="true" name="FDD_268_0" vbProcedure="false">"A25569"</definedName>
    <definedName function="false" hidden="true" name="FDD_269_0" vbProcedure="false">"E36160"</definedName>
    <definedName function="false" hidden="true" name="FDD_269_1" vbProcedure="false">"E36525"</definedName>
    <definedName function="false" hidden="true" name="FDD_269_2" vbProcedure="false">"E36891"</definedName>
    <definedName function="false" hidden="true" name="FDD_26_0" vbProcedure="false">"A25569"</definedName>
    <definedName function="false" hidden="true" name="FDD_270_0" vbProcedure="false">"A25569"</definedName>
    <definedName function="false" hidden="true" name="FDD_271_0" vbProcedure="false">"A25569"</definedName>
    <definedName function="false" hidden="true" name="FDD_272_0" vbProcedure="false">"A25569"</definedName>
    <definedName function="false" hidden="true" name="FDD_273_0" vbProcedure="false">"A25569"</definedName>
    <definedName function="false" hidden="true" name="FDD_274_0" vbProcedure="false">"E36160"</definedName>
    <definedName function="false" hidden="true" name="FDD_274_1" vbProcedure="false">"E36525"</definedName>
    <definedName function="false" hidden="true" name="FDD_274_2" vbProcedure="false">"E36891"</definedName>
    <definedName function="false" hidden="true" name="FDD_275_0" vbProcedure="false">"A25569"</definedName>
    <definedName function="false" hidden="true" name="FDD_276_0" vbProcedure="false">"A25569"</definedName>
    <definedName function="false" hidden="true" name="FDD_277_0" vbProcedure="false">"A25569"</definedName>
    <definedName function="false" hidden="true" name="FDD_278_0" vbProcedure="false">"A25569"</definedName>
    <definedName function="false" hidden="true" name="FDD_279_0" vbProcedure="false">"E36160"</definedName>
    <definedName function="false" hidden="true" name="FDD_279_1" vbProcedure="false">"E36525"</definedName>
    <definedName function="false" hidden="true" name="FDD_279_2" vbProcedure="false">"E36891"</definedName>
    <definedName function="false" hidden="true" name="FDD_27_0" vbProcedure="false">"A25569"</definedName>
    <definedName function="false" hidden="true" name="FDD_280_0" vbProcedure="false">"E36160"</definedName>
    <definedName function="false" hidden="true" name="FDD_280_1" vbProcedure="false">"E36525"</definedName>
    <definedName function="false" hidden="true" name="FDD_280_2" vbProcedure="false">"E36891"</definedName>
    <definedName function="false" hidden="true" name="FDD_281_0" vbProcedure="false">"E36160"</definedName>
    <definedName function="false" hidden="true" name="FDD_281_1" vbProcedure="false">"E36525"</definedName>
    <definedName function="false" hidden="true" name="FDD_281_2" vbProcedure="false">"E36891"</definedName>
    <definedName function="false" hidden="true" name="FDD_282_0" vbProcedure="false">"E36160"</definedName>
    <definedName function="false" hidden="true" name="FDD_282_1" vbProcedure="false">"E36525"</definedName>
    <definedName function="false" hidden="true" name="FDD_282_2" vbProcedure="false">"E36891"</definedName>
    <definedName function="false" hidden="true" name="FDD_283_0" vbProcedure="false">"E36160"</definedName>
    <definedName function="false" hidden="true" name="FDD_283_1" vbProcedure="false">"E36525"</definedName>
    <definedName function="false" hidden="true" name="FDD_283_2" vbProcedure="false">"E36891"</definedName>
    <definedName function="false" hidden="true" name="FDD_284_0" vbProcedure="false">"A30681"</definedName>
    <definedName function="false" hidden="true" name="FDD_284_1" vbProcedure="false">"A31047"</definedName>
    <definedName function="false" hidden="true" name="FDD_284_10" vbProcedure="false">"A34334"</definedName>
    <definedName function="false" hidden="true" name="FDD_284_11" vbProcedure="false">"A34699"</definedName>
    <definedName function="false" hidden="true" name="FDD_284_12" vbProcedure="false">"A35064"</definedName>
    <definedName function="false" hidden="true" name="FDD_284_13" vbProcedure="false">"A35430"</definedName>
    <definedName function="false" hidden="true" name="FDD_284_14" vbProcedure="false">"A35795"</definedName>
    <definedName function="false" hidden="true" name="FDD_284_2" vbProcedure="false">"A31412"</definedName>
    <definedName function="false" hidden="true" name="FDD_284_3" vbProcedure="false">"A31777"</definedName>
    <definedName function="false" hidden="true" name="FDD_284_4" vbProcedure="false">"A32142"</definedName>
    <definedName function="false" hidden="true" name="FDD_284_5" vbProcedure="false">"A32508"</definedName>
    <definedName function="false" hidden="true" name="FDD_284_6" vbProcedure="false">"A32873"</definedName>
    <definedName function="false" hidden="true" name="FDD_284_7" vbProcedure="false">"A33238"</definedName>
    <definedName function="false" hidden="true" name="FDD_284_8" vbProcedure="false">"A33603"</definedName>
    <definedName function="false" hidden="true" name="FDD_284_9" vbProcedure="false">"A33969"</definedName>
    <definedName function="false" hidden="true" name="FDD_285_0" vbProcedure="false">"A35795"</definedName>
    <definedName function="false" hidden="true" name="FDD_285_1" vbProcedure="false">"E36160"</definedName>
    <definedName function="false" hidden="true" name="FDD_285_10" vbProcedure="false">"E39447"</definedName>
    <definedName function="false" hidden="true" name="FDD_285_11" vbProcedure="false">"E39813"</definedName>
    <definedName function="false" hidden="true" name="FDD_285_12" vbProcedure="false">"E40178"</definedName>
    <definedName function="false" hidden="true" name="FDD_285_13" vbProcedure="false">"E40543"</definedName>
    <definedName function="false" hidden="true" name="FDD_285_14" vbProcedure="false">"E40908"</definedName>
    <definedName function="false" hidden="true" name="FDD_285_15" vbProcedure="false">"E41274"</definedName>
    <definedName function="false" hidden="true" name="FDD_285_16" vbProcedure="false">"E41639"</definedName>
    <definedName function="false" hidden="true" name="FDD_285_17" vbProcedure="false">"E42004"</definedName>
    <definedName function="false" hidden="true" name="FDD_285_18" vbProcedure="false">"E42369"</definedName>
    <definedName function="false" hidden="true" name="FDD_285_19" vbProcedure="false">"E42735"</definedName>
    <definedName function="false" hidden="true" name="FDD_285_2" vbProcedure="false">"E36525"</definedName>
    <definedName function="false" hidden="true" name="FDD_285_20" vbProcedure="false">"E43100"</definedName>
    <definedName function="false" hidden="true" name="FDD_285_21" vbProcedure="false">"E43465"</definedName>
    <definedName function="false" hidden="true" name="FDD_285_22" vbProcedure="false">"E43830"</definedName>
    <definedName function="false" hidden="true" name="FDD_285_23" vbProcedure="false">"E44196"</definedName>
    <definedName function="false" hidden="true" name="FDD_285_24" vbProcedure="false">"E44561"</definedName>
    <definedName function="false" hidden="true" name="FDD_285_25" vbProcedure="false">"E44926"</definedName>
    <definedName function="false" hidden="true" name="FDD_285_3" vbProcedure="false">"E36891"</definedName>
    <definedName function="false" hidden="true" name="FDD_285_4" vbProcedure="false">"E37256"</definedName>
    <definedName function="false" hidden="true" name="FDD_285_5" vbProcedure="false">"E37621"</definedName>
    <definedName function="false" hidden="true" name="FDD_285_6" vbProcedure="false">"E37986"</definedName>
    <definedName function="false" hidden="true" name="FDD_285_7" vbProcedure="false">"E38352"</definedName>
    <definedName function="false" hidden="true" name="FDD_285_8" vbProcedure="false">"E38717"</definedName>
    <definedName function="false" hidden="true" name="FDD_285_9" vbProcedure="false">"E39082"</definedName>
    <definedName function="false" hidden="true" name="FDD_286_0" vbProcedure="false">"E36160"</definedName>
    <definedName function="false" hidden="true" name="FDD_286_1" vbProcedure="false">"E36525"</definedName>
    <definedName function="false" hidden="true" name="FDD_286_10" vbProcedure="false">"E39813"</definedName>
    <definedName function="false" hidden="true" name="FDD_286_11" vbProcedure="false">"E40178"</definedName>
    <definedName function="false" hidden="true" name="FDD_286_12" vbProcedure="false">"E40543"</definedName>
    <definedName function="false" hidden="true" name="FDD_286_13" vbProcedure="false">"E40908"</definedName>
    <definedName function="false" hidden="true" name="FDD_286_14" vbProcedure="false">"E41274"</definedName>
    <definedName function="false" hidden="true" name="FDD_286_15" vbProcedure="false">"E41639"</definedName>
    <definedName function="false" hidden="true" name="FDD_286_16" vbProcedure="false">"E42004"</definedName>
    <definedName function="false" hidden="true" name="FDD_286_17" vbProcedure="false">"E42369"</definedName>
    <definedName function="false" hidden="true" name="FDD_286_18" vbProcedure="false">"E42735"</definedName>
    <definedName function="false" hidden="true" name="FDD_286_19" vbProcedure="false">"E43100"</definedName>
    <definedName function="false" hidden="true" name="FDD_286_2" vbProcedure="false">"E36891"</definedName>
    <definedName function="false" hidden="true" name="FDD_286_20" vbProcedure="false">"E43465"</definedName>
    <definedName function="false" hidden="true" name="FDD_286_21" vbProcedure="false">"E43830"</definedName>
    <definedName function="false" hidden="true" name="FDD_286_22" vbProcedure="false">"E44196"</definedName>
    <definedName function="false" hidden="true" name="FDD_286_23" vbProcedure="false">"E44561"</definedName>
    <definedName function="false" hidden="true" name="FDD_286_24" vbProcedure="false">"E44926"</definedName>
    <definedName function="false" hidden="true" name="FDD_286_3" vbProcedure="false">"E37256"</definedName>
    <definedName function="false" hidden="true" name="FDD_286_4" vbProcedure="false">"E37621"</definedName>
    <definedName function="false" hidden="true" name="FDD_286_5" vbProcedure="false">"E37986"</definedName>
    <definedName function="false" hidden="true" name="FDD_286_6" vbProcedure="false">"E38352"</definedName>
    <definedName function="false" hidden="true" name="FDD_286_7" vbProcedure="false">"E38717"</definedName>
    <definedName function="false" hidden="true" name="FDD_286_8" vbProcedure="false">"E39082"</definedName>
    <definedName function="false" hidden="true" name="FDD_286_9" vbProcedure="false">"E39447"</definedName>
    <definedName function="false" hidden="true" name="FDD_287_0" vbProcedure="false">"A25569"</definedName>
    <definedName function="false" hidden="true" name="FDD_288_0" vbProcedure="false">"A25569"</definedName>
    <definedName function="false" hidden="true" name="FDD_289_0" vbProcedure="false">"A36890"</definedName>
    <definedName function="false" hidden="true" name="FDD_28_0" vbProcedure="false">"A25569"</definedName>
    <definedName function="false" hidden="true" name="FDD_290_0" vbProcedure="false">"A36890"</definedName>
    <definedName function="false" hidden="true" name="FDD_291_0" vbProcedure="false">"A25569"</definedName>
    <definedName function="false" hidden="true" name="FDD_295_0" vbProcedure="false">"U25569"</definedName>
    <definedName function="false" hidden="true" name="FDD_296_0" vbProcedure="false">"A25569"</definedName>
    <definedName function="false" hidden="true" name="FDD_297_0" vbProcedure="false">"A25569"</definedName>
    <definedName function="false" hidden="true" name="FDD_298_0" vbProcedure="false">"A25569"</definedName>
    <definedName function="false" hidden="true" name="FDD_299_0" vbProcedure="false">"A25569"</definedName>
    <definedName function="false" hidden="true" name="FDD_29_0" vbProcedure="false">"A25569"</definedName>
    <definedName function="false" hidden="true" name="FDD_2_0" vbProcedure="false">"A25569"</definedName>
    <definedName function="false" hidden="true" name="FDD_300_0" vbProcedure="false">"U25569"</definedName>
    <definedName function="false" hidden="true" name="FDD_301_0" vbProcedure="false">"U35795"</definedName>
    <definedName function="false" hidden="true" name="FDD_301_1" vbProcedure="false">"U36160"</definedName>
    <definedName function="false" hidden="true" name="FDD_301_2" vbProcedure="false">"U36525"</definedName>
    <definedName function="false" hidden="true" name="FDD_302_0" vbProcedure="false">"U35795"</definedName>
    <definedName function="false" hidden="true" name="FDD_302_1" vbProcedure="false">"U36160"</definedName>
    <definedName function="false" hidden="true" name="FDD_302_2" vbProcedure="false">"U36525"</definedName>
    <definedName function="false" hidden="true" name="FDD_303_0" vbProcedure="false">"U35795"</definedName>
    <definedName function="false" hidden="true" name="FDD_303_1" vbProcedure="false">"U36160"</definedName>
    <definedName function="false" hidden="true" name="FDD_303_2" vbProcedure="false">"U36525"</definedName>
    <definedName function="false" hidden="true" name="FDD_304_0" vbProcedure="false">"U35795"</definedName>
    <definedName function="false" hidden="true" name="FDD_304_1" vbProcedure="false">"U36160"</definedName>
    <definedName function="false" hidden="true" name="FDD_304_2" vbProcedure="false">"U36525"</definedName>
    <definedName function="false" hidden="true" name="FDD_305_0" vbProcedure="false">"A30681"</definedName>
    <definedName function="false" hidden="true" name="FDD_305_1" vbProcedure="false">"A31047"</definedName>
    <definedName function="false" hidden="true" name="FDD_305_10" vbProcedure="false">"U34334"</definedName>
    <definedName function="false" hidden="true" name="FDD_305_11" vbProcedure="false">"U34699"</definedName>
    <definedName function="false" hidden="true" name="FDD_305_12" vbProcedure="false">"U35064"</definedName>
    <definedName function="false" hidden="true" name="FDD_305_13" vbProcedure="false">"U35430"</definedName>
    <definedName function="false" hidden="true" name="FDD_305_14" vbProcedure="false">"U35795"</definedName>
    <definedName function="false" hidden="true" name="FDD_305_2" vbProcedure="false">"A31412"</definedName>
    <definedName function="false" hidden="true" name="FDD_305_3" vbProcedure="false">"U31777"</definedName>
    <definedName function="false" hidden="true" name="FDD_305_4" vbProcedure="false">"U32142"</definedName>
    <definedName function="false" hidden="true" name="FDD_305_5" vbProcedure="false">"U32508"</definedName>
    <definedName function="false" hidden="true" name="FDD_305_6" vbProcedure="false">"U32873"</definedName>
    <definedName function="false" hidden="true" name="FDD_305_7" vbProcedure="false">"U33238"</definedName>
    <definedName function="false" hidden="true" name="FDD_305_8" vbProcedure="false">"U33603"</definedName>
    <definedName function="false" hidden="true" name="FDD_305_9" vbProcedure="false">"U33969"</definedName>
    <definedName function="false" hidden="true" name="FDD_306_0" vbProcedure="false">"U35795"</definedName>
    <definedName function="false" hidden="true" name="FDD_306_1" vbProcedure="false">"E36160"</definedName>
    <definedName function="false" hidden="true" name="FDD_306_2" vbProcedure="false">"U36525"</definedName>
    <definedName function="false" hidden="true" name="FDD_307_0" vbProcedure="false">"A35795"</definedName>
    <definedName function="false" hidden="true" name="FDD_307_1" vbProcedure="false">"U36160"</definedName>
    <definedName function="false" hidden="true" name="FDD_307_2" vbProcedure="false">"U36525"</definedName>
    <definedName function="false" hidden="true" name="FDD_30_0" vbProcedure="false">"A25569"</definedName>
    <definedName function="false" hidden="true" name="FDD_31_0" vbProcedure="false">"A25569"</definedName>
    <definedName function="false" hidden="true" name="FDD_32_0" vbProcedure="false">"A25569"</definedName>
    <definedName function="false" hidden="true" name="FDD_33_0" vbProcedure="false">"A25569"</definedName>
    <definedName function="false" hidden="true" name="FDD_34_0" vbProcedure="false">"A25569"</definedName>
    <definedName function="false" hidden="true" name="FDD_35_0" vbProcedure="false">"A25569"</definedName>
    <definedName function="false" hidden="true" name="FDD_36_0" vbProcedure="false">"A25569"</definedName>
    <definedName function="false" hidden="true" name="FDD_37_0" vbProcedure="false">"A25569"</definedName>
    <definedName function="false" hidden="true" name="FDD_38_0" vbProcedure="false">"A25569"</definedName>
    <definedName function="false" hidden="true" name="FDD_39_0" vbProcedure="false">"A25569"</definedName>
    <definedName function="false" hidden="true" name="FDD_3_0" vbProcedure="false">"A25569"</definedName>
    <definedName function="false" hidden="true" name="FDD_40_0" vbProcedure="false">"A25569"</definedName>
    <definedName function="false" hidden="true" name="FDD_41_0" vbProcedure="false">"U25569"</definedName>
    <definedName function="false" hidden="true" name="FDD_41_1" vbProcedure="false">"A35795"</definedName>
    <definedName function="false" hidden="true" name="FDD_41_2" vbProcedure="false">"E36160"</definedName>
    <definedName function="false" hidden="true" name="FDD_41_3" vbProcedure="false">"E36525"</definedName>
    <definedName function="false" hidden="true" name="FDD_42_0" vbProcedure="false">"U25569"</definedName>
    <definedName function="false" hidden="true" name="FDD_42_1" vbProcedure="false">"U35795"</definedName>
    <definedName function="false" hidden="true" name="FDD_42_2" vbProcedure="false">"U36160"</definedName>
    <definedName function="false" hidden="true" name="FDD_42_3" vbProcedure="false">"U36525"</definedName>
    <definedName function="false" hidden="true" name="FDD_43_0" vbProcedure="false">"A25569"</definedName>
    <definedName function="false" hidden="true" name="FDD_44_0" vbProcedure="false">"A30681"</definedName>
    <definedName function="false" hidden="true" name="FDD_44_1" vbProcedure="false">"A31047"</definedName>
    <definedName function="false" hidden="true" name="FDD_44_10" vbProcedure="false">"A34334"</definedName>
    <definedName function="false" hidden="true" name="FDD_44_11" vbProcedure="false">"A34699"</definedName>
    <definedName function="false" hidden="true" name="FDD_44_12" vbProcedure="false">"A35064"</definedName>
    <definedName function="false" hidden="true" name="FDD_44_13" vbProcedure="false">"A35430"</definedName>
    <definedName function="false" hidden="true" name="FDD_44_14" vbProcedure="false">"A35795"</definedName>
    <definedName function="false" hidden="true" name="FDD_44_2" vbProcedure="false">"A31412"</definedName>
    <definedName function="false" hidden="true" name="FDD_44_3" vbProcedure="false">"A31777"</definedName>
    <definedName function="false" hidden="true" name="FDD_44_4" vbProcedure="false">"A32142"</definedName>
    <definedName function="false" hidden="true" name="FDD_44_5" vbProcedure="false">"A32508"</definedName>
    <definedName function="false" hidden="true" name="FDD_44_6" vbProcedure="false">"A32873"</definedName>
    <definedName function="false" hidden="true" name="FDD_44_7" vbProcedure="false">"A33238"</definedName>
    <definedName function="false" hidden="true" name="FDD_44_8" vbProcedure="false">"A33603"</definedName>
    <definedName function="false" hidden="true" name="FDD_44_9" vbProcedure="false">"A33969"</definedName>
    <definedName function="false" hidden="true" name="FDD_45_0" vbProcedure="false">"A30681"</definedName>
    <definedName function="false" hidden="true" name="FDD_45_1" vbProcedure="false">"A31047"</definedName>
    <definedName function="false" hidden="true" name="FDD_45_10" vbProcedure="false">"A34334"</definedName>
    <definedName function="false" hidden="true" name="FDD_45_11" vbProcedure="false">"A34699"</definedName>
    <definedName function="false" hidden="true" name="FDD_45_12" vbProcedure="false">"A35064"</definedName>
    <definedName function="false" hidden="true" name="FDD_45_13" vbProcedure="false">"A35430"</definedName>
    <definedName function="false" hidden="true" name="FDD_45_14" vbProcedure="false">"A35795"</definedName>
    <definedName function="false" hidden="true" name="FDD_45_2" vbProcedure="false">"A31412"</definedName>
    <definedName function="false" hidden="true" name="FDD_45_3" vbProcedure="false">"A31777"</definedName>
    <definedName function="false" hidden="true" name="FDD_45_4" vbProcedure="false">"A32142"</definedName>
    <definedName function="false" hidden="true" name="FDD_45_5" vbProcedure="false">"A32508"</definedName>
    <definedName function="false" hidden="true" name="FDD_45_6" vbProcedure="false">"A32873"</definedName>
    <definedName function="false" hidden="true" name="FDD_45_7" vbProcedure="false">"A33238"</definedName>
    <definedName function="false" hidden="true" name="FDD_45_8" vbProcedure="false">"A33603"</definedName>
    <definedName function="false" hidden="true" name="FDD_45_9" vbProcedure="false">"A33969"</definedName>
    <definedName function="false" hidden="true" name="FDD_46_0" vbProcedure="false">"A30681"</definedName>
    <definedName function="false" hidden="true" name="FDD_46_1" vbProcedure="false">"A31047"</definedName>
    <definedName function="false" hidden="true" name="FDD_46_10" vbProcedure="false">"A34334"</definedName>
    <definedName function="false" hidden="true" name="FDD_46_11" vbProcedure="false">"A34699"</definedName>
    <definedName function="false" hidden="true" name="FDD_46_12" vbProcedure="false">"A35064"</definedName>
    <definedName function="false" hidden="true" name="FDD_46_13" vbProcedure="false">"A35430"</definedName>
    <definedName function="false" hidden="true" name="FDD_46_14" vbProcedure="false">"A35795"</definedName>
    <definedName function="false" hidden="true" name="FDD_46_2" vbProcedure="false">"A31412"</definedName>
    <definedName function="false" hidden="true" name="FDD_46_3" vbProcedure="false">"A31777"</definedName>
    <definedName function="false" hidden="true" name="FDD_46_4" vbProcedure="false">"A32142"</definedName>
    <definedName function="false" hidden="true" name="FDD_46_5" vbProcedure="false">"A32508"</definedName>
    <definedName function="false" hidden="true" name="FDD_46_6" vbProcedure="false">"A32873"</definedName>
    <definedName function="false" hidden="true" name="FDD_46_7" vbProcedure="false">"A33238"</definedName>
    <definedName function="false" hidden="true" name="FDD_46_8" vbProcedure="false">"A33603"</definedName>
    <definedName function="false" hidden="true" name="FDD_46_9" vbProcedure="false">"A33969"</definedName>
    <definedName function="false" hidden="true" name="FDD_47_0" vbProcedure="false">"A30681"</definedName>
    <definedName function="false" hidden="true" name="FDD_47_1" vbProcedure="false">"A31047"</definedName>
    <definedName function="false" hidden="true" name="FDD_47_10" vbProcedure="false">"A34334"</definedName>
    <definedName function="false" hidden="true" name="FDD_47_11" vbProcedure="false">"A34699"</definedName>
    <definedName function="false" hidden="true" name="FDD_47_12" vbProcedure="false">"A35064"</definedName>
    <definedName function="false" hidden="true" name="FDD_47_13" vbProcedure="false">"A35430"</definedName>
    <definedName function="false" hidden="true" name="FDD_47_14" vbProcedure="false">"A35795"</definedName>
    <definedName function="false" hidden="true" name="FDD_47_2" vbProcedure="false">"A31412"</definedName>
    <definedName function="false" hidden="true" name="FDD_47_3" vbProcedure="false">"A31777"</definedName>
    <definedName function="false" hidden="true" name="FDD_47_4" vbProcedure="false">"A32142"</definedName>
    <definedName function="false" hidden="true" name="FDD_47_5" vbProcedure="false">"A32508"</definedName>
    <definedName function="false" hidden="true" name="FDD_47_6" vbProcedure="false">"A32873"</definedName>
    <definedName function="false" hidden="true" name="FDD_47_7" vbProcedure="false">"A33238"</definedName>
    <definedName function="false" hidden="true" name="FDD_47_8" vbProcedure="false">"A33603"</definedName>
    <definedName function="false" hidden="true" name="FDD_47_9" vbProcedure="false">"A33969"</definedName>
    <definedName function="false" hidden="true" name="FDD_48_0" vbProcedure="false">"A30681"</definedName>
    <definedName function="false" hidden="true" name="FDD_48_1" vbProcedure="false">"A31047"</definedName>
    <definedName function="false" hidden="true" name="FDD_48_10" vbProcedure="false">"A34334"</definedName>
    <definedName function="false" hidden="true" name="FDD_48_11" vbProcedure="false">"A34699"</definedName>
    <definedName function="false" hidden="true" name="FDD_48_12" vbProcedure="false">"A35064"</definedName>
    <definedName function="false" hidden="true" name="FDD_48_13" vbProcedure="false">"A35430"</definedName>
    <definedName function="false" hidden="true" name="FDD_48_14" vbProcedure="false">"A35795"</definedName>
    <definedName function="false" hidden="true" name="FDD_48_2" vbProcedure="false">"A31412"</definedName>
    <definedName function="false" hidden="true" name="FDD_48_3" vbProcedure="false">"A31777"</definedName>
    <definedName function="false" hidden="true" name="FDD_48_4" vbProcedure="false">"A32142"</definedName>
    <definedName function="false" hidden="true" name="FDD_48_5" vbProcedure="false">"A32508"</definedName>
    <definedName function="false" hidden="true" name="FDD_48_6" vbProcedure="false">"A32873"</definedName>
    <definedName function="false" hidden="true" name="FDD_48_7" vbProcedure="false">"A33238"</definedName>
    <definedName function="false" hidden="true" name="FDD_48_8" vbProcedure="false">"A33603"</definedName>
    <definedName function="false" hidden="true" name="FDD_48_9" vbProcedure="false">"A33969"</definedName>
    <definedName function="false" hidden="true" name="FDD_49_0" vbProcedure="false">"A30681"</definedName>
    <definedName function="false" hidden="true" name="FDD_49_1" vbProcedure="false">"A31047"</definedName>
    <definedName function="false" hidden="true" name="FDD_49_10" vbProcedure="false">"A34334"</definedName>
    <definedName function="false" hidden="true" name="FDD_49_11" vbProcedure="false">"A34699"</definedName>
    <definedName function="false" hidden="true" name="FDD_49_12" vbProcedure="false">"A35064"</definedName>
    <definedName function="false" hidden="true" name="FDD_49_13" vbProcedure="false">"A35430"</definedName>
    <definedName function="false" hidden="true" name="FDD_49_14" vbProcedure="false">"A35795"</definedName>
    <definedName function="false" hidden="true" name="FDD_49_2" vbProcedure="false">"A31412"</definedName>
    <definedName function="false" hidden="true" name="FDD_49_3" vbProcedure="false">"A31777"</definedName>
    <definedName function="false" hidden="true" name="FDD_49_4" vbProcedure="false">"A32142"</definedName>
    <definedName function="false" hidden="true" name="FDD_49_5" vbProcedure="false">"A32508"</definedName>
    <definedName function="false" hidden="true" name="FDD_49_6" vbProcedure="false">"A32873"</definedName>
    <definedName function="false" hidden="true" name="FDD_49_7" vbProcedure="false">"A33238"</definedName>
    <definedName function="false" hidden="true" name="FDD_49_8" vbProcedure="false">"A33603"</definedName>
    <definedName function="false" hidden="true" name="FDD_49_9" vbProcedure="false">"A33969"</definedName>
    <definedName function="false" hidden="true" name="FDD_4_0" vbProcedure="false">"A25569"</definedName>
    <definedName function="false" hidden="true" name="FDD_50_0" vbProcedure="false">"A30681"</definedName>
    <definedName function="false" hidden="true" name="FDD_50_1" vbProcedure="false">"A31047"</definedName>
    <definedName function="false" hidden="true" name="FDD_50_10" vbProcedure="false">"A34334"</definedName>
    <definedName function="false" hidden="true" name="FDD_50_11" vbProcedure="false">"A34699"</definedName>
    <definedName function="false" hidden="true" name="FDD_50_12" vbProcedure="false">"A35064"</definedName>
    <definedName function="false" hidden="true" name="FDD_50_13" vbProcedure="false">"A35430"</definedName>
    <definedName function="false" hidden="true" name="FDD_50_14" vbProcedure="false">"A35795"</definedName>
    <definedName function="false" hidden="true" name="FDD_50_2" vbProcedure="false">"A31412"</definedName>
    <definedName function="false" hidden="true" name="FDD_50_3" vbProcedure="false">"A31777"</definedName>
    <definedName function="false" hidden="true" name="FDD_50_4" vbProcedure="false">"A32142"</definedName>
    <definedName function="false" hidden="true" name="FDD_50_5" vbProcedure="false">"A32508"</definedName>
    <definedName function="false" hidden="true" name="FDD_50_6" vbProcedure="false">"A32873"</definedName>
    <definedName function="false" hidden="true" name="FDD_50_7" vbProcedure="false">"A33238"</definedName>
    <definedName function="false" hidden="true" name="FDD_50_8" vbProcedure="false">"A33603"</definedName>
    <definedName function="false" hidden="true" name="FDD_50_9" vbProcedure="false">"A33969"</definedName>
    <definedName function="false" hidden="true" name="FDD_51_0" vbProcedure="false">"A30681"</definedName>
    <definedName function="false" hidden="true" name="FDD_51_1" vbProcedure="false">"A31047"</definedName>
    <definedName function="false" hidden="true" name="FDD_51_10" vbProcedure="false">"A34334"</definedName>
    <definedName function="false" hidden="true" name="FDD_51_11" vbProcedure="false">"A34699"</definedName>
    <definedName function="false" hidden="true" name="FDD_51_12" vbProcedure="false">"A35064"</definedName>
    <definedName function="false" hidden="true" name="FDD_51_13" vbProcedure="false">"A35430"</definedName>
    <definedName function="false" hidden="true" name="FDD_51_14" vbProcedure="false">"A35795"</definedName>
    <definedName function="false" hidden="true" name="FDD_51_2" vbProcedure="false">"A31412"</definedName>
    <definedName function="false" hidden="true" name="FDD_51_3" vbProcedure="false">"A31777"</definedName>
    <definedName function="false" hidden="true" name="FDD_51_4" vbProcedure="false">"A32142"</definedName>
    <definedName function="false" hidden="true" name="FDD_51_5" vbProcedure="false">"A32508"</definedName>
    <definedName function="false" hidden="true" name="FDD_51_6" vbProcedure="false">"A32873"</definedName>
    <definedName function="false" hidden="true" name="FDD_51_7" vbProcedure="false">"A33238"</definedName>
    <definedName function="false" hidden="true" name="FDD_51_8" vbProcedure="false">"A33603"</definedName>
    <definedName function="false" hidden="true" name="FDD_51_9" vbProcedure="false">"A33969"</definedName>
    <definedName function="false" hidden="true" name="FDD_52_0" vbProcedure="false">"A30681"</definedName>
    <definedName function="false" hidden="true" name="FDD_52_1" vbProcedure="false">"A31047"</definedName>
    <definedName function="false" hidden="true" name="FDD_52_10" vbProcedure="false">"A34334"</definedName>
    <definedName function="false" hidden="true" name="FDD_52_11" vbProcedure="false">"A34699"</definedName>
    <definedName function="false" hidden="true" name="FDD_52_12" vbProcedure="false">"A35064"</definedName>
    <definedName function="false" hidden="true" name="FDD_52_13" vbProcedure="false">"A35430"</definedName>
    <definedName function="false" hidden="true" name="FDD_52_14" vbProcedure="false">"A35795"</definedName>
    <definedName function="false" hidden="true" name="FDD_52_2" vbProcedure="false">"A31412"</definedName>
    <definedName function="false" hidden="true" name="FDD_52_3" vbProcedure="false">"A31777"</definedName>
    <definedName function="false" hidden="true" name="FDD_52_4" vbProcedure="false">"A32142"</definedName>
    <definedName function="false" hidden="true" name="FDD_52_5" vbProcedure="false">"A32508"</definedName>
    <definedName function="false" hidden="true" name="FDD_52_6" vbProcedure="false">"A32873"</definedName>
    <definedName function="false" hidden="true" name="FDD_52_7" vbProcedure="false">"A33238"</definedName>
    <definedName function="false" hidden="true" name="FDD_52_8" vbProcedure="false">"A33603"</definedName>
    <definedName function="false" hidden="true" name="FDD_52_9" vbProcedure="false">"A33969"</definedName>
    <definedName function="false" hidden="true" name="FDD_53_0" vbProcedure="false">"U30681"</definedName>
    <definedName function="false" hidden="true" name="FDD_53_1" vbProcedure="false">"A31047"</definedName>
    <definedName function="false" hidden="true" name="FDD_53_10" vbProcedure="false">"A34334"</definedName>
    <definedName function="false" hidden="true" name="FDD_53_11" vbProcedure="false">"A34699"</definedName>
    <definedName function="false" hidden="true" name="FDD_53_12" vbProcedure="false">"A35064"</definedName>
    <definedName function="false" hidden="true" name="FDD_53_13" vbProcedure="false">"A35430"</definedName>
    <definedName function="false" hidden="true" name="FDD_53_14" vbProcedure="false">"A35795"</definedName>
    <definedName function="false" hidden="true" name="FDD_53_2" vbProcedure="false">"A31412"</definedName>
    <definedName function="false" hidden="true" name="FDD_53_3" vbProcedure="false">"A31777"</definedName>
    <definedName function="false" hidden="true" name="FDD_53_4" vbProcedure="false">"A32142"</definedName>
    <definedName function="false" hidden="true" name="FDD_53_5" vbProcedure="false">"A32508"</definedName>
    <definedName function="false" hidden="true" name="FDD_53_6" vbProcedure="false">"A32873"</definedName>
    <definedName function="false" hidden="true" name="FDD_53_7" vbProcedure="false">"A33238"</definedName>
    <definedName function="false" hidden="true" name="FDD_53_8" vbProcedure="false">"A33603"</definedName>
    <definedName function="false" hidden="true" name="FDD_53_9" vbProcedure="false">"A33969"</definedName>
    <definedName function="false" hidden="true" name="FDD_54_0" vbProcedure="false">"A30681"</definedName>
    <definedName function="false" hidden="true" name="FDD_54_1" vbProcedure="false">"A31047"</definedName>
    <definedName function="false" hidden="true" name="FDD_54_10" vbProcedure="false">"A34334"</definedName>
    <definedName function="false" hidden="true" name="FDD_54_11" vbProcedure="false">"A34699"</definedName>
    <definedName function="false" hidden="true" name="FDD_54_12" vbProcedure="false">"A35064"</definedName>
    <definedName function="false" hidden="true" name="FDD_54_13" vbProcedure="false">"A35430"</definedName>
    <definedName function="false" hidden="true" name="FDD_54_14" vbProcedure="false">"A35795"</definedName>
    <definedName function="false" hidden="true" name="FDD_54_2" vbProcedure="false">"A31412"</definedName>
    <definedName function="false" hidden="true" name="FDD_54_3" vbProcedure="false">"A31777"</definedName>
    <definedName function="false" hidden="true" name="FDD_54_4" vbProcedure="false">"A32142"</definedName>
    <definedName function="false" hidden="true" name="FDD_54_5" vbProcedure="false">"A32508"</definedName>
    <definedName function="false" hidden="true" name="FDD_54_6" vbProcedure="false">"A32873"</definedName>
    <definedName function="false" hidden="true" name="FDD_54_7" vbProcedure="false">"A33238"</definedName>
    <definedName function="false" hidden="true" name="FDD_54_8" vbProcedure="false">"A33603"</definedName>
    <definedName function="false" hidden="true" name="FDD_54_9" vbProcedure="false">"A33969"</definedName>
    <definedName function="false" hidden="true" name="FDD_55_0" vbProcedure="false">"A30681"</definedName>
    <definedName function="false" hidden="true" name="FDD_55_1" vbProcedure="false">"A31047"</definedName>
    <definedName function="false" hidden="true" name="FDD_55_10" vbProcedure="false">"A34334"</definedName>
    <definedName function="false" hidden="true" name="FDD_55_11" vbProcedure="false">"A34699"</definedName>
    <definedName function="false" hidden="true" name="FDD_55_12" vbProcedure="false">"A35064"</definedName>
    <definedName function="false" hidden="true" name="FDD_55_13" vbProcedure="false">"A35430"</definedName>
    <definedName function="false" hidden="true" name="FDD_55_14" vbProcedure="false">"A35795"</definedName>
    <definedName function="false" hidden="true" name="FDD_55_2" vbProcedure="false">"A31412"</definedName>
    <definedName function="false" hidden="true" name="FDD_55_3" vbProcedure="false">"A31777"</definedName>
    <definedName function="false" hidden="true" name="FDD_55_4" vbProcedure="false">"A32142"</definedName>
    <definedName function="false" hidden="true" name="FDD_55_5" vbProcedure="false">"A32508"</definedName>
    <definedName function="false" hidden="true" name="FDD_55_6" vbProcedure="false">"A32873"</definedName>
    <definedName function="false" hidden="true" name="FDD_55_7" vbProcedure="false">"A33238"</definedName>
    <definedName function="false" hidden="true" name="FDD_55_8" vbProcedure="false">"A33603"</definedName>
    <definedName function="false" hidden="true" name="FDD_55_9" vbProcedure="false">"A33969"</definedName>
    <definedName function="false" hidden="true" name="FDD_56_0" vbProcedure="false">"A30681"</definedName>
    <definedName function="false" hidden="true" name="FDD_56_1" vbProcedure="false">"A31047"</definedName>
    <definedName function="false" hidden="true" name="FDD_56_10" vbProcedure="false">"A34334"</definedName>
    <definedName function="false" hidden="true" name="FDD_56_11" vbProcedure="false">"A34699"</definedName>
    <definedName function="false" hidden="true" name="FDD_56_12" vbProcedure="false">"A35064"</definedName>
    <definedName function="false" hidden="true" name="FDD_56_13" vbProcedure="false">"A35430"</definedName>
    <definedName function="false" hidden="true" name="FDD_56_14" vbProcedure="false">"A35795"</definedName>
    <definedName function="false" hidden="true" name="FDD_56_2" vbProcedure="false">"A31412"</definedName>
    <definedName function="false" hidden="true" name="FDD_56_3" vbProcedure="false">"A31777"</definedName>
    <definedName function="false" hidden="true" name="FDD_56_4" vbProcedure="false">"A32142"</definedName>
    <definedName function="false" hidden="true" name="FDD_56_5" vbProcedure="false">"A32508"</definedName>
    <definedName function="false" hidden="true" name="FDD_56_6" vbProcedure="false">"A32873"</definedName>
    <definedName function="false" hidden="true" name="FDD_56_7" vbProcedure="false">"A33238"</definedName>
    <definedName function="false" hidden="true" name="FDD_56_8" vbProcedure="false">"A33603"</definedName>
    <definedName function="false" hidden="true" name="FDD_56_9" vbProcedure="false">"A33969"</definedName>
    <definedName function="false" hidden="true" name="FDD_57_0" vbProcedure="false">"A30681"</definedName>
    <definedName function="false" hidden="true" name="FDD_57_1" vbProcedure="false">"A31047"</definedName>
    <definedName function="false" hidden="true" name="FDD_57_10" vbProcedure="false">"A34334"</definedName>
    <definedName function="false" hidden="true" name="FDD_57_11" vbProcedure="false">"A34699"</definedName>
    <definedName function="false" hidden="true" name="FDD_57_12" vbProcedure="false">"A35064"</definedName>
    <definedName function="false" hidden="true" name="FDD_57_13" vbProcedure="false">"A35430"</definedName>
    <definedName function="false" hidden="true" name="FDD_57_14" vbProcedure="false">"A35795"</definedName>
    <definedName function="false" hidden="true" name="FDD_57_2" vbProcedure="false">"A31412"</definedName>
    <definedName function="false" hidden="true" name="FDD_57_3" vbProcedure="false">"A31777"</definedName>
    <definedName function="false" hidden="true" name="FDD_57_4" vbProcedure="false">"A32142"</definedName>
    <definedName function="false" hidden="true" name="FDD_57_5" vbProcedure="false">"A32508"</definedName>
    <definedName function="false" hidden="true" name="FDD_57_6" vbProcedure="false">"A32873"</definedName>
    <definedName function="false" hidden="true" name="FDD_57_7" vbProcedure="false">"A33238"</definedName>
    <definedName function="false" hidden="true" name="FDD_57_8" vbProcedure="false">"A33603"</definedName>
    <definedName function="false" hidden="true" name="FDD_57_9" vbProcedure="false">"A33969"</definedName>
    <definedName function="false" hidden="true" name="FDD_58_0" vbProcedure="false">"A30681"</definedName>
    <definedName function="false" hidden="true" name="FDD_58_1" vbProcedure="false">"A31047"</definedName>
    <definedName function="false" hidden="true" name="FDD_58_10" vbProcedure="false">"A34334"</definedName>
    <definedName function="false" hidden="true" name="FDD_58_100" vbProcedure="false">"A35044"</definedName>
    <definedName function="false" hidden="true" name="FDD_58_101" vbProcedure="false">"A35051"</definedName>
    <definedName function="false" hidden="true" name="FDD_58_102" vbProcedure="false">"A35058"</definedName>
    <definedName function="false" hidden="true" name="FDD_58_103" vbProcedure="false">"A35065"</definedName>
    <definedName function="false" hidden="true" name="FDD_58_104" vbProcedure="false">"A35072"</definedName>
    <definedName function="false" hidden="true" name="FDD_58_105" vbProcedure="false">"A35079"</definedName>
    <definedName function="false" hidden="true" name="FDD_58_106" vbProcedure="false">"A35086"</definedName>
    <definedName function="false" hidden="true" name="FDD_58_107" vbProcedure="false">"A35093"</definedName>
    <definedName function="false" hidden="true" name="FDD_58_108" vbProcedure="false">"A35100"</definedName>
    <definedName function="false" hidden="true" name="FDD_58_109" vbProcedure="false">"A35107"</definedName>
    <definedName function="false" hidden="true" name="FDD_58_11" vbProcedure="false">"A34699"</definedName>
    <definedName function="false" hidden="true" name="FDD_58_110" vbProcedure="false">"A35114"</definedName>
    <definedName function="false" hidden="true" name="FDD_58_111" vbProcedure="false">"A35121"</definedName>
    <definedName function="false" hidden="true" name="FDD_58_112" vbProcedure="false">"A35128"</definedName>
    <definedName function="false" hidden="true" name="FDD_58_113" vbProcedure="false">"A35135"</definedName>
    <definedName function="false" hidden="true" name="FDD_58_114" vbProcedure="false">"A35142"</definedName>
    <definedName function="false" hidden="true" name="FDD_58_115" vbProcedure="false">"A35149"</definedName>
    <definedName function="false" hidden="true" name="FDD_58_116" vbProcedure="false">"A35156"</definedName>
    <definedName function="false" hidden="true" name="FDD_58_117" vbProcedure="false">"A35162"</definedName>
    <definedName function="false" hidden="true" name="FDD_58_118" vbProcedure="false">"A35170"</definedName>
    <definedName function="false" hidden="true" name="FDD_58_119" vbProcedure="false">"A35177"</definedName>
    <definedName function="false" hidden="true" name="FDD_58_12" vbProcedure="false">"A35064"</definedName>
    <definedName function="false" hidden="true" name="FDD_58_120" vbProcedure="false">"A35184"</definedName>
    <definedName function="false" hidden="true" name="FDD_58_121" vbProcedure="false">"A35191"</definedName>
    <definedName function="false" hidden="true" name="FDD_58_122" vbProcedure="false">"A35198"</definedName>
    <definedName function="false" hidden="true" name="FDD_58_123" vbProcedure="false">"A35205"</definedName>
    <definedName function="false" hidden="true" name="FDD_58_124" vbProcedure="false">"A35212"</definedName>
    <definedName function="false" hidden="true" name="FDD_58_125" vbProcedure="false">"A35219"</definedName>
    <definedName function="false" hidden="true" name="FDD_58_126" vbProcedure="false">"A35226"</definedName>
    <definedName function="false" hidden="true" name="FDD_58_127" vbProcedure="false">"A35233"</definedName>
    <definedName function="false" hidden="true" name="FDD_58_128" vbProcedure="false">"A35240"</definedName>
    <definedName function="false" hidden="true" name="FDD_58_129" vbProcedure="false">"A35247"</definedName>
    <definedName function="false" hidden="true" name="FDD_58_13" vbProcedure="false">"A35430"</definedName>
    <definedName function="false" hidden="true" name="FDD_58_130" vbProcedure="false">"A35254"</definedName>
    <definedName function="false" hidden="true" name="FDD_58_131" vbProcedure="false">"A35261"</definedName>
    <definedName function="false" hidden="true" name="FDD_58_132" vbProcedure="false">"A35268"</definedName>
    <definedName function="false" hidden="true" name="FDD_58_133" vbProcedure="false">"A35275"</definedName>
    <definedName function="false" hidden="true" name="FDD_58_134" vbProcedure="false">"A35282"</definedName>
    <definedName function="false" hidden="true" name="FDD_58_135" vbProcedure="false">"A35289"</definedName>
    <definedName function="false" hidden="true" name="FDD_58_136" vbProcedure="false">"A35296"</definedName>
    <definedName function="false" hidden="true" name="FDD_58_137" vbProcedure="false">"A35303"</definedName>
    <definedName function="false" hidden="true" name="FDD_58_138" vbProcedure="false">"A35310"</definedName>
    <definedName function="false" hidden="true" name="FDD_58_139" vbProcedure="false">"A35317"</definedName>
    <definedName function="false" hidden="true" name="FDD_58_14" vbProcedure="false">"A35795"</definedName>
    <definedName function="false" hidden="true" name="FDD_58_140" vbProcedure="false">"A35324"</definedName>
    <definedName function="false" hidden="true" name="FDD_58_141" vbProcedure="false">"A35331"</definedName>
    <definedName function="false" hidden="true" name="FDD_58_142" vbProcedure="false">"A35338"</definedName>
    <definedName function="false" hidden="true" name="FDD_58_143" vbProcedure="false">"A35345"</definedName>
    <definedName function="false" hidden="true" name="FDD_58_144" vbProcedure="false">"A35352"</definedName>
    <definedName function="false" hidden="true" name="FDD_58_145" vbProcedure="false">"A35359"</definedName>
    <definedName function="false" hidden="true" name="FDD_58_146" vbProcedure="false">"A35366"</definedName>
    <definedName function="false" hidden="true" name="FDD_58_147" vbProcedure="false">"A35373"</definedName>
    <definedName function="false" hidden="true" name="FDD_58_148" vbProcedure="false">"A35380"</definedName>
    <definedName function="false" hidden="true" name="FDD_58_149" vbProcedure="false">"A35387"</definedName>
    <definedName function="false" hidden="true" name="FDD_58_15" vbProcedure="false">"A34449"</definedName>
    <definedName function="false" hidden="true" name="FDD_58_150" vbProcedure="false">"A35394"</definedName>
    <definedName function="false" hidden="true" name="FDD_58_151" vbProcedure="false">"A35401"</definedName>
    <definedName function="false" hidden="true" name="FDD_58_152" vbProcedure="false">"A35408"</definedName>
    <definedName function="false" hidden="true" name="FDD_58_153" vbProcedure="false">"A35415"</definedName>
    <definedName function="false" hidden="true" name="FDD_58_154" vbProcedure="false">"A35422"</definedName>
    <definedName function="false" hidden="true" name="FDD_58_155" vbProcedure="false">"A35429"</definedName>
    <definedName function="false" hidden="true" name="FDD_58_156" vbProcedure="false">"A35436"</definedName>
    <definedName function="false" hidden="true" name="FDD_58_157" vbProcedure="false">"A35443"</definedName>
    <definedName function="false" hidden="true" name="FDD_58_158" vbProcedure="false">"A35450"</definedName>
    <definedName function="false" hidden="true" name="FDD_58_159" vbProcedure="false">"A35457"</definedName>
    <definedName function="false" hidden="true" name="FDD_58_16" vbProcedure="false">"A34456"</definedName>
    <definedName function="false" hidden="true" name="FDD_58_160" vbProcedure="false">"A35464"</definedName>
    <definedName function="false" hidden="true" name="FDD_58_161" vbProcedure="false">"A35471"</definedName>
    <definedName function="false" hidden="true" name="FDD_58_162" vbProcedure="false">"A35478"</definedName>
    <definedName function="false" hidden="true" name="FDD_58_163" vbProcedure="false">"A35485"</definedName>
    <definedName function="false" hidden="true" name="FDD_58_164" vbProcedure="false">"A35492"</definedName>
    <definedName function="false" hidden="true" name="FDD_58_165" vbProcedure="false">"A35499"</definedName>
    <definedName function="false" hidden="true" name="FDD_58_166" vbProcedure="false">"A35506"</definedName>
    <definedName function="false" hidden="true" name="FDD_58_167" vbProcedure="false">"A35513"</definedName>
    <definedName function="false" hidden="true" name="FDD_58_168" vbProcedure="false">"A35520"</definedName>
    <definedName function="false" hidden="true" name="FDD_58_169" vbProcedure="false">"A35527"</definedName>
    <definedName function="false" hidden="true" name="FDD_58_17" vbProcedure="false">"A34463"</definedName>
    <definedName function="false" hidden="true" name="FDD_58_170" vbProcedure="false">"A35534"</definedName>
    <definedName function="false" hidden="true" name="FDD_58_171" vbProcedure="false">"A35541"</definedName>
    <definedName function="false" hidden="true" name="FDD_58_172" vbProcedure="false">"A35548"</definedName>
    <definedName function="false" hidden="true" name="FDD_58_173" vbProcedure="false">"A35555"</definedName>
    <definedName function="false" hidden="true" name="FDD_58_174" vbProcedure="false">"A35562"</definedName>
    <definedName function="false" hidden="true" name="FDD_58_175" vbProcedure="false">"A35569"</definedName>
    <definedName function="false" hidden="true" name="FDD_58_176" vbProcedure="false">"A35576"</definedName>
    <definedName function="false" hidden="true" name="FDD_58_177" vbProcedure="false">"A35583"</definedName>
    <definedName function="false" hidden="true" name="FDD_58_178" vbProcedure="false">"A35590"</definedName>
    <definedName function="false" hidden="true" name="FDD_58_179" vbProcedure="false">"A35597"</definedName>
    <definedName function="false" hidden="true" name="FDD_58_18" vbProcedure="false">"A34470"</definedName>
    <definedName function="false" hidden="true" name="FDD_58_180" vbProcedure="false">"A35604"</definedName>
    <definedName function="false" hidden="true" name="FDD_58_181" vbProcedure="false">"A35611"</definedName>
    <definedName function="false" hidden="true" name="FDD_58_182" vbProcedure="false">"A35618"</definedName>
    <definedName function="false" hidden="true" name="FDD_58_183" vbProcedure="false">"A35625"</definedName>
    <definedName function="false" hidden="true" name="FDD_58_184" vbProcedure="false">"A35632"</definedName>
    <definedName function="false" hidden="true" name="FDD_58_185" vbProcedure="false">"A35639"</definedName>
    <definedName function="false" hidden="true" name="FDD_58_186" vbProcedure="false">"A35646"</definedName>
    <definedName function="false" hidden="true" name="FDD_58_187" vbProcedure="false">"A35653"</definedName>
    <definedName function="false" hidden="true" name="FDD_58_188" vbProcedure="false">"A35660"</definedName>
    <definedName function="false" hidden="true" name="FDD_58_189" vbProcedure="false">"A35667"</definedName>
    <definedName function="false" hidden="true" name="FDD_58_19" vbProcedure="false">"A34477"</definedName>
    <definedName function="false" hidden="true" name="FDD_58_190" vbProcedure="false">"A35674"</definedName>
    <definedName function="false" hidden="true" name="FDD_58_191" vbProcedure="false">"A35681"</definedName>
    <definedName function="false" hidden="true" name="FDD_58_192" vbProcedure="false">"A35688"</definedName>
    <definedName function="false" hidden="true" name="FDD_58_193" vbProcedure="false">"A35695"</definedName>
    <definedName function="false" hidden="true" name="FDD_58_194" vbProcedure="false">"A35702"</definedName>
    <definedName function="false" hidden="true" name="FDD_58_195" vbProcedure="false">"A35709"</definedName>
    <definedName function="false" hidden="true" name="FDD_58_196" vbProcedure="false">"A35716"</definedName>
    <definedName function="false" hidden="true" name="FDD_58_197" vbProcedure="false">"A35723"</definedName>
    <definedName function="false" hidden="true" name="FDD_58_198" vbProcedure="false">"A35730"</definedName>
    <definedName function="false" hidden="true" name="FDD_58_199" vbProcedure="false">"A35737"</definedName>
    <definedName function="false" hidden="true" name="FDD_58_2" vbProcedure="false">"A31412"</definedName>
    <definedName function="false" hidden="true" name="FDD_58_20" vbProcedure="false">"A34484"</definedName>
    <definedName function="false" hidden="true" name="FDD_58_200" vbProcedure="false">"A35744"</definedName>
    <definedName function="false" hidden="true" name="FDD_58_201" vbProcedure="false">"A35751"</definedName>
    <definedName function="false" hidden="true" name="FDD_58_202" vbProcedure="false">"A35758"</definedName>
    <definedName function="false" hidden="true" name="FDD_58_203" vbProcedure="false">"A35765"</definedName>
    <definedName function="false" hidden="true" name="FDD_58_204" vbProcedure="false">"A35772"</definedName>
    <definedName function="false" hidden="true" name="FDD_58_205" vbProcedure="false">"A35779"</definedName>
    <definedName function="false" hidden="true" name="FDD_58_206" vbProcedure="false">"A35786"</definedName>
    <definedName function="false" hidden="true" name="FDD_58_207" vbProcedure="false">"A35793"</definedName>
    <definedName function="false" hidden="true" name="FDD_58_208" vbProcedure="false">"A35800"</definedName>
    <definedName function="false" hidden="true" name="FDD_58_209" vbProcedure="false">"A35807"</definedName>
    <definedName function="false" hidden="true" name="FDD_58_21" vbProcedure="false">"A34491"</definedName>
    <definedName function="false" hidden="true" name="FDD_58_210" vbProcedure="false">"A35814"</definedName>
    <definedName function="false" hidden="true" name="FDD_58_211" vbProcedure="false">"A35821"</definedName>
    <definedName function="false" hidden="true" name="FDD_58_212" vbProcedure="false">"A35828"</definedName>
    <definedName function="false" hidden="true" name="FDD_58_213" vbProcedure="false">"A35835"</definedName>
    <definedName function="false" hidden="true" name="FDD_58_214" vbProcedure="false">"A35842"</definedName>
    <definedName function="false" hidden="true" name="FDD_58_215" vbProcedure="false">"A35849"</definedName>
    <definedName function="false" hidden="true" name="FDD_58_216" vbProcedure="false">"A35856"</definedName>
    <definedName function="false" hidden="true" name="FDD_58_217" vbProcedure="false">"A35863"</definedName>
    <definedName function="false" hidden="true" name="FDD_58_218" vbProcedure="false">"A35870"</definedName>
    <definedName function="false" hidden="true" name="FDD_58_219" vbProcedure="false">"A35877"</definedName>
    <definedName function="false" hidden="true" name="FDD_58_22" vbProcedure="false">"A34498"</definedName>
    <definedName function="false" hidden="true" name="FDD_58_220" vbProcedure="false">"A35884"</definedName>
    <definedName function="false" hidden="true" name="FDD_58_221" vbProcedure="false">"A35891"</definedName>
    <definedName function="false" hidden="true" name="FDD_58_222" vbProcedure="false">"A35898"</definedName>
    <definedName function="false" hidden="true" name="FDD_58_223" vbProcedure="false">"A35905"</definedName>
    <definedName function="false" hidden="true" name="FDD_58_224" vbProcedure="false">"A35912"</definedName>
    <definedName function="false" hidden="true" name="FDD_58_225" vbProcedure="false">"A35919"</definedName>
    <definedName function="false" hidden="true" name="FDD_58_226" vbProcedure="false">"A35926"</definedName>
    <definedName function="false" hidden="true" name="FDD_58_227" vbProcedure="false">"A35933"</definedName>
    <definedName function="false" hidden="true" name="FDD_58_228" vbProcedure="false">"A35940"</definedName>
    <definedName function="false" hidden="true" name="FDD_58_229" vbProcedure="false">"A35947"</definedName>
    <definedName function="false" hidden="true" name="FDD_58_23" vbProcedure="false">"A34505"</definedName>
    <definedName function="false" hidden="true" name="FDD_58_230" vbProcedure="false">"A35954"</definedName>
    <definedName function="false" hidden="true" name="FDD_58_231" vbProcedure="false">"A35961"</definedName>
    <definedName function="false" hidden="true" name="FDD_58_232" vbProcedure="false">"A35968"</definedName>
    <definedName function="false" hidden="true" name="FDD_58_233" vbProcedure="false">"A35975"</definedName>
    <definedName function="false" hidden="true" name="FDD_58_234" vbProcedure="false">"A35982"</definedName>
    <definedName function="false" hidden="true" name="FDD_58_235" vbProcedure="false">"A35989"</definedName>
    <definedName function="false" hidden="true" name="FDD_58_236" vbProcedure="false">"A35996"</definedName>
    <definedName function="false" hidden="true" name="FDD_58_237" vbProcedure="false">"A36003"</definedName>
    <definedName function="false" hidden="true" name="FDD_58_238" vbProcedure="false">"A36010"</definedName>
    <definedName function="false" hidden="true" name="FDD_58_239" vbProcedure="false">"A36017"</definedName>
    <definedName function="false" hidden="true" name="FDD_58_24" vbProcedure="false">"A34512"</definedName>
    <definedName function="false" hidden="true" name="FDD_58_240" vbProcedure="false">"A36024"</definedName>
    <definedName function="false" hidden="true" name="FDD_58_241" vbProcedure="false">"A36031"</definedName>
    <definedName function="false" hidden="true" name="FDD_58_242" vbProcedure="false">"A36038"</definedName>
    <definedName function="false" hidden="true" name="FDD_58_243" vbProcedure="false">"A36045"</definedName>
    <definedName function="false" hidden="true" name="FDD_58_244" vbProcedure="false">"A36052"</definedName>
    <definedName function="false" hidden="true" name="FDD_58_245" vbProcedure="false">"A36059"</definedName>
    <definedName function="false" hidden="true" name="FDD_58_246" vbProcedure="false">"A36066"</definedName>
    <definedName function="false" hidden="true" name="FDD_58_247" vbProcedure="false">"A36073"</definedName>
    <definedName function="false" hidden="true" name="FDD_58_248" vbProcedure="false">"A36080"</definedName>
    <definedName function="false" hidden="true" name="FDD_58_249" vbProcedure="false">"A36087"</definedName>
    <definedName function="false" hidden="true" name="FDD_58_25" vbProcedure="false">"A34519"</definedName>
    <definedName function="false" hidden="true" name="FDD_58_250" vbProcedure="false">"A36094"</definedName>
    <definedName function="false" hidden="true" name="FDD_58_251" vbProcedure="false">"A36101"</definedName>
    <definedName function="false" hidden="true" name="FDD_58_252" vbProcedure="false">"A36108"</definedName>
    <definedName function="false" hidden="true" name="FDD_58_253" vbProcedure="false">"A36115"</definedName>
    <definedName function="false" hidden="true" name="FDD_58_254" vbProcedure="false">"A36122"</definedName>
    <definedName function="false" hidden="true" name="FDD_58_255" vbProcedure="false">"A36129"</definedName>
    <definedName function="false" hidden="true" name="FDD_58_256" vbProcedure="false">"A36136"</definedName>
    <definedName function="false" hidden="true" name="FDD_58_257" vbProcedure="false">"A36143"</definedName>
    <definedName function="false" hidden="true" name="FDD_58_258" vbProcedure="false">"A36150"</definedName>
    <definedName function="false" hidden="true" name="FDD_58_259" vbProcedure="false">"A36157"</definedName>
    <definedName function="false" hidden="true" name="FDD_58_26" vbProcedure="false">"A34526"</definedName>
    <definedName function="false" hidden="true" name="FDD_58_260" vbProcedure="false">"A36164"</definedName>
    <definedName function="false" hidden="true" name="FDD_58_27" vbProcedure="false">"A34533"</definedName>
    <definedName function="false" hidden="true" name="FDD_58_28" vbProcedure="false">"A34540"</definedName>
    <definedName function="false" hidden="true" name="FDD_58_29" vbProcedure="false">"A34547"</definedName>
    <definedName function="false" hidden="true" name="FDD_58_3" vbProcedure="false">"A31777"</definedName>
    <definedName function="false" hidden="true" name="FDD_58_30" vbProcedure="false">"A34554"</definedName>
    <definedName function="false" hidden="true" name="FDD_58_31" vbProcedure="false">"A34561"</definedName>
    <definedName function="false" hidden="true" name="FDD_58_32" vbProcedure="false">"A34568"</definedName>
    <definedName function="false" hidden="true" name="FDD_58_33" vbProcedure="false">"A34575"</definedName>
    <definedName function="false" hidden="true" name="FDD_58_34" vbProcedure="false">"A34582"</definedName>
    <definedName function="false" hidden="true" name="FDD_58_35" vbProcedure="false">"A34589"</definedName>
    <definedName function="false" hidden="true" name="FDD_58_36" vbProcedure="false">"A34596"</definedName>
    <definedName function="false" hidden="true" name="FDD_58_37" vbProcedure="false">"A34603"</definedName>
    <definedName function="false" hidden="true" name="FDD_58_38" vbProcedure="false">"A34610"</definedName>
    <definedName function="false" hidden="true" name="FDD_58_39" vbProcedure="false">"A34617"</definedName>
    <definedName function="false" hidden="true" name="FDD_58_4" vbProcedure="false">"A32142"</definedName>
    <definedName function="false" hidden="true" name="FDD_58_40" vbProcedure="false">"A34624"</definedName>
    <definedName function="false" hidden="true" name="FDD_58_41" vbProcedure="false">"A34631"</definedName>
    <definedName function="false" hidden="true" name="FDD_58_42" vbProcedure="false">"A34638"</definedName>
    <definedName function="false" hidden="true" name="FDD_58_43" vbProcedure="false">"A34645"</definedName>
    <definedName function="false" hidden="true" name="FDD_58_44" vbProcedure="false">"A34652"</definedName>
    <definedName function="false" hidden="true" name="FDD_58_45" vbProcedure="false">"A34659"</definedName>
    <definedName function="false" hidden="true" name="FDD_58_46" vbProcedure="false">"A34666"</definedName>
    <definedName function="false" hidden="true" name="FDD_58_47" vbProcedure="false">"A34673"</definedName>
    <definedName function="false" hidden="true" name="FDD_58_48" vbProcedure="false">"A34680"</definedName>
    <definedName function="false" hidden="true" name="FDD_58_49" vbProcedure="false">"A34687"</definedName>
    <definedName function="false" hidden="true" name="FDD_58_5" vbProcedure="false">"A32508"</definedName>
    <definedName function="false" hidden="true" name="FDD_58_50" vbProcedure="false">"A34694"</definedName>
    <definedName function="false" hidden="true" name="FDD_58_51" vbProcedure="false">"A34701"</definedName>
    <definedName function="false" hidden="true" name="FDD_58_52" vbProcedure="false">"A34708"</definedName>
    <definedName function="false" hidden="true" name="FDD_58_53" vbProcedure="false">"A34715"</definedName>
    <definedName function="false" hidden="true" name="FDD_58_54" vbProcedure="false">"A34722"</definedName>
    <definedName function="false" hidden="true" name="FDD_58_55" vbProcedure="false">"A34729"</definedName>
    <definedName function="false" hidden="true" name="FDD_58_56" vbProcedure="false">"A34736"</definedName>
    <definedName function="false" hidden="true" name="FDD_58_57" vbProcedure="false">"A34743"</definedName>
    <definedName function="false" hidden="true" name="FDD_58_58" vbProcedure="false">"A34750"</definedName>
    <definedName function="false" hidden="true" name="FDD_58_59" vbProcedure="false">"A34757"</definedName>
    <definedName function="false" hidden="true" name="FDD_58_6" vbProcedure="false">"A32873"</definedName>
    <definedName function="false" hidden="true" name="FDD_58_60" vbProcedure="false">"A34764"</definedName>
    <definedName function="false" hidden="true" name="FDD_58_61" vbProcedure="false">"A34771"</definedName>
    <definedName function="false" hidden="true" name="FDD_58_62" vbProcedure="false">"A34778"</definedName>
    <definedName function="false" hidden="true" name="FDD_58_63" vbProcedure="false">"A34785"</definedName>
    <definedName function="false" hidden="true" name="FDD_58_64" vbProcedure="false">"A34792"</definedName>
    <definedName function="false" hidden="true" name="FDD_58_65" vbProcedure="false">"A34799"</definedName>
    <definedName function="false" hidden="true" name="FDD_58_66" vbProcedure="false">"A34806"</definedName>
    <definedName function="false" hidden="true" name="FDD_58_67" vbProcedure="false">"A34813"</definedName>
    <definedName function="false" hidden="true" name="FDD_58_68" vbProcedure="false">"A34820"</definedName>
    <definedName function="false" hidden="true" name="FDD_58_69" vbProcedure="false">"A34827"</definedName>
    <definedName function="false" hidden="true" name="FDD_58_7" vbProcedure="false">"A33238"</definedName>
    <definedName function="false" hidden="true" name="FDD_58_70" vbProcedure="false">"A34834"</definedName>
    <definedName function="false" hidden="true" name="FDD_58_71" vbProcedure="false">"A34841"</definedName>
    <definedName function="false" hidden="true" name="FDD_58_72" vbProcedure="false">"A34848"</definedName>
    <definedName function="false" hidden="true" name="FDD_58_73" vbProcedure="false">"A34855"</definedName>
    <definedName function="false" hidden="true" name="FDD_58_74" vbProcedure="false">"A34862"</definedName>
    <definedName function="false" hidden="true" name="FDD_58_75" vbProcedure="false">"A34869"</definedName>
    <definedName function="false" hidden="true" name="FDD_58_76" vbProcedure="false">"A34876"</definedName>
    <definedName function="false" hidden="true" name="FDD_58_77" vbProcedure="false">"A34883"</definedName>
    <definedName function="false" hidden="true" name="FDD_58_78" vbProcedure="false">"A34890"</definedName>
    <definedName function="false" hidden="true" name="FDD_58_79" vbProcedure="false">"A34897"</definedName>
    <definedName function="false" hidden="true" name="FDD_58_8" vbProcedure="false">"A33603"</definedName>
    <definedName function="false" hidden="true" name="FDD_58_80" vbProcedure="false">"A34904"</definedName>
    <definedName function="false" hidden="true" name="FDD_58_81" vbProcedure="false">"A34911"</definedName>
    <definedName function="false" hidden="true" name="FDD_58_82" vbProcedure="false">"A34918"</definedName>
    <definedName function="false" hidden="true" name="FDD_58_83" vbProcedure="false">"A34925"</definedName>
    <definedName function="false" hidden="true" name="FDD_58_84" vbProcedure="false">"A34932"</definedName>
    <definedName function="false" hidden="true" name="FDD_58_85" vbProcedure="false">"A34939"</definedName>
    <definedName function="false" hidden="true" name="FDD_58_86" vbProcedure="false">"A34946"</definedName>
    <definedName function="false" hidden="true" name="FDD_58_87" vbProcedure="false">"A34953"</definedName>
    <definedName function="false" hidden="true" name="FDD_58_88" vbProcedure="false">"A34960"</definedName>
    <definedName function="false" hidden="true" name="FDD_58_89" vbProcedure="false">"A34967"</definedName>
    <definedName function="false" hidden="true" name="FDD_58_9" vbProcedure="false">"A33969"</definedName>
    <definedName function="false" hidden="true" name="FDD_58_90" vbProcedure="false">"A34974"</definedName>
    <definedName function="false" hidden="true" name="FDD_58_91" vbProcedure="false">"A34981"</definedName>
    <definedName function="false" hidden="true" name="FDD_58_92" vbProcedure="false">"A34988"</definedName>
    <definedName function="false" hidden="true" name="FDD_58_93" vbProcedure="false">"A34995"</definedName>
    <definedName function="false" hidden="true" name="FDD_58_94" vbProcedure="false">"A35002"</definedName>
    <definedName function="false" hidden="true" name="FDD_58_95" vbProcedure="false">"A35009"</definedName>
    <definedName function="false" hidden="true" name="FDD_58_96" vbProcedure="false">"A35016"</definedName>
    <definedName function="false" hidden="true" name="FDD_58_97" vbProcedure="false">"A35023"</definedName>
    <definedName function="false" hidden="true" name="FDD_58_98" vbProcedure="false">"A35030"</definedName>
    <definedName function="false" hidden="true" name="FDD_58_99" vbProcedure="false">"A35037"</definedName>
    <definedName function="false" hidden="true" name="FDD_59_0" vbProcedure="false">"A30681"</definedName>
    <definedName function="false" hidden="true" name="FDD_59_1" vbProcedure="false">"A31047"</definedName>
    <definedName function="false" hidden="true" name="FDD_59_10" vbProcedure="false">"A34334"</definedName>
    <definedName function="false" hidden="true" name="FDD_59_100" vbProcedure="false">"A35044"</definedName>
    <definedName function="false" hidden="true" name="FDD_59_101" vbProcedure="false">"A35051"</definedName>
    <definedName function="false" hidden="true" name="FDD_59_102" vbProcedure="false">"A35059"</definedName>
    <definedName function="false" hidden="true" name="FDD_59_103" vbProcedure="false">"A35065"</definedName>
    <definedName function="false" hidden="true" name="FDD_59_104" vbProcedure="false">"A35072"</definedName>
    <definedName function="false" hidden="true" name="FDD_59_105" vbProcedure="false">"A35079"</definedName>
    <definedName function="false" hidden="true" name="FDD_59_106" vbProcedure="false">"A35086"</definedName>
    <definedName function="false" hidden="true" name="FDD_59_107" vbProcedure="false">"A35093"</definedName>
    <definedName function="false" hidden="true" name="FDD_59_108" vbProcedure="false">"A35100"</definedName>
    <definedName function="false" hidden="true" name="FDD_59_109" vbProcedure="false">"A35107"</definedName>
    <definedName function="false" hidden="true" name="FDD_59_11" vbProcedure="false">"A34699"</definedName>
    <definedName function="false" hidden="true" name="FDD_59_110" vbProcedure="false">"A35114"</definedName>
    <definedName function="false" hidden="true" name="FDD_59_111" vbProcedure="false">"A35121"</definedName>
    <definedName function="false" hidden="true" name="FDD_59_112" vbProcedure="false">"A35128"</definedName>
    <definedName function="false" hidden="true" name="FDD_59_113" vbProcedure="false">"A35135"</definedName>
    <definedName function="false" hidden="true" name="FDD_59_114" vbProcedure="false">"A35141"</definedName>
    <definedName function="false" hidden="true" name="FDD_59_115" vbProcedure="false">"A35149"</definedName>
    <definedName function="false" hidden="true" name="FDD_59_116" vbProcedure="false">"A35156"</definedName>
    <definedName function="false" hidden="true" name="FDD_59_117" vbProcedure="false">"A35163"</definedName>
    <definedName function="false" hidden="true" name="FDD_59_118" vbProcedure="false">"A35170"</definedName>
    <definedName function="false" hidden="true" name="FDD_59_119" vbProcedure="false">"A35177"</definedName>
    <definedName function="false" hidden="true" name="FDD_59_12" vbProcedure="false">"A35064"</definedName>
    <definedName function="false" hidden="true" name="FDD_59_120" vbProcedure="false">"A35184"</definedName>
    <definedName function="false" hidden="true" name="FDD_59_121" vbProcedure="false">"A35192"</definedName>
    <definedName function="false" hidden="true" name="FDD_59_122" vbProcedure="false">"A35198"</definedName>
    <definedName function="false" hidden="true" name="FDD_59_123" vbProcedure="false">"A35205"</definedName>
    <definedName function="false" hidden="true" name="FDD_59_124" vbProcedure="false">"A35213"</definedName>
    <definedName function="false" hidden="true" name="FDD_59_125" vbProcedure="false">"A35219"</definedName>
    <definedName function="false" hidden="true" name="FDD_59_126" vbProcedure="false">"A35226"</definedName>
    <definedName function="false" hidden="true" name="FDD_59_127" vbProcedure="false">"A35233"</definedName>
    <definedName function="false" hidden="true" name="FDD_59_128" vbProcedure="false">"A35240"</definedName>
    <definedName function="false" hidden="true" name="FDD_59_129" vbProcedure="false">"A35247"</definedName>
    <definedName function="false" hidden="true" name="FDD_59_13" vbProcedure="false">"A35430"</definedName>
    <definedName function="false" hidden="true" name="FDD_59_130" vbProcedure="false">"A35254"</definedName>
    <definedName function="false" hidden="true" name="FDD_59_131" vbProcedure="false">"A35261"</definedName>
    <definedName function="false" hidden="true" name="FDD_59_132" vbProcedure="false">"A35268"</definedName>
    <definedName function="false" hidden="true" name="FDD_59_133" vbProcedure="false">"A35275"</definedName>
    <definedName function="false" hidden="true" name="FDD_59_134" vbProcedure="false">"A35282"</definedName>
    <definedName function="false" hidden="true" name="FDD_59_135" vbProcedure="false">"A35289"</definedName>
    <definedName function="false" hidden="true" name="FDD_59_136" vbProcedure="false">"A35296"</definedName>
    <definedName function="false" hidden="true" name="FDD_59_137" vbProcedure="false">"A35303"</definedName>
    <definedName function="false" hidden="true" name="FDD_59_138" vbProcedure="false">"A35310"</definedName>
    <definedName function="false" hidden="true" name="FDD_59_139" vbProcedure="false">"A35317"</definedName>
    <definedName function="false" hidden="true" name="FDD_59_14" vbProcedure="false">"A35795"</definedName>
    <definedName function="false" hidden="true" name="FDD_59_140" vbProcedure="false">"A35324"</definedName>
    <definedName function="false" hidden="true" name="FDD_59_141" vbProcedure="false">"A35331"</definedName>
    <definedName function="false" hidden="true" name="FDD_59_142" vbProcedure="false">"A35338"</definedName>
    <definedName function="false" hidden="true" name="FDD_59_143" vbProcedure="false">"A35345"</definedName>
    <definedName function="false" hidden="true" name="FDD_59_144" vbProcedure="false">"A35352"</definedName>
    <definedName function="false" hidden="true" name="FDD_59_145" vbProcedure="false">"A35359"</definedName>
    <definedName function="false" hidden="true" name="FDD_59_146" vbProcedure="false">"A35366"</definedName>
    <definedName function="false" hidden="true" name="FDD_59_147" vbProcedure="false">"A35373"</definedName>
    <definedName function="false" hidden="true" name="FDD_59_148" vbProcedure="false">"A35380"</definedName>
    <definedName function="false" hidden="true" name="FDD_59_149" vbProcedure="false">"A35387"</definedName>
    <definedName function="false" hidden="true" name="FDD_59_15" vbProcedure="false">"A34449"</definedName>
    <definedName function="false" hidden="true" name="FDD_59_150" vbProcedure="false">"A35394"</definedName>
    <definedName function="false" hidden="true" name="FDD_59_151" vbProcedure="false">"A35401"</definedName>
    <definedName function="false" hidden="true" name="FDD_59_152" vbProcedure="false">"A35408"</definedName>
    <definedName function="false" hidden="true" name="FDD_59_153" vbProcedure="false">"A35415"</definedName>
    <definedName function="false" hidden="true" name="FDD_59_154" vbProcedure="false">"A35422"</definedName>
    <definedName function="false" hidden="true" name="FDD_59_155" vbProcedure="false">"A35429"</definedName>
    <definedName function="false" hidden="true" name="FDD_59_156" vbProcedure="false">"A35436"</definedName>
    <definedName function="false" hidden="true" name="FDD_59_157" vbProcedure="false">"A35443"</definedName>
    <definedName function="false" hidden="true" name="FDD_59_158" vbProcedure="false">"A35450"</definedName>
    <definedName function="false" hidden="true" name="FDD_59_159" vbProcedure="false">"A35457"</definedName>
    <definedName function="false" hidden="true" name="FDD_59_16" vbProcedure="false">"A34457"</definedName>
    <definedName function="false" hidden="true" name="FDD_59_160" vbProcedure="false">"A35464"</definedName>
    <definedName function="false" hidden="true" name="FDD_59_161" vbProcedure="false">"A35471"</definedName>
    <definedName function="false" hidden="true" name="FDD_59_162" vbProcedure="false">"A35478"</definedName>
    <definedName function="false" hidden="true" name="FDD_59_163" vbProcedure="false">"A35485"</definedName>
    <definedName function="false" hidden="true" name="FDD_59_164" vbProcedure="false">"A35492"</definedName>
    <definedName function="false" hidden="true" name="FDD_59_165" vbProcedure="false">"A35499"</definedName>
    <definedName function="false" hidden="true" name="FDD_59_166" vbProcedure="false">"A35506"</definedName>
    <definedName function="false" hidden="true" name="FDD_59_167" vbProcedure="false">"A35513"</definedName>
    <definedName function="false" hidden="true" name="FDD_59_168" vbProcedure="false">"A35521"</definedName>
    <definedName function="false" hidden="true" name="FDD_59_169" vbProcedure="false">"A35527"</definedName>
    <definedName function="false" hidden="true" name="FDD_59_17" vbProcedure="false">"A34463"</definedName>
    <definedName function="false" hidden="true" name="FDD_59_170" vbProcedure="false">"A35534"</definedName>
    <definedName function="false" hidden="true" name="FDD_59_171" vbProcedure="false">"A35541"</definedName>
    <definedName function="false" hidden="true" name="FDD_59_172" vbProcedure="false">"A35548"</definedName>
    <definedName function="false" hidden="true" name="FDD_59_173" vbProcedure="false">"A35556"</definedName>
    <definedName function="false" hidden="true" name="FDD_59_174" vbProcedure="false">"A35562"</definedName>
    <definedName function="false" hidden="true" name="FDD_59_175" vbProcedure="false">"A35569"</definedName>
    <definedName function="false" hidden="true" name="FDD_59_176" vbProcedure="false">"A35577"</definedName>
    <definedName function="false" hidden="true" name="FDD_59_177" vbProcedure="false">"A35583"</definedName>
    <definedName function="false" hidden="true" name="FDD_59_178" vbProcedure="false">"A35590"</definedName>
    <definedName function="false" hidden="true" name="FDD_59_179" vbProcedure="false">"A35597"</definedName>
    <definedName function="false" hidden="true" name="FDD_59_18" vbProcedure="false">"A34470"</definedName>
    <definedName function="false" hidden="true" name="FDD_59_180" vbProcedure="false">"A35604"</definedName>
    <definedName function="false" hidden="true" name="FDD_59_181" vbProcedure="false">"A35611"</definedName>
    <definedName function="false" hidden="true" name="FDD_59_182" vbProcedure="false">"A35618"</definedName>
    <definedName function="false" hidden="true" name="FDD_59_183" vbProcedure="false">"A35625"</definedName>
    <definedName function="false" hidden="true" name="FDD_59_184" vbProcedure="false">"A35632"</definedName>
    <definedName function="false" hidden="true" name="FDD_59_185" vbProcedure="false">"A35639"</definedName>
    <definedName function="false" hidden="true" name="FDD_59_186" vbProcedure="false">"A35646"</definedName>
    <definedName function="false" hidden="true" name="FDD_59_187" vbProcedure="false">"A35653"</definedName>
    <definedName function="false" hidden="true" name="FDD_59_188" vbProcedure="false">"A35660"</definedName>
    <definedName function="false" hidden="true" name="FDD_59_189" vbProcedure="false">"A35668"</definedName>
    <definedName function="false" hidden="true" name="FDD_59_19" vbProcedure="false">"A34477"</definedName>
    <definedName function="false" hidden="true" name="FDD_59_190" vbProcedure="false">"A35674"</definedName>
    <definedName function="false" hidden="true" name="FDD_59_191" vbProcedure="false">"A35681"</definedName>
    <definedName function="false" hidden="true" name="FDD_59_192" vbProcedure="false">"A35688"</definedName>
    <definedName function="false" hidden="true" name="FDD_59_193" vbProcedure="false">"A35695"</definedName>
    <definedName function="false" hidden="true" name="FDD_59_194" vbProcedure="false">"A35702"</definedName>
    <definedName function="false" hidden="true" name="FDD_59_195" vbProcedure="false">"A35709"</definedName>
    <definedName function="false" hidden="true" name="FDD_59_196" vbProcedure="false">"A35716"</definedName>
    <definedName function="false" hidden="true" name="FDD_59_197" vbProcedure="false">"A35723"</definedName>
    <definedName function="false" hidden="true" name="FDD_59_198" vbProcedure="false">"A35730"</definedName>
    <definedName function="false" hidden="true" name="FDD_59_199" vbProcedure="false">"A35737"</definedName>
    <definedName function="false" hidden="true" name="FDD_59_2" vbProcedure="false">"A31412"</definedName>
    <definedName function="false" hidden="true" name="FDD_59_20" vbProcedure="false">"A34485"</definedName>
    <definedName function="false" hidden="true" name="FDD_59_200" vbProcedure="false">"A35744"</definedName>
    <definedName function="false" hidden="true" name="FDD_59_201" vbProcedure="false">"A35751"</definedName>
    <definedName function="false" hidden="true" name="FDD_59_202" vbProcedure="false">"A35758"</definedName>
    <definedName function="false" hidden="true" name="FDD_59_203" vbProcedure="false">"A35765"</definedName>
    <definedName function="false" hidden="true" name="FDD_59_204" vbProcedure="false">"A35772"</definedName>
    <definedName function="false" hidden="true" name="FDD_59_205" vbProcedure="false">"A35779"</definedName>
    <definedName function="false" hidden="true" name="FDD_59_206" vbProcedure="false">"A35786"</definedName>
    <definedName function="false" hidden="true" name="FDD_59_207" vbProcedure="false">"A35793"</definedName>
    <definedName function="false" hidden="true" name="FDD_59_208" vbProcedure="false">"A35800"</definedName>
    <definedName function="false" hidden="true" name="FDD_59_209" vbProcedure="false">"A35807"</definedName>
    <definedName function="false" hidden="true" name="FDD_59_21" vbProcedure="false">"A34491"</definedName>
    <definedName function="false" hidden="true" name="FDD_59_210" vbProcedure="false">"A35814"</definedName>
    <definedName function="false" hidden="true" name="FDD_59_211" vbProcedure="false">"A35821"</definedName>
    <definedName function="false" hidden="true" name="FDD_59_212" vbProcedure="false">"A35828"</definedName>
    <definedName function="false" hidden="true" name="FDD_59_213" vbProcedure="false">"A35835"</definedName>
    <definedName function="false" hidden="true" name="FDD_59_214" vbProcedure="false">"A35842"</definedName>
    <definedName function="false" hidden="true" name="FDD_59_215" vbProcedure="false">"A35849"</definedName>
    <definedName function="false" hidden="true" name="FDD_59_216" vbProcedure="false">"A35856"</definedName>
    <definedName function="false" hidden="true" name="FDD_59_217" vbProcedure="false">"A35863"</definedName>
    <definedName function="false" hidden="true" name="FDD_59_218" vbProcedure="false">"A35870"</definedName>
    <definedName function="false" hidden="true" name="FDD_59_219" vbProcedure="false">"A35877"</definedName>
    <definedName function="false" hidden="true" name="FDD_59_22" vbProcedure="false">"A34498"</definedName>
    <definedName function="false" hidden="true" name="FDD_59_220" vbProcedure="false">"A35884"</definedName>
    <definedName function="false" hidden="true" name="FDD_59_221" vbProcedure="false">"A35891"</definedName>
    <definedName function="false" hidden="true" name="FDD_59_222" vbProcedure="false">"A35899"</definedName>
    <definedName function="false" hidden="true" name="FDD_59_223" vbProcedure="false">"A35905"</definedName>
    <definedName function="false" hidden="true" name="FDD_59_224" vbProcedure="false">"A35912"</definedName>
    <definedName function="false" hidden="true" name="FDD_59_225" vbProcedure="false">"A35919"</definedName>
    <definedName function="false" hidden="true" name="FDD_59_226" vbProcedure="false">"A35926"</definedName>
    <definedName function="false" hidden="true" name="FDD_59_227" vbProcedure="false">"A35933"</definedName>
    <definedName function="false" hidden="true" name="FDD_59_228" vbProcedure="false">"A35941"</definedName>
    <definedName function="false" hidden="true" name="FDD_59_229" vbProcedure="false">"A35947"</definedName>
    <definedName function="false" hidden="true" name="FDD_59_23" vbProcedure="false">"A34505"</definedName>
    <definedName function="false" hidden="true" name="FDD_59_230" vbProcedure="false">"A35954"</definedName>
    <definedName function="false" hidden="true" name="FDD_59_231" vbProcedure="false">"A35961"</definedName>
    <definedName function="false" hidden="true" name="FDD_59_232" vbProcedure="false">"A35968"</definedName>
    <definedName function="false" hidden="true" name="FDD_59_233" vbProcedure="false">"A35975"</definedName>
    <definedName function="false" hidden="true" name="FDD_59_234" vbProcedure="false">"A35982"</definedName>
    <definedName function="false" hidden="true" name="FDD_59_235" vbProcedure="false">"A35989"</definedName>
    <definedName function="false" hidden="true" name="FDD_59_236" vbProcedure="false">"A35996"</definedName>
    <definedName function="false" hidden="true" name="FDD_59_237" vbProcedure="false">"A36003"</definedName>
    <definedName function="false" hidden="true" name="FDD_59_238" vbProcedure="false">"A36010"</definedName>
    <definedName function="false" hidden="true" name="FDD_59_239" vbProcedure="false">"A36017"</definedName>
    <definedName function="false" hidden="true" name="FDD_59_24" vbProcedure="false">"A34512"</definedName>
    <definedName function="false" hidden="true" name="FDD_59_240" vbProcedure="false">"A36024"</definedName>
    <definedName function="false" hidden="true" name="FDD_59_241" vbProcedure="false">"A36031"</definedName>
    <definedName function="false" hidden="true" name="FDD_59_242" vbProcedure="false">"A36039"</definedName>
    <definedName function="false" hidden="true" name="FDD_59_243" vbProcedure="false">"A36045"</definedName>
    <definedName function="false" hidden="true" name="FDD_59_244" vbProcedure="false">"A36052"</definedName>
    <definedName function="false" hidden="true" name="FDD_59_245" vbProcedure="false">"A36059"</definedName>
    <definedName function="false" hidden="true" name="FDD_59_246" vbProcedure="false">"A36066"</definedName>
    <definedName function="false" hidden="true" name="FDD_59_247" vbProcedure="false">"A36073"</definedName>
    <definedName function="false" hidden="true" name="FDD_59_248" vbProcedure="false">"A36080"</definedName>
    <definedName function="false" hidden="true" name="FDD_59_249" vbProcedure="false">"A36087"</definedName>
    <definedName function="false" hidden="true" name="FDD_59_25" vbProcedure="false">"A34519"</definedName>
    <definedName function="false" hidden="true" name="FDD_59_250" vbProcedure="false">"A36094"</definedName>
    <definedName function="false" hidden="true" name="FDD_59_251" vbProcedure="false">"A36101"</definedName>
    <definedName function="false" hidden="true" name="FDD_59_252" vbProcedure="false">"A36108"</definedName>
    <definedName function="false" hidden="true" name="FDD_59_253" vbProcedure="false">"A36116"</definedName>
    <definedName function="false" hidden="true" name="FDD_59_254" vbProcedure="false">"A36122"</definedName>
    <definedName function="false" hidden="true" name="FDD_59_255" vbProcedure="false">"A36129"</definedName>
    <definedName function="false" hidden="true" name="FDD_59_256" vbProcedure="false">"A36136"</definedName>
    <definedName function="false" hidden="true" name="FDD_59_257" vbProcedure="false">"A36143"</definedName>
    <definedName function="false" hidden="true" name="FDD_59_258" vbProcedure="false">"A36150"</definedName>
    <definedName function="false" hidden="true" name="FDD_59_259" vbProcedure="false">"A36157"</definedName>
    <definedName function="false" hidden="true" name="FDD_59_26" vbProcedure="false">"A34526"</definedName>
    <definedName function="false" hidden="true" name="FDD_59_260" vbProcedure="false">"A36164"</definedName>
    <definedName function="false" hidden="true" name="FDD_59_27" vbProcedure="false">"A34533"</definedName>
    <definedName function="false" hidden="true" name="FDD_59_28" vbProcedure="false">"A34540"</definedName>
    <definedName function="false" hidden="true" name="FDD_59_29" vbProcedure="false">"A34547"</definedName>
    <definedName function="false" hidden="true" name="FDD_59_3" vbProcedure="false">"A31777"</definedName>
    <definedName function="false" hidden="true" name="FDD_59_30" vbProcedure="false">"A34554"</definedName>
    <definedName function="false" hidden="true" name="FDD_59_31" vbProcedure="false">"A34561"</definedName>
    <definedName function="false" hidden="true" name="FDD_59_32" vbProcedure="false">"A34568"</definedName>
    <definedName function="false" hidden="true" name="FDD_59_33" vbProcedure="false">"A34576"</definedName>
    <definedName function="false" hidden="true" name="FDD_59_34" vbProcedure="false">"A34582"</definedName>
    <definedName function="false" hidden="true" name="FDD_59_35" vbProcedure="false">"A34589"</definedName>
    <definedName function="false" hidden="true" name="FDD_59_36" vbProcedure="false">"A34596"</definedName>
    <definedName function="false" hidden="true" name="FDD_59_37" vbProcedure="false">"A34603"</definedName>
    <definedName function="false" hidden="true" name="FDD_59_38" vbProcedure="false">"A34610"</definedName>
    <definedName function="false" hidden="true" name="FDD_59_39" vbProcedure="false">"A34617"</definedName>
    <definedName function="false" hidden="true" name="FDD_59_4" vbProcedure="false">"A32142"</definedName>
    <definedName function="false" hidden="true" name="FDD_59_40" vbProcedure="false">"A34624"</definedName>
    <definedName function="false" hidden="true" name="FDD_59_41" vbProcedure="false">"A34631"</definedName>
    <definedName function="false" hidden="true" name="FDD_59_42" vbProcedure="false">"A34638"</definedName>
    <definedName function="false" hidden="true" name="FDD_59_43" vbProcedure="false">"A34645"</definedName>
    <definedName function="false" hidden="true" name="FDD_59_44" vbProcedure="false">"A34652"</definedName>
    <definedName function="false" hidden="true" name="FDD_59_45" vbProcedure="false">"A34659"</definedName>
    <definedName function="false" hidden="true" name="FDD_59_46" vbProcedure="false">"A34666"</definedName>
    <definedName function="false" hidden="true" name="FDD_59_47" vbProcedure="false">"A34673"</definedName>
    <definedName function="false" hidden="true" name="FDD_59_48" vbProcedure="false">"A34680"</definedName>
    <definedName function="false" hidden="true" name="FDD_59_49" vbProcedure="false">"A34687"</definedName>
    <definedName function="false" hidden="true" name="FDD_59_5" vbProcedure="false">"A32508"</definedName>
    <definedName function="false" hidden="true" name="FDD_59_50" vbProcedure="false">"A34696"</definedName>
    <definedName function="false" hidden="true" name="FDD_59_51" vbProcedure="false">"A34702"</definedName>
    <definedName function="false" hidden="true" name="FDD_59_52" vbProcedure="false">"A34708"</definedName>
    <definedName function="false" hidden="true" name="FDD_59_53" vbProcedure="false">"A34715"</definedName>
    <definedName function="false" hidden="true" name="FDD_59_54" vbProcedure="false">"A34722"</definedName>
    <definedName function="false" hidden="true" name="FDD_59_55" vbProcedure="false">"A34729"</definedName>
    <definedName function="false" hidden="true" name="FDD_59_56" vbProcedure="false">"A34736"</definedName>
    <definedName function="false" hidden="true" name="FDD_59_57" vbProcedure="false">"A34743"</definedName>
    <definedName function="false" hidden="true" name="FDD_59_58" vbProcedure="false">"A34750"</definedName>
    <definedName function="false" hidden="true" name="FDD_59_59" vbProcedure="false">"A34757"</definedName>
    <definedName function="false" hidden="true" name="FDD_59_6" vbProcedure="false">"A32873"</definedName>
    <definedName function="false" hidden="true" name="FDD_59_60" vbProcedure="false">"A34764"</definedName>
    <definedName function="false" hidden="true" name="FDD_59_61" vbProcedure="false">"A34771"</definedName>
    <definedName function="false" hidden="true" name="FDD_59_62" vbProcedure="false">"A34778"</definedName>
    <definedName function="false" hidden="true" name="FDD_59_63" vbProcedure="false">"A34785"</definedName>
    <definedName function="false" hidden="true" name="FDD_59_64" vbProcedure="false">"A34792"</definedName>
    <definedName function="false" hidden="true" name="FDD_59_65" vbProcedure="false">"A34799"</definedName>
    <definedName function="false" hidden="true" name="FDD_59_66" vbProcedure="false">"A34807"</definedName>
    <definedName function="false" hidden="true" name="FDD_59_67" vbProcedure="false">"A34813"</definedName>
    <definedName function="false" hidden="true" name="FDD_59_68" vbProcedure="false">"A34820"</definedName>
    <definedName function="false" hidden="true" name="FDD_59_69" vbProcedure="false">"A34828"</definedName>
    <definedName function="false" hidden="true" name="FDD_59_7" vbProcedure="false">"A33238"</definedName>
    <definedName function="false" hidden="true" name="FDD_59_70" vbProcedure="false">"A34834"</definedName>
    <definedName function="false" hidden="true" name="FDD_59_71" vbProcedure="false">"A34841"</definedName>
    <definedName function="false" hidden="true" name="FDD_59_72" vbProcedure="false">"A34848"</definedName>
    <definedName function="false" hidden="true" name="FDD_59_73" vbProcedure="false">"A34855"</definedName>
    <definedName function="false" hidden="true" name="FDD_59_74" vbProcedure="false">"A34862"</definedName>
    <definedName function="false" hidden="true" name="FDD_59_75" vbProcedure="false">"A34870"</definedName>
    <definedName function="false" hidden="true" name="FDD_59_76" vbProcedure="false">"A34876"</definedName>
    <definedName function="false" hidden="true" name="FDD_59_77" vbProcedure="false">"A34883"</definedName>
    <definedName function="false" hidden="true" name="FDD_59_78" vbProcedure="false">"A34891"</definedName>
    <definedName function="false" hidden="true" name="FDD_59_79" vbProcedure="false">"A34897"</definedName>
    <definedName function="false" hidden="true" name="FDD_59_8" vbProcedure="false">"A33603"</definedName>
    <definedName function="false" hidden="true" name="FDD_59_80" vbProcedure="false">"A34904"</definedName>
    <definedName function="false" hidden="true" name="FDD_59_81" vbProcedure="false">"A34911"</definedName>
    <definedName function="false" hidden="true" name="FDD_59_82" vbProcedure="false">"A34918"</definedName>
    <definedName function="false" hidden="true" name="FDD_59_83" vbProcedure="false">"A34925"</definedName>
    <definedName function="false" hidden="true" name="FDD_59_84" vbProcedure="false">"A34932"</definedName>
    <definedName function="false" hidden="true" name="FDD_59_85" vbProcedure="false">"A34940"</definedName>
    <definedName function="false" hidden="true" name="FDD_59_86" vbProcedure="false">"A34946"</definedName>
    <definedName function="false" hidden="true" name="FDD_59_87" vbProcedure="false">"A34953"</definedName>
    <definedName function="false" hidden="true" name="FDD_59_88" vbProcedure="false">"A34960"</definedName>
    <definedName function="false" hidden="true" name="FDD_59_89" vbProcedure="false">"A34967"</definedName>
    <definedName function="false" hidden="true" name="FDD_59_9" vbProcedure="false">"A33969"</definedName>
    <definedName function="false" hidden="true" name="FDD_59_90" vbProcedure="false">"A34974"</definedName>
    <definedName function="false" hidden="true" name="FDD_59_91" vbProcedure="false">"A34981"</definedName>
    <definedName function="false" hidden="true" name="FDD_59_92" vbProcedure="false">"A34988"</definedName>
    <definedName function="false" hidden="true" name="FDD_59_93" vbProcedure="false">"A34995"</definedName>
    <definedName function="false" hidden="true" name="FDD_59_94" vbProcedure="false">"A35002"</definedName>
    <definedName function="false" hidden="true" name="FDD_59_95" vbProcedure="false">"A35009"</definedName>
    <definedName function="false" hidden="true" name="FDD_59_96" vbProcedure="false">"A35016"</definedName>
    <definedName function="false" hidden="true" name="FDD_59_97" vbProcedure="false">"A35023"</definedName>
    <definedName function="false" hidden="true" name="FDD_59_98" vbProcedure="false">"A35030"</definedName>
    <definedName function="false" hidden="true" name="FDD_59_99" vbProcedure="false">"A35037"</definedName>
    <definedName function="false" hidden="true" name="FDD_5_0" vbProcedure="false">"A25569"</definedName>
    <definedName function="false" hidden="true" name="FDD_5_1" vbProcedure="false">"E35795"</definedName>
    <definedName function="false" hidden="true" name="FDD_5_2" vbProcedure="false">"E36160"</definedName>
    <definedName function="false" hidden="true" name="FDD_5_3" vbProcedure="false">"E36525"</definedName>
    <definedName function="false" hidden="true" name="FDD_60_0" vbProcedure="false">"A30681"</definedName>
    <definedName function="false" hidden="true" name="FDD_60_1" vbProcedure="false">"A31047"</definedName>
    <definedName function="false" hidden="true" name="FDD_60_10" vbProcedure="false">"A34334"</definedName>
    <definedName function="false" hidden="true" name="FDD_60_11" vbProcedure="false">"A34699"</definedName>
    <definedName function="false" hidden="true" name="FDD_60_12" vbProcedure="false">"A35064"</definedName>
    <definedName function="false" hidden="true" name="FDD_60_13" vbProcedure="false">"A35430"</definedName>
    <definedName function="false" hidden="true" name="FDD_60_14" vbProcedure="false">"A35795"</definedName>
    <definedName function="false" hidden="true" name="FDD_60_2" vbProcedure="false">"A31412"</definedName>
    <definedName function="false" hidden="true" name="FDD_60_3" vbProcedure="false">"A31777"</definedName>
    <definedName function="false" hidden="true" name="FDD_60_4" vbProcedure="false">"A32142"</definedName>
    <definedName function="false" hidden="true" name="FDD_60_5" vbProcedure="false">"A32508"</definedName>
    <definedName function="false" hidden="true" name="FDD_60_6" vbProcedure="false">"A32873"</definedName>
    <definedName function="false" hidden="true" name="FDD_60_7" vbProcedure="false">"A33238"</definedName>
    <definedName function="false" hidden="true" name="FDD_60_8" vbProcedure="false">"A33603"</definedName>
    <definedName function="false" hidden="true" name="FDD_60_9" vbProcedure="false">"A33969"</definedName>
    <definedName function="false" hidden="true" name="FDD_61_0" vbProcedure="false">"A30681"</definedName>
    <definedName function="false" hidden="true" name="FDD_61_1" vbProcedure="false">"A31047"</definedName>
    <definedName function="false" hidden="true" name="FDD_61_10" vbProcedure="false">"A34334"</definedName>
    <definedName function="false" hidden="true" name="FDD_61_11" vbProcedure="false">"A34699"</definedName>
    <definedName function="false" hidden="true" name="FDD_61_12" vbProcedure="false">"A35064"</definedName>
    <definedName function="false" hidden="true" name="FDD_61_13" vbProcedure="false">"A35430"</definedName>
    <definedName function="false" hidden="true" name="FDD_61_14" vbProcedure="false">"A35795"</definedName>
    <definedName function="false" hidden="true" name="FDD_61_2" vbProcedure="false">"A31412"</definedName>
    <definedName function="false" hidden="true" name="FDD_61_3" vbProcedure="false">"A31777"</definedName>
    <definedName function="false" hidden="true" name="FDD_61_4" vbProcedure="false">"A32142"</definedName>
    <definedName function="false" hidden="true" name="FDD_61_5" vbProcedure="false">"A32508"</definedName>
    <definedName function="false" hidden="true" name="FDD_61_6" vbProcedure="false">"A32873"</definedName>
    <definedName function="false" hidden="true" name="FDD_61_7" vbProcedure="false">"A33238"</definedName>
    <definedName function="false" hidden="true" name="FDD_61_8" vbProcedure="false">"A33603"</definedName>
    <definedName function="false" hidden="true" name="FDD_61_9" vbProcedure="false">"A33969"</definedName>
    <definedName function="false" hidden="true" name="FDD_62_0" vbProcedure="false">"A30681"</definedName>
    <definedName function="false" hidden="true" name="FDD_62_1" vbProcedure="false">"A31047"</definedName>
    <definedName function="false" hidden="true" name="FDD_62_10" vbProcedure="false">"A34334"</definedName>
    <definedName function="false" hidden="true" name="FDD_62_11" vbProcedure="false">"A34699"</definedName>
    <definedName function="false" hidden="true" name="FDD_62_12" vbProcedure="false">"A35064"</definedName>
    <definedName function="false" hidden="true" name="FDD_62_13" vbProcedure="false">"A35430"</definedName>
    <definedName function="false" hidden="true" name="FDD_62_14" vbProcedure="false">"A35795"</definedName>
    <definedName function="false" hidden="true" name="FDD_62_2" vbProcedure="false">"A31412"</definedName>
    <definedName function="false" hidden="true" name="FDD_62_3" vbProcedure="false">"A31777"</definedName>
    <definedName function="false" hidden="true" name="FDD_62_4" vbProcedure="false">"A32142"</definedName>
    <definedName function="false" hidden="true" name="FDD_62_5" vbProcedure="false">"A32508"</definedName>
    <definedName function="false" hidden="true" name="FDD_62_6" vbProcedure="false">"A32873"</definedName>
    <definedName function="false" hidden="true" name="FDD_62_7" vbProcedure="false">"A33238"</definedName>
    <definedName function="false" hidden="true" name="FDD_62_8" vbProcedure="false">"A33603"</definedName>
    <definedName function="false" hidden="true" name="FDD_62_9" vbProcedure="false">"A33969"</definedName>
    <definedName function="false" hidden="true" name="FDD_63_0" vbProcedure="false">"A30681"</definedName>
    <definedName function="false" hidden="true" name="FDD_63_1" vbProcedure="false">"A31047"</definedName>
    <definedName function="false" hidden="true" name="FDD_63_10" vbProcedure="false">"A34334"</definedName>
    <definedName function="false" hidden="true" name="FDD_63_11" vbProcedure="false">"A34699"</definedName>
    <definedName function="false" hidden="true" name="FDD_63_12" vbProcedure="false">"A35064"</definedName>
    <definedName function="false" hidden="true" name="FDD_63_13" vbProcedure="false">"A35430"</definedName>
    <definedName function="false" hidden="true" name="FDD_63_14" vbProcedure="false">"A35795"</definedName>
    <definedName function="false" hidden="true" name="FDD_63_2" vbProcedure="false">"A31412"</definedName>
    <definedName function="false" hidden="true" name="FDD_63_3" vbProcedure="false">"A31777"</definedName>
    <definedName function="false" hidden="true" name="FDD_63_4" vbProcedure="false">"A32142"</definedName>
    <definedName function="false" hidden="true" name="FDD_63_5" vbProcedure="false">"A32508"</definedName>
    <definedName function="false" hidden="true" name="FDD_63_6" vbProcedure="false">"A32873"</definedName>
    <definedName function="false" hidden="true" name="FDD_63_7" vbProcedure="false">"A33238"</definedName>
    <definedName function="false" hidden="true" name="FDD_63_8" vbProcedure="false">"A33603"</definedName>
    <definedName function="false" hidden="true" name="FDD_63_9" vbProcedure="false">"A33969"</definedName>
    <definedName function="false" hidden="true" name="FDD_64_0" vbProcedure="false">"A30681"</definedName>
    <definedName function="false" hidden="true" name="FDD_64_1" vbProcedure="false">"A31047"</definedName>
    <definedName function="false" hidden="true" name="FDD_64_10" vbProcedure="false">"A34334"</definedName>
    <definedName function="false" hidden="true" name="FDD_64_11" vbProcedure="false">"A34699"</definedName>
    <definedName function="false" hidden="true" name="FDD_64_12" vbProcedure="false">"A35064"</definedName>
    <definedName function="false" hidden="true" name="FDD_64_13" vbProcedure="false">"A35430"</definedName>
    <definedName function="false" hidden="true" name="FDD_64_14" vbProcedure="false">"A35795"</definedName>
    <definedName function="false" hidden="true" name="FDD_64_2" vbProcedure="false">"A31412"</definedName>
    <definedName function="false" hidden="true" name="FDD_64_3" vbProcedure="false">"A31777"</definedName>
    <definedName function="false" hidden="true" name="FDD_64_4" vbProcedure="false">"A32142"</definedName>
    <definedName function="false" hidden="true" name="FDD_64_5" vbProcedure="false">"A32508"</definedName>
    <definedName function="false" hidden="true" name="FDD_64_6" vbProcedure="false">"A32873"</definedName>
    <definedName function="false" hidden="true" name="FDD_64_7" vbProcedure="false">"A33238"</definedName>
    <definedName function="false" hidden="true" name="FDD_64_8" vbProcedure="false">"A33603"</definedName>
    <definedName function="false" hidden="true" name="FDD_64_9" vbProcedure="false">"A33969"</definedName>
    <definedName function="false" hidden="true" name="FDD_65_0" vbProcedure="false">"A30681"</definedName>
    <definedName function="false" hidden="true" name="FDD_65_1" vbProcedure="false">"A31047"</definedName>
    <definedName function="false" hidden="true" name="FDD_65_10" vbProcedure="false">"A34334"</definedName>
    <definedName function="false" hidden="true" name="FDD_65_11" vbProcedure="false">"A34699"</definedName>
    <definedName function="false" hidden="true" name="FDD_65_12" vbProcedure="false">"A35064"</definedName>
    <definedName function="false" hidden="true" name="FDD_65_13" vbProcedure="false">"A35430"</definedName>
    <definedName function="false" hidden="true" name="FDD_65_14" vbProcedure="false">"A35795"</definedName>
    <definedName function="false" hidden="true" name="FDD_65_2" vbProcedure="false">"A31412"</definedName>
    <definedName function="false" hidden="true" name="FDD_65_3" vbProcedure="false">"A31777"</definedName>
    <definedName function="false" hidden="true" name="FDD_65_4" vbProcedure="false">"A32142"</definedName>
    <definedName function="false" hidden="true" name="FDD_65_5" vbProcedure="false">"A32508"</definedName>
    <definedName function="false" hidden="true" name="FDD_65_6" vbProcedure="false">"A32873"</definedName>
    <definedName function="false" hidden="true" name="FDD_65_7" vbProcedure="false">"A33238"</definedName>
    <definedName function="false" hidden="true" name="FDD_65_8" vbProcedure="false">"A33603"</definedName>
    <definedName function="false" hidden="true" name="FDD_65_9" vbProcedure="false">"A33969"</definedName>
    <definedName function="false" hidden="true" name="FDD_66_0" vbProcedure="false">"A30681"</definedName>
    <definedName function="false" hidden="true" name="FDD_66_1" vbProcedure="false">"A31047"</definedName>
    <definedName function="false" hidden="true" name="FDD_66_10" vbProcedure="false">"A34334"</definedName>
    <definedName function="false" hidden="true" name="FDD_66_11" vbProcedure="false">"A34699"</definedName>
    <definedName function="false" hidden="true" name="FDD_66_12" vbProcedure="false">"A35064"</definedName>
    <definedName function="false" hidden="true" name="FDD_66_13" vbProcedure="false">"A35430"</definedName>
    <definedName function="false" hidden="true" name="FDD_66_14" vbProcedure="false">"A35795"</definedName>
    <definedName function="false" hidden="true" name="FDD_66_2" vbProcedure="false">"A31412"</definedName>
    <definedName function="false" hidden="true" name="FDD_66_3" vbProcedure="false">"A31777"</definedName>
    <definedName function="false" hidden="true" name="FDD_66_4" vbProcedure="false">"A32142"</definedName>
    <definedName function="false" hidden="true" name="FDD_66_5" vbProcedure="false">"A32508"</definedName>
    <definedName function="false" hidden="true" name="FDD_66_6" vbProcedure="false">"A32873"</definedName>
    <definedName function="false" hidden="true" name="FDD_66_7" vbProcedure="false">"A33238"</definedName>
    <definedName function="false" hidden="true" name="FDD_66_8" vbProcedure="false">"A33603"</definedName>
    <definedName function="false" hidden="true" name="FDD_66_9" vbProcedure="false">"A33969"</definedName>
    <definedName function="false" hidden="true" name="FDD_67_0" vbProcedure="false">"A30681"</definedName>
    <definedName function="false" hidden="true" name="FDD_67_1" vbProcedure="false">"A31047"</definedName>
    <definedName function="false" hidden="true" name="FDD_67_10" vbProcedure="false">"A34334"</definedName>
    <definedName function="false" hidden="true" name="FDD_67_11" vbProcedure="false">"A34699"</definedName>
    <definedName function="false" hidden="true" name="FDD_67_12" vbProcedure="false">"A35064"</definedName>
    <definedName function="false" hidden="true" name="FDD_67_13" vbProcedure="false">"A35430"</definedName>
    <definedName function="false" hidden="true" name="FDD_67_14" vbProcedure="false">"A35795"</definedName>
    <definedName function="false" hidden="true" name="FDD_67_2" vbProcedure="false">"A31412"</definedName>
    <definedName function="false" hidden="true" name="FDD_67_3" vbProcedure="false">"A31777"</definedName>
    <definedName function="false" hidden="true" name="FDD_67_4" vbProcedure="false">"A32142"</definedName>
    <definedName function="false" hidden="true" name="FDD_67_5" vbProcedure="false">"A32508"</definedName>
    <definedName function="false" hidden="true" name="FDD_67_6" vbProcedure="false">"A32873"</definedName>
    <definedName function="false" hidden="true" name="FDD_67_7" vbProcedure="false">"A33238"</definedName>
    <definedName function="false" hidden="true" name="FDD_67_8" vbProcedure="false">"A33603"</definedName>
    <definedName function="false" hidden="true" name="FDD_67_9" vbProcedure="false">"A33969"</definedName>
    <definedName function="false" hidden="true" name="FDD_68_0" vbProcedure="false">"A30681"</definedName>
    <definedName function="false" hidden="true" name="FDD_68_1" vbProcedure="false">"A31047"</definedName>
    <definedName function="false" hidden="true" name="FDD_68_10" vbProcedure="false">"A34334"</definedName>
    <definedName function="false" hidden="true" name="FDD_68_11" vbProcedure="false">"A34699"</definedName>
    <definedName function="false" hidden="true" name="FDD_68_12" vbProcedure="false">"A35064"</definedName>
    <definedName function="false" hidden="true" name="FDD_68_13" vbProcedure="false">"A35430"</definedName>
    <definedName function="false" hidden="true" name="FDD_68_14" vbProcedure="false">"A35795"</definedName>
    <definedName function="false" hidden="true" name="FDD_68_2" vbProcedure="false">"A31412"</definedName>
    <definedName function="false" hidden="true" name="FDD_68_3" vbProcedure="false">"A31777"</definedName>
    <definedName function="false" hidden="true" name="FDD_68_4" vbProcedure="false">"A32142"</definedName>
    <definedName function="false" hidden="true" name="FDD_68_5" vbProcedure="false">"A32508"</definedName>
    <definedName function="false" hidden="true" name="FDD_68_6" vbProcedure="false">"A32873"</definedName>
    <definedName function="false" hidden="true" name="FDD_68_7" vbProcedure="false">"A33238"</definedName>
    <definedName function="false" hidden="true" name="FDD_68_8" vbProcedure="false">"A33603"</definedName>
    <definedName function="false" hidden="true" name="FDD_68_9" vbProcedure="false">"A33969"</definedName>
    <definedName function="false" hidden="true" name="FDD_69_0" vbProcedure="false">"U30681"</definedName>
    <definedName function="false" hidden="true" name="FDD_69_1" vbProcedure="false">"A31047"</definedName>
    <definedName function="false" hidden="true" name="FDD_69_10" vbProcedure="false">"A34334"</definedName>
    <definedName function="false" hidden="true" name="FDD_69_11" vbProcedure="false">"A34699"</definedName>
    <definedName function="false" hidden="true" name="FDD_69_12" vbProcedure="false">"A35064"</definedName>
    <definedName function="false" hidden="true" name="FDD_69_13" vbProcedure="false">"A35430"</definedName>
    <definedName function="false" hidden="true" name="FDD_69_14" vbProcedure="false">"A35795"</definedName>
    <definedName function="false" hidden="true" name="FDD_69_2" vbProcedure="false">"A31412"</definedName>
    <definedName function="false" hidden="true" name="FDD_69_3" vbProcedure="false">"A31777"</definedName>
    <definedName function="false" hidden="true" name="FDD_69_4" vbProcedure="false">"A32142"</definedName>
    <definedName function="false" hidden="true" name="FDD_69_5" vbProcedure="false">"A32508"</definedName>
    <definedName function="false" hidden="true" name="FDD_69_6" vbProcedure="false">"A32873"</definedName>
    <definedName function="false" hidden="true" name="FDD_69_7" vbProcedure="false">"A33238"</definedName>
    <definedName function="false" hidden="true" name="FDD_69_8" vbProcedure="false">"A33603"</definedName>
    <definedName function="false" hidden="true" name="FDD_69_9" vbProcedure="false">"A33969"</definedName>
    <definedName function="false" hidden="true" name="FDD_6_0" vbProcedure="false">"A25569"</definedName>
    <definedName function="false" hidden="true" name="FDD_6_1" vbProcedure="false">"A35795"</definedName>
    <definedName function="false" hidden="true" name="FDD_6_2" vbProcedure="false">"E36160"</definedName>
    <definedName function="false" hidden="true" name="FDD_6_3" vbProcedure="false">"E36525"</definedName>
    <definedName function="false" hidden="true" name="FDD_70_0" vbProcedure="false">"A30681"</definedName>
    <definedName function="false" hidden="true" name="FDD_70_1" vbProcedure="false">"A31047"</definedName>
    <definedName function="false" hidden="true" name="FDD_70_10" vbProcedure="false">"A34334"</definedName>
    <definedName function="false" hidden="true" name="FDD_70_11" vbProcedure="false">"A34699"</definedName>
    <definedName function="false" hidden="true" name="FDD_70_12" vbProcedure="false">"A35064"</definedName>
    <definedName function="false" hidden="true" name="FDD_70_13" vbProcedure="false">"A35430"</definedName>
    <definedName function="false" hidden="true" name="FDD_70_14" vbProcedure="false">"A35795"</definedName>
    <definedName function="false" hidden="true" name="FDD_70_2" vbProcedure="false">"A31412"</definedName>
    <definedName function="false" hidden="true" name="FDD_70_3" vbProcedure="false">"A31777"</definedName>
    <definedName function="false" hidden="true" name="FDD_70_4" vbProcedure="false">"A32142"</definedName>
    <definedName function="false" hidden="true" name="FDD_70_5" vbProcedure="false">"A32508"</definedName>
    <definedName function="false" hidden="true" name="FDD_70_6" vbProcedure="false">"A32873"</definedName>
    <definedName function="false" hidden="true" name="FDD_70_7" vbProcedure="false">"A33238"</definedName>
    <definedName function="false" hidden="true" name="FDD_70_8" vbProcedure="false">"A33603"</definedName>
    <definedName function="false" hidden="true" name="FDD_70_9" vbProcedure="false">"A33969"</definedName>
    <definedName function="false" hidden="true" name="FDD_71_0" vbProcedure="false">"A30681"</definedName>
    <definedName function="false" hidden="true" name="FDD_71_1" vbProcedure="false">"A31047"</definedName>
    <definedName function="false" hidden="true" name="FDD_71_10" vbProcedure="false">"A34334"</definedName>
    <definedName function="false" hidden="true" name="FDD_71_11" vbProcedure="false">"A34699"</definedName>
    <definedName function="false" hidden="true" name="FDD_71_12" vbProcedure="false">"A35064"</definedName>
    <definedName function="false" hidden="true" name="FDD_71_13" vbProcedure="false">"A35430"</definedName>
    <definedName function="false" hidden="true" name="FDD_71_14" vbProcedure="false">"A35795"</definedName>
    <definedName function="false" hidden="true" name="FDD_71_2" vbProcedure="false">"A31412"</definedName>
    <definedName function="false" hidden="true" name="FDD_71_3" vbProcedure="false">"A31777"</definedName>
    <definedName function="false" hidden="true" name="FDD_71_4" vbProcedure="false">"A32142"</definedName>
    <definedName function="false" hidden="true" name="FDD_71_5" vbProcedure="false">"A32508"</definedName>
    <definedName function="false" hidden="true" name="FDD_71_6" vbProcedure="false">"A32873"</definedName>
    <definedName function="false" hidden="true" name="FDD_71_7" vbProcedure="false">"A33238"</definedName>
    <definedName function="false" hidden="true" name="FDD_71_8" vbProcedure="false">"A33603"</definedName>
    <definedName function="false" hidden="true" name="FDD_71_9" vbProcedure="false">"A33969"</definedName>
    <definedName function="false" hidden="true" name="FDD_72_0" vbProcedure="false">"A30681"</definedName>
    <definedName function="false" hidden="true" name="FDD_72_1" vbProcedure="false">"A31047"</definedName>
    <definedName function="false" hidden="true" name="FDD_72_10" vbProcedure="false">"A34334"</definedName>
    <definedName function="false" hidden="true" name="FDD_72_11" vbProcedure="false">"A34699"</definedName>
    <definedName function="false" hidden="true" name="FDD_72_12" vbProcedure="false">"A35064"</definedName>
    <definedName function="false" hidden="true" name="FDD_72_13" vbProcedure="false">"A35430"</definedName>
    <definedName function="false" hidden="true" name="FDD_72_14" vbProcedure="false">"A35795"</definedName>
    <definedName function="false" hidden="true" name="FDD_72_2" vbProcedure="false">"A31412"</definedName>
    <definedName function="false" hidden="true" name="FDD_72_3" vbProcedure="false">"A31777"</definedName>
    <definedName function="false" hidden="true" name="FDD_72_4" vbProcedure="false">"A32142"</definedName>
    <definedName function="false" hidden="true" name="FDD_72_5" vbProcedure="false">"A32508"</definedName>
    <definedName function="false" hidden="true" name="FDD_72_6" vbProcedure="false">"A32873"</definedName>
    <definedName function="false" hidden="true" name="FDD_72_7" vbProcedure="false">"A33238"</definedName>
    <definedName function="false" hidden="true" name="FDD_72_8" vbProcedure="false">"A33603"</definedName>
    <definedName function="false" hidden="true" name="FDD_72_9" vbProcedure="false">"A33969"</definedName>
    <definedName function="false" hidden="true" name="FDD_73_0" vbProcedure="false">"A30681"</definedName>
    <definedName function="false" hidden="true" name="FDD_73_1" vbProcedure="false">"A31047"</definedName>
    <definedName function="false" hidden="true" name="FDD_73_10" vbProcedure="false">"A34334"</definedName>
    <definedName function="false" hidden="true" name="FDD_73_11" vbProcedure="false">"A34699"</definedName>
    <definedName function="false" hidden="true" name="FDD_73_12" vbProcedure="false">"A35064"</definedName>
    <definedName function="false" hidden="true" name="FDD_73_13" vbProcedure="false">"A35430"</definedName>
    <definedName function="false" hidden="true" name="FDD_73_14" vbProcedure="false">"A35795"</definedName>
    <definedName function="false" hidden="true" name="FDD_73_2" vbProcedure="false">"A31412"</definedName>
    <definedName function="false" hidden="true" name="FDD_73_3" vbProcedure="false">"A31777"</definedName>
    <definedName function="false" hidden="true" name="FDD_73_4" vbProcedure="false">"A32142"</definedName>
    <definedName function="false" hidden="true" name="FDD_73_5" vbProcedure="false">"A32508"</definedName>
    <definedName function="false" hidden="true" name="FDD_73_6" vbProcedure="false">"A32873"</definedName>
    <definedName function="false" hidden="true" name="FDD_73_7" vbProcedure="false">"A33238"</definedName>
    <definedName function="false" hidden="true" name="FDD_73_8" vbProcedure="false">"A33603"</definedName>
    <definedName function="false" hidden="true" name="FDD_73_9" vbProcedure="false">"A33969"</definedName>
    <definedName function="false" hidden="true" name="FDD_74_0" vbProcedure="false">"A30681"</definedName>
    <definedName function="false" hidden="true" name="FDD_74_1" vbProcedure="false">"A31047"</definedName>
    <definedName function="false" hidden="true" name="FDD_74_10" vbProcedure="false">"A34334"</definedName>
    <definedName function="false" hidden="true" name="FDD_74_11" vbProcedure="false">"A34699"</definedName>
    <definedName function="false" hidden="true" name="FDD_74_12" vbProcedure="false">"A35064"</definedName>
    <definedName function="false" hidden="true" name="FDD_74_13" vbProcedure="false">"A35430"</definedName>
    <definedName function="false" hidden="true" name="FDD_74_14" vbProcedure="false">"A35795"</definedName>
    <definedName function="false" hidden="true" name="FDD_74_2" vbProcedure="false">"A31412"</definedName>
    <definedName function="false" hidden="true" name="FDD_74_3" vbProcedure="false">"A31777"</definedName>
    <definedName function="false" hidden="true" name="FDD_74_4" vbProcedure="false">"A32142"</definedName>
    <definedName function="false" hidden="true" name="FDD_74_5" vbProcedure="false">"A32508"</definedName>
    <definedName function="false" hidden="true" name="FDD_74_6" vbProcedure="false">"A32873"</definedName>
    <definedName function="false" hidden="true" name="FDD_74_7" vbProcedure="false">"A33238"</definedName>
    <definedName function="false" hidden="true" name="FDD_74_8" vbProcedure="false">"A33603"</definedName>
    <definedName function="false" hidden="true" name="FDD_74_9" vbProcedure="false">"A33969"</definedName>
    <definedName function="false" hidden="true" name="FDD_75_0" vbProcedure="false">"A30681"</definedName>
    <definedName function="false" hidden="true" name="FDD_75_1" vbProcedure="false">"A31047"</definedName>
    <definedName function="false" hidden="true" name="FDD_75_10" vbProcedure="false">"A34334"</definedName>
    <definedName function="false" hidden="true" name="FDD_75_11" vbProcedure="false">"A34699"</definedName>
    <definedName function="false" hidden="true" name="FDD_75_12" vbProcedure="false">"A35064"</definedName>
    <definedName function="false" hidden="true" name="FDD_75_13" vbProcedure="false">"A35430"</definedName>
    <definedName function="false" hidden="true" name="FDD_75_14" vbProcedure="false">"A35795"</definedName>
    <definedName function="false" hidden="true" name="FDD_75_2" vbProcedure="false">"A31412"</definedName>
    <definedName function="false" hidden="true" name="FDD_75_3" vbProcedure="false">"A31777"</definedName>
    <definedName function="false" hidden="true" name="FDD_75_4" vbProcedure="false">"A32142"</definedName>
    <definedName function="false" hidden="true" name="FDD_75_5" vbProcedure="false">"A32508"</definedName>
    <definedName function="false" hidden="true" name="FDD_75_6" vbProcedure="false">"A32873"</definedName>
    <definedName function="false" hidden="true" name="FDD_75_7" vbProcedure="false">"A33238"</definedName>
    <definedName function="false" hidden="true" name="FDD_75_8" vbProcedure="false">"A33603"</definedName>
    <definedName function="false" hidden="true" name="FDD_75_9" vbProcedure="false">"A33969"</definedName>
    <definedName function="false" hidden="true" name="FDD_76_0" vbProcedure="false">"A30681"</definedName>
    <definedName function="false" hidden="true" name="FDD_76_1" vbProcedure="false">"A31047"</definedName>
    <definedName function="false" hidden="true" name="FDD_76_10" vbProcedure="false">"A34334"</definedName>
    <definedName function="false" hidden="true" name="FDD_76_11" vbProcedure="false">"A34699"</definedName>
    <definedName function="false" hidden="true" name="FDD_76_12" vbProcedure="false">"A35064"</definedName>
    <definedName function="false" hidden="true" name="FDD_76_13" vbProcedure="false">"A35430"</definedName>
    <definedName function="false" hidden="true" name="FDD_76_14" vbProcedure="false">"A35795"</definedName>
    <definedName function="false" hidden="true" name="FDD_76_2" vbProcedure="false">"A31412"</definedName>
    <definedName function="false" hidden="true" name="FDD_76_3" vbProcedure="false">"A31777"</definedName>
    <definedName function="false" hidden="true" name="FDD_76_4" vbProcedure="false">"A32142"</definedName>
    <definedName function="false" hidden="true" name="FDD_76_5" vbProcedure="false">"A32508"</definedName>
    <definedName function="false" hidden="true" name="FDD_76_6" vbProcedure="false">"A32873"</definedName>
    <definedName function="false" hidden="true" name="FDD_76_7" vbProcedure="false">"A33238"</definedName>
    <definedName function="false" hidden="true" name="FDD_76_8" vbProcedure="false">"A33603"</definedName>
    <definedName function="false" hidden="true" name="FDD_76_9" vbProcedure="false">"A33969"</definedName>
    <definedName function="false" hidden="true" name="FDD_77_0" vbProcedure="false">"A30681"</definedName>
    <definedName function="false" hidden="true" name="FDD_77_1" vbProcedure="false">"A31047"</definedName>
    <definedName function="false" hidden="true" name="FDD_77_10" vbProcedure="false">"A34334"</definedName>
    <definedName function="false" hidden="true" name="FDD_77_11" vbProcedure="false">"A34699"</definedName>
    <definedName function="false" hidden="true" name="FDD_77_12" vbProcedure="false">"A35064"</definedName>
    <definedName function="false" hidden="true" name="FDD_77_13" vbProcedure="false">"A35430"</definedName>
    <definedName function="false" hidden="true" name="FDD_77_14" vbProcedure="false">"A35795"</definedName>
    <definedName function="false" hidden="true" name="FDD_77_2" vbProcedure="false">"A31412"</definedName>
    <definedName function="false" hidden="true" name="FDD_77_3" vbProcedure="false">"A31777"</definedName>
    <definedName function="false" hidden="true" name="FDD_77_4" vbProcedure="false">"A32142"</definedName>
    <definedName function="false" hidden="true" name="FDD_77_5" vbProcedure="false">"A32508"</definedName>
    <definedName function="false" hidden="true" name="FDD_77_6" vbProcedure="false">"A32873"</definedName>
    <definedName function="false" hidden="true" name="FDD_77_7" vbProcedure="false">"A33238"</definedName>
    <definedName function="false" hidden="true" name="FDD_77_8" vbProcedure="false">"A33603"</definedName>
    <definedName function="false" hidden="true" name="FDD_77_9" vbProcedure="false">"A33969"</definedName>
    <definedName function="false" hidden="true" name="FDD_78_0" vbProcedure="false">"A30681"</definedName>
    <definedName function="false" hidden="true" name="FDD_78_1" vbProcedure="false">"A31047"</definedName>
    <definedName function="false" hidden="true" name="FDD_78_10" vbProcedure="false">"A34334"</definedName>
    <definedName function="false" hidden="true" name="FDD_78_11" vbProcedure="false">"A34699"</definedName>
    <definedName function="false" hidden="true" name="FDD_78_12" vbProcedure="false">"A35064"</definedName>
    <definedName function="false" hidden="true" name="FDD_78_13" vbProcedure="false">"A35430"</definedName>
    <definedName function="false" hidden="true" name="FDD_78_14" vbProcedure="false">"A35795"</definedName>
    <definedName function="false" hidden="true" name="FDD_78_2" vbProcedure="false">"A31412"</definedName>
    <definedName function="false" hidden="true" name="FDD_78_3" vbProcedure="false">"A31777"</definedName>
    <definedName function="false" hidden="true" name="FDD_78_4" vbProcedure="false">"A32142"</definedName>
    <definedName function="false" hidden="true" name="FDD_78_5" vbProcedure="false">"A32508"</definedName>
    <definedName function="false" hidden="true" name="FDD_78_6" vbProcedure="false">"A32873"</definedName>
    <definedName function="false" hidden="true" name="FDD_78_7" vbProcedure="false">"A33238"</definedName>
    <definedName function="false" hidden="true" name="FDD_78_8" vbProcedure="false">"A33603"</definedName>
    <definedName function="false" hidden="true" name="FDD_78_9" vbProcedure="false">"A33969"</definedName>
    <definedName function="false" hidden="true" name="FDD_79_0" vbProcedure="false">"A30681"</definedName>
    <definedName function="false" hidden="true" name="FDD_79_1" vbProcedure="false">"A31047"</definedName>
    <definedName function="false" hidden="true" name="FDD_79_10" vbProcedure="false">"A34334"</definedName>
    <definedName function="false" hidden="true" name="FDD_79_11" vbProcedure="false">"A34699"</definedName>
    <definedName function="false" hidden="true" name="FDD_79_12" vbProcedure="false">"A35064"</definedName>
    <definedName function="false" hidden="true" name="FDD_79_13" vbProcedure="false">"A35430"</definedName>
    <definedName function="false" hidden="true" name="FDD_79_14" vbProcedure="false">"A35795"</definedName>
    <definedName function="false" hidden="true" name="FDD_79_2" vbProcedure="false">"A31412"</definedName>
    <definedName function="false" hidden="true" name="FDD_79_3" vbProcedure="false">"A31777"</definedName>
    <definedName function="false" hidden="true" name="FDD_79_4" vbProcedure="false">"A32142"</definedName>
    <definedName function="false" hidden="true" name="FDD_79_5" vbProcedure="false">"A32508"</definedName>
    <definedName function="false" hidden="true" name="FDD_79_6" vbProcedure="false">"A32873"</definedName>
    <definedName function="false" hidden="true" name="FDD_79_7" vbProcedure="false">"A33238"</definedName>
    <definedName function="false" hidden="true" name="FDD_79_8" vbProcedure="false">"A33603"</definedName>
    <definedName function="false" hidden="true" name="FDD_79_9" vbProcedure="false">"A33969"</definedName>
    <definedName function="false" hidden="true" name="FDD_7_0" vbProcedure="false">"A25569"</definedName>
    <definedName function="false" hidden="true" name="FDD_7_1" vbProcedure="false">"E35795"</definedName>
    <definedName function="false" hidden="true" name="FDD_7_2" vbProcedure="false">"E36160"</definedName>
    <definedName function="false" hidden="true" name="FDD_7_3" vbProcedure="false">"E36525"</definedName>
    <definedName function="false" hidden="true" name="FDD_80_0" vbProcedure="false">"A30681"</definedName>
    <definedName function="false" hidden="true" name="FDD_80_1" vbProcedure="false">"A31047"</definedName>
    <definedName function="false" hidden="true" name="FDD_80_10" vbProcedure="false">"A34334"</definedName>
    <definedName function="false" hidden="true" name="FDD_80_11" vbProcedure="false">"A34699"</definedName>
    <definedName function="false" hidden="true" name="FDD_80_12" vbProcedure="false">"A35064"</definedName>
    <definedName function="false" hidden="true" name="FDD_80_13" vbProcedure="false">"A35430"</definedName>
    <definedName function="false" hidden="true" name="FDD_80_14" vbProcedure="false">"A35795"</definedName>
    <definedName function="false" hidden="true" name="FDD_80_2" vbProcedure="false">"A31412"</definedName>
    <definedName function="false" hidden="true" name="FDD_80_3" vbProcedure="false">"A31777"</definedName>
    <definedName function="false" hidden="true" name="FDD_80_4" vbProcedure="false">"A32142"</definedName>
    <definedName function="false" hidden="true" name="FDD_80_5" vbProcedure="false">"A32508"</definedName>
    <definedName function="false" hidden="true" name="FDD_80_6" vbProcedure="false">"A32873"</definedName>
    <definedName function="false" hidden="true" name="FDD_80_7" vbProcedure="false">"A33238"</definedName>
    <definedName function="false" hidden="true" name="FDD_80_8" vbProcedure="false">"A33603"</definedName>
    <definedName function="false" hidden="true" name="FDD_80_9" vbProcedure="false">"A33969"</definedName>
    <definedName function="false" hidden="true" name="FDD_81_0" vbProcedure="false">"A30681"</definedName>
    <definedName function="false" hidden="true" name="FDD_81_1" vbProcedure="false">"A31047"</definedName>
    <definedName function="false" hidden="true" name="FDD_81_10" vbProcedure="false">"A34334"</definedName>
    <definedName function="false" hidden="true" name="FDD_81_11" vbProcedure="false">"A34699"</definedName>
    <definedName function="false" hidden="true" name="FDD_81_12" vbProcedure="false">"A35064"</definedName>
    <definedName function="false" hidden="true" name="FDD_81_13" vbProcedure="false">"A35430"</definedName>
    <definedName function="false" hidden="true" name="FDD_81_14" vbProcedure="false">"A35795"</definedName>
    <definedName function="false" hidden="true" name="FDD_81_2" vbProcedure="false">"A31412"</definedName>
    <definedName function="false" hidden="true" name="FDD_81_3" vbProcedure="false">"A31777"</definedName>
    <definedName function="false" hidden="true" name="FDD_81_4" vbProcedure="false">"A32142"</definedName>
    <definedName function="false" hidden="true" name="FDD_81_5" vbProcedure="false">"A32508"</definedName>
    <definedName function="false" hidden="true" name="FDD_81_6" vbProcedure="false">"A32873"</definedName>
    <definedName function="false" hidden="true" name="FDD_81_7" vbProcedure="false">"A33238"</definedName>
    <definedName function="false" hidden="true" name="FDD_81_8" vbProcedure="false">"A33603"</definedName>
    <definedName function="false" hidden="true" name="FDD_81_9" vbProcedure="false">"A33969"</definedName>
    <definedName function="false" hidden="true" name="FDD_82_0" vbProcedure="false">"A30681"</definedName>
    <definedName function="false" hidden="true" name="FDD_82_1" vbProcedure="false">"A31047"</definedName>
    <definedName function="false" hidden="true" name="FDD_82_10" vbProcedure="false">"A34334"</definedName>
    <definedName function="false" hidden="true" name="FDD_82_11" vbProcedure="false">"A34699"</definedName>
    <definedName function="false" hidden="true" name="FDD_82_12" vbProcedure="false">"A35064"</definedName>
    <definedName function="false" hidden="true" name="FDD_82_13" vbProcedure="false">"A35430"</definedName>
    <definedName function="false" hidden="true" name="FDD_82_14" vbProcedure="false">"A35795"</definedName>
    <definedName function="false" hidden="true" name="FDD_82_2" vbProcedure="false">"A31412"</definedName>
    <definedName function="false" hidden="true" name="FDD_82_3" vbProcedure="false">"A31777"</definedName>
    <definedName function="false" hidden="true" name="FDD_82_4" vbProcedure="false">"A32142"</definedName>
    <definedName function="false" hidden="true" name="FDD_82_5" vbProcedure="false">"A32508"</definedName>
    <definedName function="false" hidden="true" name="FDD_82_6" vbProcedure="false">"A32873"</definedName>
    <definedName function="false" hidden="true" name="FDD_82_7" vbProcedure="false">"A33238"</definedName>
    <definedName function="false" hidden="true" name="FDD_82_8" vbProcedure="false">"A33603"</definedName>
    <definedName function="false" hidden="true" name="FDD_82_9" vbProcedure="false">"A33969"</definedName>
    <definedName function="false" hidden="true" name="FDD_83_0" vbProcedure="false">"A30681"</definedName>
    <definedName function="false" hidden="true" name="FDD_83_1" vbProcedure="false">"A31047"</definedName>
    <definedName function="false" hidden="true" name="FDD_83_10" vbProcedure="false">"A34334"</definedName>
    <definedName function="false" hidden="true" name="FDD_83_11" vbProcedure="false">"A34699"</definedName>
    <definedName function="false" hidden="true" name="FDD_83_12" vbProcedure="false">"A35064"</definedName>
    <definedName function="false" hidden="true" name="FDD_83_13" vbProcedure="false">"A35430"</definedName>
    <definedName function="false" hidden="true" name="FDD_83_14" vbProcedure="false">"A35795"</definedName>
    <definedName function="false" hidden="true" name="FDD_83_2" vbProcedure="false">"A31412"</definedName>
    <definedName function="false" hidden="true" name="FDD_83_3" vbProcedure="false">"A31777"</definedName>
    <definedName function="false" hidden="true" name="FDD_83_4" vbProcedure="false">"A32142"</definedName>
    <definedName function="false" hidden="true" name="FDD_83_5" vbProcedure="false">"A32508"</definedName>
    <definedName function="false" hidden="true" name="FDD_83_6" vbProcedure="false">"A32873"</definedName>
    <definedName function="false" hidden="true" name="FDD_83_7" vbProcedure="false">"A33238"</definedName>
    <definedName function="false" hidden="true" name="FDD_83_8" vbProcedure="false">"A33603"</definedName>
    <definedName function="false" hidden="true" name="FDD_83_9" vbProcedure="false">"A33969"</definedName>
    <definedName function="false" hidden="true" name="FDD_84_0" vbProcedure="false">"A30681"</definedName>
    <definedName function="false" hidden="true" name="FDD_84_1" vbProcedure="false">"A31047"</definedName>
    <definedName function="false" hidden="true" name="FDD_84_10" vbProcedure="false">"A34334"</definedName>
    <definedName function="false" hidden="true" name="FDD_84_11" vbProcedure="false">"A34699"</definedName>
    <definedName function="false" hidden="true" name="FDD_84_12" vbProcedure="false">"A35064"</definedName>
    <definedName function="false" hidden="true" name="FDD_84_13" vbProcedure="false">"A35430"</definedName>
    <definedName function="false" hidden="true" name="FDD_84_14" vbProcedure="false">"A35795"</definedName>
    <definedName function="false" hidden="true" name="FDD_84_2" vbProcedure="false">"A31412"</definedName>
    <definedName function="false" hidden="true" name="FDD_84_3" vbProcedure="false">"A31777"</definedName>
    <definedName function="false" hidden="true" name="FDD_84_4" vbProcedure="false">"A32142"</definedName>
    <definedName function="false" hidden="true" name="FDD_84_5" vbProcedure="false">"A32508"</definedName>
    <definedName function="false" hidden="true" name="FDD_84_6" vbProcedure="false">"A32873"</definedName>
    <definedName function="false" hidden="true" name="FDD_84_7" vbProcedure="false">"A33238"</definedName>
    <definedName function="false" hidden="true" name="FDD_84_8" vbProcedure="false">"A33603"</definedName>
    <definedName function="false" hidden="true" name="FDD_84_9" vbProcedure="false">"A33969"</definedName>
    <definedName function="false" hidden="true" name="FDD_85_0" vbProcedure="false">"A30681"</definedName>
    <definedName function="false" hidden="true" name="FDD_85_1" vbProcedure="false">"A31047"</definedName>
    <definedName function="false" hidden="true" name="FDD_85_10" vbProcedure="false">"A34334"</definedName>
    <definedName function="false" hidden="true" name="FDD_85_11" vbProcedure="false">"A34699"</definedName>
    <definedName function="false" hidden="true" name="FDD_85_12" vbProcedure="false">"A35064"</definedName>
    <definedName function="false" hidden="true" name="FDD_85_13" vbProcedure="false">"A35430"</definedName>
    <definedName function="false" hidden="true" name="FDD_85_14" vbProcedure="false">"A35795"</definedName>
    <definedName function="false" hidden="true" name="FDD_85_2" vbProcedure="false">"A31412"</definedName>
    <definedName function="false" hidden="true" name="FDD_85_3" vbProcedure="false">"A31777"</definedName>
    <definedName function="false" hidden="true" name="FDD_85_4" vbProcedure="false">"A32142"</definedName>
    <definedName function="false" hidden="true" name="FDD_85_5" vbProcedure="false">"A32508"</definedName>
    <definedName function="false" hidden="true" name="FDD_85_6" vbProcedure="false">"A32873"</definedName>
    <definedName function="false" hidden="true" name="FDD_85_7" vbProcedure="false">"A33238"</definedName>
    <definedName function="false" hidden="true" name="FDD_85_8" vbProcedure="false">"A33603"</definedName>
    <definedName function="false" hidden="true" name="FDD_85_9" vbProcedure="false">"A33969"</definedName>
    <definedName function="false" hidden="true" name="FDD_86_0" vbProcedure="false">"A30681"</definedName>
    <definedName function="false" hidden="true" name="FDD_86_1" vbProcedure="false">"A31047"</definedName>
    <definedName function="false" hidden="true" name="FDD_86_10" vbProcedure="false">"A34334"</definedName>
    <definedName function="false" hidden="true" name="FDD_86_11" vbProcedure="false">"A34699"</definedName>
    <definedName function="false" hidden="true" name="FDD_86_12" vbProcedure="false">"A35064"</definedName>
    <definedName function="false" hidden="true" name="FDD_86_13" vbProcedure="false">"A35430"</definedName>
    <definedName function="false" hidden="true" name="FDD_86_14" vbProcedure="false">"A35795"</definedName>
    <definedName function="false" hidden="true" name="FDD_86_2" vbProcedure="false">"A31412"</definedName>
    <definedName function="false" hidden="true" name="FDD_86_3" vbProcedure="false">"A31777"</definedName>
    <definedName function="false" hidden="true" name="FDD_86_4" vbProcedure="false">"A32142"</definedName>
    <definedName function="false" hidden="true" name="FDD_86_5" vbProcedure="false">"A32508"</definedName>
    <definedName function="false" hidden="true" name="FDD_86_6" vbProcedure="false">"A32873"</definedName>
    <definedName function="false" hidden="true" name="FDD_86_7" vbProcedure="false">"A33238"</definedName>
    <definedName function="false" hidden="true" name="FDD_86_8" vbProcedure="false">"A33603"</definedName>
    <definedName function="false" hidden="true" name="FDD_86_9" vbProcedure="false">"A33969"</definedName>
    <definedName function="false" hidden="true" name="FDD_87_0" vbProcedure="false">"A30681"</definedName>
    <definedName function="false" hidden="true" name="FDD_87_1" vbProcedure="false">"A31047"</definedName>
    <definedName function="false" hidden="true" name="FDD_87_10" vbProcedure="false">"A34334"</definedName>
    <definedName function="false" hidden="true" name="FDD_87_11" vbProcedure="false">"A34699"</definedName>
    <definedName function="false" hidden="true" name="FDD_87_12" vbProcedure="false">"A35064"</definedName>
    <definedName function="false" hidden="true" name="FDD_87_13" vbProcedure="false">"A35430"</definedName>
    <definedName function="false" hidden="true" name="FDD_87_14" vbProcedure="false">"A35795"</definedName>
    <definedName function="false" hidden="true" name="FDD_87_2" vbProcedure="false">"A31412"</definedName>
    <definedName function="false" hidden="true" name="FDD_87_3" vbProcedure="false">"A31777"</definedName>
    <definedName function="false" hidden="true" name="FDD_87_4" vbProcedure="false">"A32142"</definedName>
    <definedName function="false" hidden="true" name="FDD_87_5" vbProcedure="false">"A32508"</definedName>
    <definedName function="false" hidden="true" name="FDD_87_6" vbProcedure="false">"A32873"</definedName>
    <definedName function="false" hidden="true" name="FDD_87_7" vbProcedure="false">"A33238"</definedName>
    <definedName function="false" hidden="true" name="FDD_87_8" vbProcedure="false">"A33603"</definedName>
    <definedName function="false" hidden="true" name="FDD_87_9" vbProcedure="false">"A33969"</definedName>
    <definedName function="false" hidden="true" name="FDD_88_0" vbProcedure="false">"A30681"</definedName>
    <definedName function="false" hidden="true" name="FDD_88_1" vbProcedure="false">"A31047"</definedName>
    <definedName function="false" hidden="true" name="FDD_88_10" vbProcedure="false">"A34334"</definedName>
    <definedName function="false" hidden="true" name="FDD_88_11" vbProcedure="false">"A34699"</definedName>
    <definedName function="false" hidden="true" name="FDD_88_12" vbProcedure="false">"A35064"</definedName>
    <definedName function="false" hidden="true" name="FDD_88_13" vbProcedure="false">"A35430"</definedName>
    <definedName function="false" hidden="true" name="FDD_88_14" vbProcedure="false">"A35795"</definedName>
    <definedName function="false" hidden="true" name="FDD_88_2" vbProcedure="false">"A31412"</definedName>
    <definedName function="false" hidden="true" name="FDD_88_3" vbProcedure="false">"A31777"</definedName>
    <definedName function="false" hidden="true" name="FDD_88_4" vbProcedure="false">"A32142"</definedName>
    <definedName function="false" hidden="true" name="FDD_88_5" vbProcedure="false">"A32508"</definedName>
    <definedName function="false" hidden="true" name="FDD_88_6" vbProcedure="false">"A32873"</definedName>
    <definedName function="false" hidden="true" name="FDD_88_7" vbProcedure="false">"A33238"</definedName>
    <definedName function="false" hidden="true" name="FDD_88_8" vbProcedure="false">"A33603"</definedName>
    <definedName function="false" hidden="true" name="FDD_88_9" vbProcedure="false">"A33969"</definedName>
    <definedName function="false" hidden="true" name="FDD_89_0" vbProcedure="false">"A30681"</definedName>
    <definedName function="false" hidden="true" name="FDD_89_1" vbProcedure="false">"A31047"</definedName>
    <definedName function="false" hidden="true" name="FDD_89_10" vbProcedure="false">"A34334"</definedName>
    <definedName function="false" hidden="true" name="FDD_89_11" vbProcedure="false">"A34699"</definedName>
    <definedName function="false" hidden="true" name="FDD_89_12" vbProcedure="false">"A35064"</definedName>
    <definedName function="false" hidden="true" name="FDD_89_13" vbProcedure="false">"A35430"</definedName>
    <definedName function="false" hidden="true" name="FDD_89_14" vbProcedure="false">"A35795"</definedName>
    <definedName function="false" hidden="true" name="FDD_89_2" vbProcedure="false">"A31412"</definedName>
    <definedName function="false" hidden="true" name="FDD_89_3" vbProcedure="false">"A31777"</definedName>
    <definedName function="false" hidden="true" name="FDD_89_4" vbProcedure="false">"A32142"</definedName>
    <definedName function="false" hidden="true" name="FDD_89_5" vbProcedure="false">"A32508"</definedName>
    <definedName function="false" hidden="true" name="FDD_89_6" vbProcedure="false">"A32873"</definedName>
    <definedName function="false" hidden="true" name="FDD_89_7" vbProcedure="false">"A33238"</definedName>
    <definedName function="false" hidden="true" name="FDD_89_8" vbProcedure="false">"A33603"</definedName>
    <definedName function="false" hidden="true" name="FDD_89_9" vbProcedure="false">"A33969"</definedName>
    <definedName function="false" hidden="true" name="FDD_8_0" vbProcedure="false">"A25569"</definedName>
    <definedName function="false" hidden="true" name="FDD_8_1" vbProcedure="false">"E35795"</definedName>
    <definedName function="false" hidden="true" name="FDD_8_2" vbProcedure="false">"E36160"</definedName>
    <definedName function="false" hidden="true" name="FDD_8_3" vbProcedure="false">"E36525"</definedName>
    <definedName function="false" hidden="true" name="FDD_90_0" vbProcedure="false">"A30681"</definedName>
    <definedName function="false" hidden="true" name="FDD_90_1" vbProcedure="false">"A31047"</definedName>
    <definedName function="false" hidden="true" name="FDD_90_10" vbProcedure="false">"A34334"</definedName>
    <definedName function="false" hidden="true" name="FDD_90_11" vbProcedure="false">"A34699"</definedName>
    <definedName function="false" hidden="true" name="FDD_90_12" vbProcedure="false">"A35064"</definedName>
    <definedName function="false" hidden="true" name="FDD_90_13" vbProcedure="false">"A35430"</definedName>
    <definedName function="false" hidden="true" name="FDD_90_14" vbProcedure="false">"A35795"</definedName>
    <definedName function="false" hidden="true" name="FDD_90_2" vbProcedure="false">"A31412"</definedName>
    <definedName function="false" hidden="true" name="FDD_90_3" vbProcedure="false">"A31777"</definedName>
    <definedName function="false" hidden="true" name="FDD_90_4" vbProcedure="false">"A32142"</definedName>
    <definedName function="false" hidden="true" name="FDD_90_5" vbProcedure="false">"A32508"</definedName>
    <definedName function="false" hidden="true" name="FDD_90_6" vbProcedure="false">"A32873"</definedName>
    <definedName function="false" hidden="true" name="FDD_90_7" vbProcedure="false">"A33238"</definedName>
    <definedName function="false" hidden="true" name="FDD_90_8" vbProcedure="false">"A33603"</definedName>
    <definedName function="false" hidden="true" name="FDD_90_9" vbProcedure="false">"A33969"</definedName>
    <definedName function="false" hidden="true" name="FDD_91_0" vbProcedure="false">"A30681"</definedName>
    <definedName function="false" hidden="true" name="FDD_91_1" vbProcedure="false">"A31047"</definedName>
    <definedName function="false" hidden="true" name="FDD_91_10" vbProcedure="false">"A34334"</definedName>
    <definedName function="false" hidden="true" name="FDD_91_11" vbProcedure="false">"A34699"</definedName>
    <definedName function="false" hidden="true" name="FDD_91_12" vbProcedure="false">"A35064"</definedName>
    <definedName function="false" hidden="true" name="FDD_91_13" vbProcedure="false">"A35430"</definedName>
    <definedName function="false" hidden="true" name="FDD_91_14" vbProcedure="false">"A35795"</definedName>
    <definedName function="false" hidden="true" name="FDD_91_2" vbProcedure="false">"A31412"</definedName>
    <definedName function="false" hidden="true" name="FDD_91_3" vbProcedure="false">"A31777"</definedName>
    <definedName function="false" hidden="true" name="FDD_91_4" vbProcedure="false">"A32142"</definedName>
    <definedName function="false" hidden="true" name="FDD_91_5" vbProcedure="false">"A32508"</definedName>
    <definedName function="false" hidden="true" name="FDD_91_6" vbProcedure="false">"A32873"</definedName>
    <definedName function="false" hidden="true" name="FDD_91_7" vbProcedure="false">"A33238"</definedName>
    <definedName function="false" hidden="true" name="FDD_91_8" vbProcedure="false">"A33603"</definedName>
    <definedName function="false" hidden="true" name="FDD_91_9" vbProcedure="false">"A33969"</definedName>
    <definedName function="false" hidden="true" name="FDD_92_0" vbProcedure="false">"A30681"</definedName>
    <definedName function="false" hidden="true" name="FDD_92_1" vbProcedure="false">"A31047"</definedName>
    <definedName function="false" hidden="true" name="FDD_92_10" vbProcedure="false">"A34334"</definedName>
    <definedName function="false" hidden="true" name="FDD_92_11" vbProcedure="false">"A34699"</definedName>
    <definedName function="false" hidden="true" name="FDD_92_12" vbProcedure="false">"A35064"</definedName>
    <definedName function="false" hidden="true" name="FDD_92_13" vbProcedure="false">"A35430"</definedName>
    <definedName function="false" hidden="true" name="FDD_92_14" vbProcedure="false">"A35795"</definedName>
    <definedName function="false" hidden="true" name="FDD_92_2" vbProcedure="false">"A31412"</definedName>
    <definedName function="false" hidden="true" name="FDD_92_3" vbProcedure="false">"A31777"</definedName>
    <definedName function="false" hidden="true" name="FDD_92_4" vbProcedure="false">"A32142"</definedName>
    <definedName function="false" hidden="true" name="FDD_92_5" vbProcedure="false">"A32508"</definedName>
    <definedName function="false" hidden="true" name="FDD_92_6" vbProcedure="false">"A32873"</definedName>
    <definedName function="false" hidden="true" name="FDD_92_7" vbProcedure="false">"A33238"</definedName>
    <definedName function="false" hidden="true" name="FDD_92_8" vbProcedure="false">"A33603"</definedName>
    <definedName function="false" hidden="true" name="FDD_92_9" vbProcedure="false">"A33969"</definedName>
    <definedName function="false" hidden="true" name="FDD_93_0" vbProcedure="false">"A30681"</definedName>
    <definedName function="false" hidden="true" name="FDD_93_1" vbProcedure="false">"A31047"</definedName>
    <definedName function="false" hidden="true" name="FDD_93_10" vbProcedure="false">"A34334"</definedName>
    <definedName function="false" hidden="true" name="FDD_93_11" vbProcedure="false">"A34699"</definedName>
    <definedName function="false" hidden="true" name="FDD_93_12" vbProcedure="false">"A35064"</definedName>
    <definedName function="false" hidden="true" name="FDD_93_13" vbProcedure="false">"A35430"</definedName>
    <definedName function="false" hidden="true" name="FDD_93_14" vbProcedure="false">"A35795"</definedName>
    <definedName function="false" hidden="true" name="FDD_93_2" vbProcedure="false">"A31412"</definedName>
    <definedName function="false" hidden="true" name="FDD_93_3" vbProcedure="false">"A31777"</definedName>
    <definedName function="false" hidden="true" name="FDD_93_4" vbProcedure="false">"A32142"</definedName>
    <definedName function="false" hidden="true" name="FDD_93_5" vbProcedure="false">"A32508"</definedName>
    <definedName function="false" hidden="true" name="FDD_93_6" vbProcedure="false">"A32873"</definedName>
    <definedName function="false" hidden="true" name="FDD_93_7" vbProcedure="false">"A33238"</definedName>
    <definedName function="false" hidden="true" name="FDD_93_8" vbProcedure="false">"A33603"</definedName>
    <definedName function="false" hidden="true" name="FDD_93_9" vbProcedure="false">"A33969"</definedName>
    <definedName function="false" hidden="true" name="FDD_94_0" vbProcedure="false">"A30681"</definedName>
    <definedName function="false" hidden="true" name="FDD_94_1" vbProcedure="false">"A31047"</definedName>
    <definedName function="false" hidden="true" name="FDD_94_10" vbProcedure="false">"A34334"</definedName>
    <definedName function="false" hidden="true" name="FDD_94_11" vbProcedure="false">"A34699"</definedName>
    <definedName function="false" hidden="true" name="FDD_94_12" vbProcedure="false">"A35064"</definedName>
    <definedName function="false" hidden="true" name="FDD_94_13" vbProcedure="false">"A35430"</definedName>
    <definedName function="false" hidden="true" name="FDD_94_14" vbProcedure="false">"A35795"</definedName>
    <definedName function="false" hidden="true" name="FDD_94_2" vbProcedure="false">"A31412"</definedName>
    <definedName function="false" hidden="true" name="FDD_94_3" vbProcedure="false">"A31777"</definedName>
    <definedName function="false" hidden="true" name="FDD_94_4" vbProcedure="false">"A32142"</definedName>
    <definedName function="false" hidden="true" name="FDD_94_5" vbProcedure="false">"A32508"</definedName>
    <definedName function="false" hidden="true" name="FDD_94_6" vbProcedure="false">"A32873"</definedName>
    <definedName function="false" hidden="true" name="FDD_94_7" vbProcedure="false">"A33238"</definedName>
    <definedName function="false" hidden="true" name="FDD_94_8" vbProcedure="false">"A33603"</definedName>
    <definedName function="false" hidden="true" name="FDD_94_9" vbProcedure="false">"A33969"</definedName>
    <definedName function="false" hidden="true" name="FDD_95_0" vbProcedure="false">"A30681"</definedName>
    <definedName function="false" hidden="true" name="FDD_95_1" vbProcedure="false">"A31047"</definedName>
    <definedName function="false" hidden="true" name="FDD_95_10" vbProcedure="false">"A34334"</definedName>
    <definedName function="false" hidden="true" name="FDD_95_11" vbProcedure="false">"A34699"</definedName>
    <definedName function="false" hidden="true" name="FDD_95_12" vbProcedure="false">"A35064"</definedName>
    <definedName function="false" hidden="true" name="FDD_95_13" vbProcedure="false">"A35430"</definedName>
    <definedName function="false" hidden="true" name="FDD_95_14" vbProcedure="false">"A35795"</definedName>
    <definedName function="false" hidden="true" name="FDD_95_2" vbProcedure="false">"A31412"</definedName>
    <definedName function="false" hidden="true" name="FDD_95_3" vbProcedure="false">"A31777"</definedName>
    <definedName function="false" hidden="true" name="FDD_95_4" vbProcedure="false">"A32142"</definedName>
    <definedName function="false" hidden="true" name="FDD_95_5" vbProcedure="false">"A32508"</definedName>
    <definedName function="false" hidden="true" name="FDD_95_6" vbProcedure="false">"A32873"</definedName>
    <definedName function="false" hidden="true" name="FDD_95_7" vbProcedure="false">"A33238"</definedName>
    <definedName function="false" hidden="true" name="FDD_95_8" vbProcedure="false">"A33603"</definedName>
    <definedName function="false" hidden="true" name="FDD_95_9" vbProcedure="false">"A33969"</definedName>
    <definedName function="false" hidden="true" name="FDD_96_0" vbProcedure="false">"U30681"</definedName>
    <definedName function="false" hidden="true" name="FDD_96_1" vbProcedure="false">"A31047"</definedName>
    <definedName function="false" hidden="true" name="FDD_96_10" vbProcedure="false">"A34334"</definedName>
    <definedName function="false" hidden="true" name="FDD_96_11" vbProcedure="false">"A34699"</definedName>
    <definedName function="false" hidden="true" name="FDD_96_12" vbProcedure="false">"A35064"</definedName>
    <definedName function="false" hidden="true" name="FDD_96_13" vbProcedure="false">"A35430"</definedName>
    <definedName function="false" hidden="true" name="FDD_96_14" vbProcedure="false">"A35795"</definedName>
    <definedName function="false" hidden="true" name="FDD_96_2" vbProcedure="false">"A31412"</definedName>
    <definedName function="false" hidden="true" name="FDD_96_3" vbProcedure="false">"A31777"</definedName>
    <definedName function="false" hidden="true" name="FDD_96_4" vbProcedure="false">"A32142"</definedName>
    <definedName function="false" hidden="true" name="FDD_96_5" vbProcedure="false">"A32508"</definedName>
    <definedName function="false" hidden="true" name="FDD_96_6" vbProcedure="false">"A32873"</definedName>
    <definedName function="false" hidden="true" name="FDD_96_7" vbProcedure="false">"A33238"</definedName>
    <definedName function="false" hidden="true" name="FDD_96_8" vbProcedure="false">"A33603"</definedName>
    <definedName function="false" hidden="true" name="FDD_96_9" vbProcedure="false">"A33969"</definedName>
    <definedName function="false" hidden="true" name="FDD_97_0" vbProcedure="false">"U30681"</definedName>
    <definedName function="false" hidden="true" name="FDD_97_1" vbProcedure="false">"A31047"</definedName>
    <definedName function="false" hidden="true" name="FDD_97_10" vbProcedure="false">"A34334"</definedName>
    <definedName function="false" hidden="true" name="FDD_97_11" vbProcedure="false">"A34699"</definedName>
    <definedName function="false" hidden="true" name="FDD_97_12" vbProcedure="false">"A35064"</definedName>
    <definedName function="false" hidden="true" name="FDD_97_13" vbProcedure="false">"A35430"</definedName>
    <definedName function="false" hidden="true" name="FDD_97_14" vbProcedure="false">"A35795"</definedName>
    <definedName function="false" hidden="true" name="FDD_97_2" vbProcedure="false">"A31412"</definedName>
    <definedName function="false" hidden="true" name="FDD_97_3" vbProcedure="false">"A31777"</definedName>
    <definedName function="false" hidden="true" name="FDD_97_4" vbProcedure="false">"A32142"</definedName>
    <definedName function="false" hidden="true" name="FDD_97_5" vbProcedure="false">"A32508"</definedName>
    <definedName function="false" hidden="true" name="FDD_97_6" vbProcedure="false">"A32873"</definedName>
    <definedName function="false" hidden="true" name="FDD_97_7" vbProcedure="false">"A33238"</definedName>
    <definedName function="false" hidden="true" name="FDD_97_8" vbProcedure="false">"A33603"</definedName>
    <definedName function="false" hidden="true" name="FDD_97_9" vbProcedure="false">"A33969"</definedName>
    <definedName function="false" hidden="true" name="FDD_98_0" vbProcedure="false">"U30681"</definedName>
    <definedName function="false" hidden="true" name="FDD_98_1" vbProcedure="false">"A31047"</definedName>
    <definedName function="false" hidden="true" name="FDD_98_10" vbProcedure="false">"A34334"</definedName>
    <definedName function="false" hidden="true" name="FDD_98_11" vbProcedure="false">"A34699"</definedName>
    <definedName function="false" hidden="true" name="FDD_98_12" vbProcedure="false">"A35064"</definedName>
    <definedName function="false" hidden="true" name="FDD_98_13" vbProcedure="false">"A35430"</definedName>
    <definedName function="false" hidden="true" name="FDD_98_14" vbProcedure="false">"A35795"</definedName>
    <definedName function="false" hidden="true" name="FDD_98_2" vbProcedure="false">"A31412"</definedName>
    <definedName function="false" hidden="true" name="FDD_98_3" vbProcedure="false">"A31777"</definedName>
    <definedName function="false" hidden="true" name="FDD_98_4" vbProcedure="false">"A32142"</definedName>
    <definedName function="false" hidden="true" name="FDD_98_5" vbProcedure="false">"A32508"</definedName>
    <definedName function="false" hidden="true" name="FDD_98_6" vbProcedure="false">"A32873"</definedName>
    <definedName function="false" hidden="true" name="FDD_98_7" vbProcedure="false">"A33238"</definedName>
    <definedName function="false" hidden="true" name="FDD_98_8" vbProcedure="false">"A33603"</definedName>
    <definedName function="false" hidden="true" name="FDD_98_9" vbProcedure="false">"A33969"</definedName>
    <definedName function="false" hidden="true" name="FDD_99_0" vbProcedure="false">"U30681"</definedName>
    <definedName function="false" hidden="true" name="FDD_99_1" vbProcedure="false">"A31047"</definedName>
    <definedName function="false" hidden="true" name="FDD_99_10" vbProcedure="false">"A34334"</definedName>
    <definedName function="false" hidden="true" name="FDD_99_11" vbProcedure="false">"A34699"</definedName>
    <definedName function="false" hidden="true" name="FDD_99_12" vbProcedure="false">"A35064"</definedName>
    <definedName function="false" hidden="true" name="FDD_99_13" vbProcedure="false">"A35430"</definedName>
    <definedName function="false" hidden="true" name="FDD_99_14" vbProcedure="false">"A35795"</definedName>
    <definedName function="false" hidden="true" name="FDD_99_2" vbProcedure="false">"A31412"</definedName>
    <definedName function="false" hidden="true" name="FDD_99_3" vbProcedure="false">"A31777"</definedName>
    <definedName function="false" hidden="true" name="FDD_99_4" vbProcedure="false">"A32142"</definedName>
    <definedName function="false" hidden="true" name="FDD_99_5" vbProcedure="false">"A32508"</definedName>
    <definedName function="false" hidden="true" name="FDD_99_6" vbProcedure="false">"A32873"</definedName>
    <definedName function="false" hidden="true" name="FDD_99_7" vbProcedure="false">"A33238"</definedName>
    <definedName function="false" hidden="true" name="FDD_99_8" vbProcedure="false">"A33603"</definedName>
    <definedName function="false" hidden="true" name="FDD_99_9" vbProcedure="false">"A33969"</definedName>
    <definedName function="false" hidden="true" name="FDD_9_0" vbProcedure="false">"A25569"</definedName>
    <definedName function="false" hidden="true" name="FDD_9_1" vbProcedure="false">"E35795"</definedName>
    <definedName function="false" hidden="true" name="FDD_9_2" vbProcedure="false">"E36160"</definedName>
    <definedName function="false" hidden="true" name="FDD_9_3" vbProcedure="false">"E36525"</definedName>
    <definedName function="false" hidden="true" name="fdef" vbProcedure="false">{#N/A,"PURADD",FALSE,"Business Analysis";#N/A,"PURSPP",FALSE,"Business Analysis";#N/A,"CTGIND",FALSE,"Business Analysis";#N/A,"PURCHM",FALSE,"Business Analysis";#N/A,"SPADD",FALSE,"Business Analysis";#N/A,"EPOXY",FALSE,"Business Analysis";#N/A,"PURPER",FALSE,"Business Analysis"}</definedName>
    <definedName function="false" hidden="true" name="fdf" vbProcedure="false">{"mgmt forecast",#N/A,FALSE,"Mgmt Forecast";"dcf table",#N/A,FALSE,"Mgmt Forecast";"sensitivity",#N/A,FALSE,"Mgmt Forecast";"table inputs",#N/A,FALSE,"Mgmt Forecast";"calculations",#N/A,FALSE,"Mgmt Forecast"}</definedName>
    <definedName function="false" hidden="true" name="FDFD" vbProcedure="false">{#N/A,#N/A,FALSE,"Pharm";#N/A,#N/A,FALSE,"WWCM"}</definedName>
    <definedName function="false" hidden="true" name="fdfdf" vbProcedure="false">{#N/A,#N/A,FALSE,"3";#N/A,#N/A,FALSE,"5";#N/A,#N/A,FALSE,"6";#N/A,#N/A,FALSE,"8";#N/A,#N/A,FALSE,"10";#N/A,#N/A,FALSE,"13";#N/A,#N/A,FALSE,"14";#N/A,#N/A,FALSE,"15";#N/A,#N/A,FALSE,"16"}</definedName>
    <definedName function="false" hidden="true" name="FDFDFD" vbProcedure="false">{"Units A",#N/A,FALSE,"FY95SLS";"Units B",#N/A,FALSE,"FY95SLS"}</definedName>
    <definedName function="false" hidden="true" name="fdfgdgdfgfdg" vbProcedure="false">{"comp",#N/A,FALSE,"SPEC";"footnotes",#N/A,FALSE,"SPEC"}</definedName>
    <definedName function="false" hidden="true" name="fd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fdgdfgfdgf" vbProcedure="false">{#N/A,#N/A,FALSE,"Produkte Erw.";#N/A,#N/A,FALSE,"Produkte Plan";#N/A,#N/A,FALSE,"Leistungen Erw.";#N/A,#N/A,FALSE,"Leistungen Plan";#N/A,#N/A,FALSE,"KA Allg.Kosten (2)";#N/A,#N/A,FALSE,"KA All.Kosten"}</definedName>
    <definedName function="false" hidden="true" name="fdgfdg" vbProcedure="false">{#N/A,#N/A,FALSE,"Umsatz EO BP";#N/A,#N/A,FALSE,"Umsatz EO OP";#N/A,#N/A,FALSE,"ER EO BP";#N/A,#N/A,FALSE,"ER EO OP";#N/A,#N/A,FALSE,"EA EO (2)";#N/A,#N/A,FALSE,"EA EO";#N/A,#N/A,FALSE,"EA EO (3)";#N/A,#N/A,FALSE,"EA EO (4)";#N/A,#N/A,FALSE,"KA EO  (2)";#N/A,#N/A,FALSE,"KA EO";#N/A,#N/A,FALSE,"KA EO  (3)";#N/A,#N/A,FALSE,"KA EO (4)"}</definedName>
    <definedName function="false" hidden="true" name="fdgfdgfdgfdg" vbProcedure="false">{#N/A,#N/A,FALSE,"KA CH  (2)"}</definedName>
    <definedName function="false" hidden="true" name="fdgfdgsdgsdgs" vbProcedure="false">{#N/A,#N/A,FALSE,"KA CH  (2)"}</definedName>
    <definedName function="false" hidden="true" name="fdgsd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fdgwer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fdhdfhfdhdfh" vbProcedure="false">{#N/A,#N/A,FALSE,"3";#N/A,#N/A,FALSE,"5";#N/A,#N/A,FALSE,"6";#N/A,#N/A,FALSE,"8";#N/A,#N/A,FALSE,"10";#N/A,#N/A,FALSE,"13";#N/A,#N/A,FALSE,"14";#N/A,#N/A,FALSE,"15";#N/A,#N/A,FALSE,"16"}</definedName>
    <definedName function="false" hidden="true" name="fdhfdh" vbProcedure="false">{"First Page",#N/A,FALSE,"Surfactants LBO";"Second Page",#N/A,FALSE,"Surfactants LBO"}</definedName>
    <definedName function="false" hidden="true" name="FDHFDHHG"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fdhfghfdh" vbProcedure="false">{"First Page",#N/A,FALSE,"Surfactants LBO";"Second Page",#N/A,FALSE,"Surfactants LBO"}</definedName>
    <definedName function="false" hidden="true" name="fdhgfdh" vbProcedure="false">{#N/A,#N/A,FALSE,"3";#N/A,#N/A,FALSE,"5";#N/A,#N/A,FALSE,"6";#N/A,#N/A,FALSE,"8";#N/A,#N/A,FALSE,"10";#N/A,#N/A,FALSE,"13";#N/A,#N/A,FALSE,"14";#N/A,#N/A,FALSE,"15";#N/A,#N/A,FALSE,"16"}</definedName>
    <definedName function="false" hidden="true" name="fdhhfhfgh"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FDP_171_1_aUrv" vbProcedure="false">#REF!</definedName>
    <definedName function="false" hidden="true" name="FDP_203_1_aSrv" vbProcedure="false">#REF!</definedName>
    <definedName function="false" hidden="true" name="FDP_235_1_aUrv" vbProcedure="false">#REF!</definedName>
    <definedName function="false" hidden="true" name="FDP_273_1_aUrv" vbProcedure="false">#REF!</definedName>
    <definedName function="false" hidden="true" name="FDQ" vbProcedure="false">{"detail",#N/A,FALSE,"mfg";"summary",#N/A,FALSE,"mfg"}</definedName>
    <definedName function="false" hidden="true" name="fds" vbProcedure="false">{#N/A,#N/A,FALSE,"Pharm";#N/A,#N/A,FALSE,"WWCM"}</definedName>
    <definedName function="false" hidden="true" name="fdsa"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fdsf" vbProcedure="false">{"general",#N/A,FALSE,"Assumptions"}</definedName>
    <definedName function="false" hidden="true" name="fdsf2" vbProcedure="false">{"general",#N/A,FALSE,"Assumptions"}</definedName>
    <definedName function="false" hidden="true" name="fdsfad_IsText" vbProcedure="false">TRUE()</definedName>
    <definedName function="false" hidden="true" name="fdsfds" vbProcedure="false">{#N/A,#N/A,FALSE,"TB";#N/A,#N/A,FALSE,"DR";#N/A,#N/A,FALSE,"AR";#N/A,#N/A,FALSE,"BS";#N/A,#N/A,FALSE,"PL";#N/A,#N/A,FALSE,"NOTES";#N/A,#N/A,FALSE,"NOTES (2)";#N/A,#N/A,FALSE,"NOTES (3)";#N/A,#N/A,FALSE,"DPL";#N/A,#N/A,FALSE,"DPL"}</definedName>
    <definedName function="false" hidden="true" name="fdv" vbProcedure="false">{"quarterly",#N/A,FALSE,"Income Statement";#N/A,#N/A,FALSE,"print segment";#N/A,#N/A,FALSE,"Balance Sheet";#N/A,#N/A,FALSE,"Annl Inc";#N/A,#N/A,FALSE,"Cash Flow"}</definedName>
    <definedName function="false" hidden="true" name="fe" vbProcedure="false">{"assumption cash",#N/A,TRUE,"Merger";"has gets cash",#N/A,TRUE,"Merger";"accretion dilution",#N/A,TRUE,"Merger";"comparison credit stats",#N/A,TRUE,"Merger";"pf credit stats",#N/A,TRUE,"Merger";"pf sheets",#N/A,TRUE,"Merger"}</definedName>
    <definedName function="false" hidden="true" name="fedfe" vbProcedure="false">#REF!</definedName>
    <definedName function="false" hidden="true" name="fef" vbProcedure="false">{"werbung",#N/A,FALSE,"GuV9900-0399";"betrieb",#N/A,FALSE,"GuV9900-0399";"personal",#N/A,FALSE,"GuV9900-0399";"tvg",#N/A,FALSE,"GuV9900-0399";"verwaltung",#N/A,FALSE,"GuV9900-0399"}</definedName>
    <definedName function="false" hidden="true" name="femsif" vbProcedure="false">{"werbung",#N/A,FALSE,"GuV9900-0399";"betrieb",#N/A,FALSE,"GuV9900-0399";"personal",#N/A,FALSE,"GuV9900-0399";"tvg",#N/A,FALSE,"GuV9900-0399";"verwaltung",#N/A,FALSE,"GuV9900-0399"}</definedName>
    <definedName function="false" hidden="true" name="fesa" vbProcedure="false">{"apci",#N/A,FALSE,"Chem_CY";"eastman",#N/A,FALSE,"Eastman";"betz",#N/A,FALSE,"Betz";"great lakes",#N/A,FALSE,"Great_Lakes";"hercules",#N/A,FALSE,"Hercules Chem Seg Data";"rohm",#N/A,FALSE,"Rohm";"union carbide",#N/A,FALSE,"Union";"witco",#N/A,FALSE,"Witco"}</definedName>
    <definedName function="false" hidden="true" name="fesij" vbProcedure="false">{"werbung",#N/A,FALSE,"GuV9900-0399";"betrieb",#N/A,FALSE,"GuV9900-0399";"personal",#N/A,FALSE,"GuV9900-0399";"tvg",#N/A,FALSE,"GuV9900-0399";"verwaltung",#N/A,FALSE,"GuV9900-0399"}</definedName>
    <definedName function="false" hidden="true" name="fetr" vbProcedure="false">{"BA detail",#N/A,FALSE,"Q3YTD "}</definedName>
    <definedName function="false" hidden="true" name="fewq" vbProcedure="false">{"Comp_of_Price_Effect",#N/A,FALSE,"QTRDPVAR"}</definedName>
    <definedName function="false" hidden="true" name="ff" vbProcedure="false">{#N/A,#N/A,FALSE,"Pharm";#N/A,#N/A,FALSE,"WWCM"}</definedName>
    <definedName function="false" hidden="true" name="ffbaff" vbProcedure="false">increment_piece</definedName>
    <definedName function="false" hidden="true" name="ffd"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ffdd" vbProcedure="false">{#N/A,#N/A,FALSE,"Umsatz EO BP";#N/A,#N/A,FALSE,"Umsatz EO OP";#N/A,#N/A,FALSE,"ER EO BP";#N/A,#N/A,FALSE,"ER EO OP";#N/A,#N/A,FALSE,"EA EO (2)";#N/A,#N/A,FALSE,"EA EO";#N/A,#N/A,FALSE,"EA EO (3)";#N/A,#N/A,FALSE,"EA EO (4)";#N/A,#N/A,FALSE,"KA EO  (2)";#N/A,#N/A,FALSE,"KA EO";#N/A,#N/A,FALSE,"KA EO  (3)";#N/A,#N/A,FALSE,"KA EO (4)"}</definedName>
    <definedName function="false" hidden="true" name="fff" vbProcedure="false">{#N/A,#N/A,FALSE,"Pharm";#N/A,#N/A,FALSE,"WWCM"}</definedName>
    <definedName function="false" hidden="true" name="ffff" vbProcedure="false">#N/A</definedName>
    <definedName function="false" hidden="true" name="ffff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ffffff" vbProcedure="false">{"budget992000 capex",#N/A,FALSE,"Celtel alternative 6"}</definedName>
    <definedName function="false" hidden="true" name="fffffff" vbProcedure="false">{#N/A,#N/A,FALSE,"Pharm";#N/A,#N/A,FALSE,"WWCM"}</definedName>
    <definedName function="false" hidden="true" name="ffffffff" vbProcedure="false">{#N/A,#N/A,FALSE,"3";#N/A,#N/A,FALSE,"5";#N/A,#N/A,FALSE,"6";#N/A,#N/A,FALSE,"8";#N/A,#N/A,FALSE,"10";#N/A,#N/A,FALSE,"13";#N/A,#N/A,FALSE,"14";#N/A,#N/A,FALSE,"15";#N/A,#N/A,FALSE,"16"}</definedName>
    <definedName function="false" hidden="true" name="fffffffff" vbProcedure="false">{#N/A,#N/A,FALSE,"3";#N/A,#N/A,FALSE,"5";#N/A,#N/A,FALSE,"6";#N/A,#N/A,FALSE,"8";#N/A,#N/A,FALSE,"10";#N/A,#N/A,FALSE,"13";#N/A,#N/A,FALSE,"14";#N/A,#N/A,FALSE,"15";#N/A,#N/A,FALSE,"16"}</definedName>
    <definedName function="false" hidden="true" name="ffffffffff" vbProcedure="false">{#N/A,#N/A,FALSE,"3";#N/A,#N/A,FALSE,"5";#N/A,#N/A,FALSE,"6";#N/A,#N/A,FALSE,"8";#N/A,#N/A,FALSE,"10";#N/A,#N/A,FALSE,"13";#N/A,#N/A,FALSE,"14";#N/A,#N/A,FALSE,"15";#N/A,#N/A,FALSE,"16"}</definedName>
    <definedName function="false" hidden="true" name="fffffffffff" vbProcedure="false">{#N/A,#N/A,FALSE,"3";#N/A,#N/A,FALSE,"5";#N/A,#N/A,FALSE,"6";#N/A,#N/A,FALSE,"8";#N/A,#N/A,FALSE,"10";#N/A,#N/A,FALSE,"13";#N/A,#N/A,FALSE,"14";#N/A,#N/A,FALSE,"15";#N/A,#N/A,FALSE,"16"}</definedName>
    <definedName function="false" hidden="true" name="fg" vbProcedure="false">{#N/A,#N/A,FALSE,"REPORT"}</definedName>
    <definedName function="false" hidden="true" name="fgafgagag" vbProcedure="false">{#N/A,#N/A,FALSE,"00 P&amp;L vs 99"}</definedName>
    <definedName function="false" hidden="true" name="fgdfsg"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fgdsgdsg" vbProcedure="false">{#N/A,#N/A,FALSE,"3";#N/A,#N/A,FALSE,"5";#N/A,#N/A,FALSE,"6";#N/A,#N/A,FALSE,"8";#N/A,#N/A,FALSE,"10";#N/A,#N/A,FALSE,"13";#N/A,#N/A,FALSE,"14";#N/A,#N/A,FALSE,"15";#N/A,#N/A,FALSE,"16"}</definedName>
    <definedName function="false" hidden="true" name="fgf" vbProcedure="false">{#N/A,#N/A,FALSE,"Umsatz 99";#N/A,#N/A,FALSE,"ER 99 "}</definedName>
    <definedName function="false" hidden="true" name="fgfg" vbProcedure="false">{#N/A,#N/A,FALSE,"Umsatz EO BP";#N/A,#N/A,FALSE,"Umsatz EO OP";#N/A,#N/A,FALSE,"ER EO BP";#N/A,#N/A,FALSE,"ER EO OP";#N/A,#N/A,FALSE,"EA EO (2)";#N/A,#N/A,FALSE,"EA EO";#N/A,#N/A,FALSE,"EA EO (3)";#N/A,#N/A,FALSE,"EA EO (4)";#N/A,#N/A,FALSE,"KA EO  (2)";#N/A,#N/A,FALSE,"KA EO";#N/A,#N/A,FALSE,"KA EO  (3)";#N/A,#N/A,FALSE,"KA EO (4)"}</definedName>
    <definedName function="false" hidden="true" name="fgfgf" vbProcedure="false">{#N/A,#N/A,FALSE,"Umsatz 99";#N/A,#N/A,FALSE,"ER 99 "}</definedName>
    <definedName function="false" hidden="true" name="FGFR" vbProcedure="false">{#N/A,#N/A,TRUE,"Cover sheet";#N/A,#N/A,TRUE,"Summary";#N/A,#N/A,TRUE,"Key Assumptions";#N/A,#N/A,TRUE,"Profit &amp; Loss";#N/A,#N/A,TRUE,"Balance Sheet";#N/A,#N/A,TRUE,"Cashflow";#N/A,#N/A,TRUE,"IRR";#N/A,#N/A,TRUE,"Ratios";#N/A,#N/A,TRUE,"Debt analysis"}</definedName>
    <definedName function="false" hidden="true" name="fgfx" vbProcedure="false">{#N/A,#N/A,FALSE,"Umsatz 99";#N/A,#N/A,FALSE,"ER 99 "}</definedName>
    <definedName function="false" hidden="true" name="fggddf" vbProcedure="false">{"Employee Efficiency",#N/A,FALSE,"Benchmarking"}</definedName>
    <definedName function="false" hidden="true" name="fgh"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fghdfgdfg" vbProcedure="false">{#N/A,#N/A,FALSE,"3";#N/A,#N/A,FALSE,"5";#N/A,#N/A,FALSE,"6";#N/A,#N/A,FALSE,"8";#N/A,#N/A,FALSE,"10";#N/A,#N/A,FALSE,"13";#N/A,#N/A,FALSE,"14";#N/A,#N/A,FALSE,"15";#N/A,#N/A,FALSE,"16"}</definedName>
    <definedName function="false" hidden="true" name="fghdhgdfhfd" vbProcedure="false">{"equity comps",#N/A,FALSE,"CS Comps";"equity comps",#N/A,FALSE,"PS Comps";"equity comps",#N/A,FALSE,"GIC_Comps";"equity comps",#N/A,FALSE,"GIC2_Comps"}</definedName>
    <definedName function="false" hidden="true" name="fghfgh" vbProcedure="false">{"away stand alones",#N/A,FALSE,"Target"}</definedName>
    <definedName function="false" hidden="true" name="fghfghfgh" vbProcedure="false">{"assumption cash",#N/A,TRUE,"Merger";"has gets cash",#N/A,TRUE,"Merger";"accretion dilution",#N/A,TRUE,"Merger";"comparison credit stats",#N/A,TRUE,"Merger";"pf credit stats",#N/A,TRUE,"Merger";"pf sheets",#N/A,TRUE,"Merger"}</definedName>
    <definedName function="false" hidden="true" name="fghfghfghgfh" vbProcedure="false">{#N/A,#N/A,FALSE,"KA CH  (2)"}</definedName>
    <definedName function="false" hidden="true" name="fghfghfghgfhgfh"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fghfghgfh" vbProcedure="false">{#N/A,#N/A,FALSE,"Umsatz CH";#N/A,#N/A,FALSE,"ER CH";#N/A,#N/A,FALSE,"EA CH (2) ";#N/A,#N/A,FALSE,"EA CH";#N/A,#N/A,FALSE,"EA CH (3) ";#N/A,#N/A,FALSE,"EA CH (4)";#N/A,#N/A,FALSE,"KA CH";#N/A,#N/A,FALSE,"KA CH  (2)";#N/A,#N/A,FALSE,"KA CH  (3)";#N/A,#N/A,FALSE,"KA CH (4)"}</definedName>
    <definedName function="false" hidden="true" name="fghfh" vbProcedure="false">{#N/A,#N/A,FALSE,"Umsatz EO BP";#N/A,#N/A,FALSE,"Umsatz EO OP";#N/A,#N/A,FALSE,"ER EO BP";#N/A,#N/A,FALSE,"ER EO OP";#N/A,#N/A,FALSE,"EA EO (2)";#N/A,#N/A,FALSE,"EA EO";#N/A,#N/A,FALSE,"EA EO (3)";#N/A,#N/A,FALSE,"EA EO (4)";#N/A,#N/A,FALSE,"KA EO  (2)";#N/A,#N/A,FALSE,"KA EO";#N/A,#N/A,FALSE,"KA EO  (3)";#N/A,#N/A,FALSE,"KA EO (4)"}</definedName>
    <definedName function="false" hidden="true" name="fgh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fgjfg" vbProcedure="false">{"Pound Sterling",#N/A,TRUE,"PPD";"Pound Sterling",#N/A,TRUE,"Anaquest";"Pound Sterling",#N/A,TRUE,"Delta";"Pound Sterling",#N/A,TRUE,"INO"}</definedName>
    <definedName function="false" hidden="true" name="fgjfgjfgj" vbProcedure="false">{#N/A,#N/A,FALSE,"Produkte Erw.";#N/A,#N/A,FALSE,"Produkte Plan";#N/A,#N/A,FALSE,"Leistungen Erw.";#N/A,#N/A,FALSE,"Leistungen Plan";#N/A,#N/A,FALSE,"KA Allg.Kosten (2)";#N/A,#N/A,FALSE,"KA All.Kosten"}</definedName>
    <definedName function="false" hidden="true" name="fgjgf"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fgjgf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fgjhat" vbProcedure="false">{"Units A",#N/A,FALSE,"FY95SLS";"Units B",#N/A,FALSE,"FY95SLS"}</definedName>
    <definedName function="false" hidden="true" name="fgjhfgjhgj" vbProcedure="false">{"comp1",#N/A,FALSE,"COMPS";"footnotes",#N/A,FALSE,"COMPS"}</definedName>
    <definedName function="false" hidden="true" name="fgkjkh" vbProcedure="false">{#N/A,#N/A,FALSE,"REPORT"}</definedName>
    <definedName function="false" hidden="true" name="fgqerg" vbProcedure="false">{"Pound Sterling",#N/A,TRUE,"PPD";"Pound Sterling",#N/A,TRUE,"Anaquest";"Pound Sterling",#N/A,TRUE,"Delta";"Pound Sterling",#N/A,TRUE,"INO"}</definedName>
    <definedName function="false" hidden="true" name="fgsd" vbProcedure="false">{"PAGE 1",#N/A,FALSE,"COS Excluding Geismar";"PAGE 2",#N/A,FALSE,"COS Excluding Geismar";"PAGE 3",#N/A,FALSE,"COS Excluding Geismar"}</definedName>
    <definedName function="false" hidden="true" name="fgsdfg" vbProcedure="false">{"Units A",#N/A,FALSE,"FY95SLS";"Units B",#N/A,FALSE,"FY95SLS"}</definedName>
    <definedName function="false" hidden="true" name="fgsdfgdfg" vbProcedure="false">{"US Dollars",#N/A,TRUE,"PPD";"US Dollar",#N/A,TRUE,"Anaquest";"US Dollar",#N/A,TRUE,"Delta";"US Dollar",#N/A,TRUE,"INO"}</definedName>
    <definedName function="false" hidden="true" name="fgsdfgf" vbProcedure="false">{"Units A",#N/A,FALSE,"FY95SLS";"Units B",#N/A,FALSE,"FY95SLS"}</definedName>
    <definedName function="false" hidden="true" name="fgsg" vbProcedure="false">{"consolidated",#N/A,FALSE,"Sheet1";"cms",#N/A,FALSE,"Sheet1";"fse",#N/A,FALSE,"Sheet1"}</definedName>
    <definedName function="false" hidden="true" name="fgt" vbProcedure="false">{"Performance Details",#N/A,FALSE,"Current Yr";"Performance Details",#N/A,FALSE,"Budget";"Performance Details",#N/A,FALSE,"Prior Year"}</definedName>
    <definedName function="false" hidden="true" name="fh" vbProcedure="false">{#N/A,#N/A,FALSE,"KA CH  (2)"}</definedName>
    <definedName function="false" hidden="true" name="fhdfh" vbProcedure="false">{"Units A",#N/A,FALSE,"FY95SLS";"Units B",#N/A,FALSE,"FY95SLS"}</definedName>
    <definedName function="false" hidden="true" name="fhf" vbProcedure="false">{#N/A,#N/A,FALSE,"CA";#N/A,#N/A,FALSE,"CN";#N/A,#N/A,FALSE,"Inv";#N/A,#N/A,FALSE,"Inv Acc";"Miguel_balance",#N/A,FALSE,"Bal";#N/A,#N/A,FALSE,"Plantilla";#N/A,#N/A,FALSE,"CA (2)";#N/A,#N/A,FALSE,"CN (2)"}</definedName>
    <definedName function="false" hidden="true" name="fhfgh" vbProcedure="false">{#N/A,#N/A,FALSE,"Umsatz CH";#N/A,#N/A,FALSE,"ER CH";#N/A,#N/A,FALSE,"EA CH (2) ";#N/A,#N/A,FALSE,"EA CH";#N/A,#N/A,FALSE,"EA CH (3) ";#N/A,#N/A,FALSE,"EA CH (4)";#N/A,#N/A,FALSE,"KA CH";#N/A,#N/A,FALSE,"KA CH  (2)";#N/A,#N/A,FALSE,"KA CH  (3)";#N/A,#N/A,FALSE,"KA CH (4)"}</definedName>
    <definedName function="false" hidden="true" name="fhfghfghfgh"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fhfhfgh" vbProcedure="false">{"hiden",#N/A,FALSE,"14";"hidden",#N/A,FALSE,"16";"hidden",#N/A,FALSE,"18";"hidden",#N/A,FALSE,"20"}</definedName>
    <definedName function="false" hidden="true" name="fhfhfh" vbProcedure="false">{#N/A,#N/A,FALSE,"3";#N/A,#N/A,FALSE,"5";#N/A,#N/A,FALSE,"6";#N/A,#N/A,FALSE,"8";#N/A,#N/A,FALSE,"10";#N/A,#N/A,FALSE,"13";#N/A,#N/A,FALSE,"14";#N/A,#N/A,FALSE,"15";#N/A,#N/A,FALSE,"16"}</definedName>
    <definedName function="false" hidden="true" name="fhfhh" vbProcedure="false">{#N/A,#N/A,FALSE,"Umsatz CH";#N/A,#N/A,FALSE,"ER CH";#N/A,#N/A,FALSE,"EA CH (2) ";#N/A,#N/A,FALSE,"EA CH";#N/A,#N/A,FALSE,"EA CH (3) ";#N/A,#N/A,FALSE,"EA CH (4)";#N/A,#N/A,FALSE,"KA CH";#N/A,#N/A,FALSE,"KA CH  (2)";#N/A,#N/A,FALSE,"KA CH  (3)";#N/A,#N/A,FALSE,"KA CH (4)"}</definedName>
    <definedName function="false" hidden="true" name="fhgfgh" vbProcedure="false">{"Pound Sterling",#N/A,TRUE,"PPD";"Pound Sterling",#N/A,TRUE,"Anaquest";"Pound Sterling",#N/A,TRUE,"Delta";"Pound Sterling",#N/A,TRUE,"INO"}</definedName>
    <definedName function="false" hidden="true" name="fhgfhf" vbProcedure="false">{#N/A,#N/A,FALSE,"3";#N/A,#N/A,FALSE,"5";#N/A,#N/A,FALSE,"6";#N/A,#N/A,FALSE,"8";#N/A,#N/A,FALSE,"10";#N/A,#N/A,FALSE,"13";#N/A,#N/A,FALSE,"14";#N/A,#N/A,FALSE,"15";#N/A,#N/A,FALSE,"16"}</definedName>
    <definedName function="false" hidden="true" name="fhrtz" vbProcedure="false">{#N/A,#N/A,FALSE,"PMW Gruppe 00_99";#N/A,#N/A,FALSE,"PMW KG 00_99";#N/A,#N/A,FALSE,"PMW Inc. 00_99";#N/A,#N/A,FALSE,"PMW VTECH 00_99";#N/A,#N/A,FALSE,"PMW Thail. 00_99";#N/A,#N/A,FALSE,"PMW Canada 00_99";#N/A,#N/A,FALSE,"Währungsabw. 00_99"}</definedName>
    <definedName function="false" hidden="true" name="FI" vbProcedure="false">{"Vinyl1999Q1IFOrecon",#N/A,TRUE,"Vinyl";"Vinyl1999Q2IFOrecon",#N/A,TRUE,"Vinyl";"Vinyl1999Q3IFOrecon",#N/A,TRUE,"Vinyl";"Vinyl1999Q4IFOrecon",#N/A,TRUE,"Vinyl";"Vinyl1999TotalIFOrecon",#N/A,TRUE,"Vinyl";#N/A,#N/A,TRUE,"Vinyl"}</definedName>
    <definedName function="false" hidden="true" name="fid" vbProcedure="false">{#N/A,#N/A,FALSE,"TB";#N/A,#N/A,FALSE,"DR";#N/A,#N/A,FALSE,"AR";#N/A,#N/A,FALSE,"BS";#N/A,#N/A,FALSE,"PL";#N/A,#N/A,FALSE,"NOTES";#N/A,#N/A,FALSE,"NOTES (2)";#N/A,#N/A,FALSE,"NOTES (3)";#N/A,#N/A,FALSE,"DPL";#N/A,#N/A,FALSE,"DPL"}</definedName>
    <definedName function="false" hidden="true" name="fiejf" vbProcedure="false">{"werbung",#N/A,FALSE,"GuV9900-0399";"betrieb",#N/A,FALSE,"GuV9900-0399";"personal",#N/A,FALSE,"GuV9900-0399";"tvg",#N/A,FALSE,"GuV9900-0399";"verwaltung",#N/A,FALSE,"GuV9900-0399"}</definedName>
    <definedName function="false" hidden="true" name="FII" vbProcedure="false">{#N/A,#N/A,FALSE,"Presentation by Unit";#N/A,#N/A,FALSE,"Presentation by BD";#N/A,#N/A,FALSE,"Presentation Split by Biggest U";#N/A,#N/A,FALSE,"Presentation Split by Area";#N/A,#N/A,FALSE,"Presentation Split by BD"}</definedName>
    <definedName function="false" hidden="true" name="FileChart" vbProcedure="false">#REF!</definedName>
    <definedName function="false" hidden="false" name="Filtered_topN" vbProcedure="false">_xlfn.lambda(_xlpm.firsttopn,_xlpm.secondtopn,_xlpm.metric,_xlpm.fiscalrange,_xlpm.customerrange,_xlpm.metricnamerange,_xlpm.valuesrange,_xlpm.filtercolumndata,_xlpm.filter1,_xlpm.filter2,_xlpm.filter3,_xlpm.showremaininginothers,     _xlfn.let(         _xlpm.filtercolumndata, IF(_xlpm.filtercolumndata = "", "", _xlpm.filtercolumndata),         _xlpm.filter1, IF(_xlpm.filter1 = "", "", _xlpm.filter1),         _xlpm.filter2, IF(_xlpm.filter2 = "", "", _xlpm.filter2),         _xlpm.filter3, IF(_xlpm.filter3 = "", "", _xlpm.filter3),                  _xlpm.applyfilter, _xlfn.lambda(_xlpm.fiscalrange,_xlpm.customerrange,_xlpm.metricnamerange,_xlpm.valuesrange,_xlpm.filter,             IF(_xlpm.filter &lt;&gt; "",                 _xlfn.let(                     _xlpm.results, Input_Get_TopN_list(_xlpm.firsttopn, _xlpm.secondtopn, _xlpm.metric, Top_N_Sorting,                         _xlfn._xlws.filter(_xlpm.fiscalrange, _xlpm.filtercolumndata = _xlpm.filter),                         _xlfn._xlws.filter(_xlpm.customerrange, _xlpm.filtercolumndata = _xlpm.filter),                         _xlfn._xlws.filter(_xlpm.metricnamerange, _xlpm.filtercolumndata = _xlpm.filter),                         _xlfn._xlws.filter(_xlpm.valuesrange, _xlpm.filtercolumndata = _xlpm.filter),                         _xlpm.showremaininginothers),                     _xlpm.repeatedfilter, IF(ROWS(_xlpm.results) &gt; 0, _xlfn.makearray(ROWS(_xlpm.results), 1, _xlfn.lambda(_xlpm.r,_xlpm.c, _xlpm.filter)), ""),                     _xlfn.hstack(_xlpm.repeatedfilter, _xlpm.results)                 ),                 ""             )         ),                  _xlpm.finalresult_1, _xlfn.IFNA(_xlpm.applyfilter(_xlpm.fiscalrange, _xlpm.customerrange, _xlpm.metricnamerange, _xlpm.valuesrange, _xlpm.filter1), ""),         _xlpm.finalresult_2, _xlfn.IFNA(_xlpm.applyfilter(_xlpm.fiscalrange, _xlpm.customerrange, _xlpm.metricnamerange, _xlpm.valuesrange, _xlpm.filter2), ""),         _xlpm.finalresult_3, _xlfn.IFNA(_xlpm.applyfilter(_xlpm.fiscalrange, _xlpm.customerrange, _xlpm.metricnamerange, _xlpm.valuesrange, _xlpm.filter3), ""),                  _xlpm.finalresult, IF(             AND(_xlpm.filtercolumndata = "", _xlpm.filter1 = "", _xlpm.filter2 = "", _xlpm.filter3 = ""),             Input_Get_TopN_list(_xlpm.firsttopn, _xlpm.secondtopn, _xlpm.metric, Top_N_Sorting, _xlpm.fiscalrange, _xlpm.customerrange, _xlpm.metricnamerange, _xlpm.valuesrange, _xlpm.showremaininginothers),             _xlfn.IFNA(_xlfn.vstack(_xlpm.finalresult_1, _xlpm.finalresult_2, _xlpm.finalresult_3), "")         ),                  _xlfn.IFNA(_xlpm.finalresult, "")     ) )</definedName>
    <definedName function="false" hidden="false" name="Filter_groups" vbProcedure="false">OFFSET(#REF!,0,0,COUNTA(#REF!)-COUNTIF(#REF!,"END"))</definedName>
    <definedName function="false" hidden="false" name="Filter_headings" vbProcedure="false">OFFSET(#REF!,0,0,COUNTA(#REF!)-COUNTIF(#REF!,"END"))</definedName>
    <definedName function="false" hidden="false" name="Filter_periods" vbProcedure="false">#REF!</definedName>
    <definedName function="false" hidden="true" name="FIMeXToEUR" vbProcedure="false">1/eurextofim</definedName>
    <definedName function="false" hidden="true" name="fin" vbProcedure="false">{#N/A,#N/A,FALSE,"DIR-REP";#N/A,#N/A,FALSE,"AUD-REPORT";#N/A,#N/A,FALSE,"P7L&amp;BS";#N/A,#N/A,FALSE,"NOTES";#N/A,#N/A,FALSE,"FA";#N/A,#N/A,FALSE,"NOTES (2)";#N/A,#N/A,FALSE,"Schedule  IV";#N/A,#N/A,FALSE,"Schedule V"}</definedName>
    <definedName function="false" hidden="true" name="find" vbProcedure="false">{#N/A,#N/A,FALSE,"TAXC.INDEX";#N/A,#N/A,FALSE,"Schedule I";#N/A,#N/A,FALSE,"Schedule  II";#N/A,#N/A,FALSE,"Schedule III";#N/A,#N/A,FALSE,"Schedule IV";#N/A,#N/A,FALSE,"Schedule IV (Cont'd)";#N/A,#N/A,FALSE,"Schedule V";#N/A,#N/A,FALSE,"Schedule VI";#N/A,#N/A,FALSE,"Schedule VII"}</definedName>
    <definedName function="false" hidden="true" name="firstColumn" vbProcedure="false">#REF!</definedName>
    <definedName function="false" hidden="true" name="fit" vbProcedure="false">{#N/A,#N/A,FALSE,"TB";#N/A,#N/A,FALSE,"DR";#N/A,#N/A,FALSE,"AR";#N/A,#N/A,FALSE,"PL";#N/A,#N/A,FALSE,"BS";#N/A,#N/A,FALSE,"NOTES";#N/A,#N/A,FALSE,"NOTES (2)";#N/A,#N/A,FALSE,"NOTES (3)";#N/A,#N/A,FALSE,"DPL";#N/A,#N/A,FALSE,"TAXC.INDEX";#N/A,#N/A,FALSE,"Schedule I";#N/A,#N/A,FALSE,"Adjustments"}</definedName>
    <definedName function="false" hidden="true" name="fixed" vbProcedure="false">{#N/A,#N/A,FALSE,"SF"}</definedName>
    <definedName function="false" hidden="true" name="fjaeojfa" vbProcedure="false">{#N/A,#N/A,FALSE,"TB";#N/A,#N/A,FALSE,"DR";#N/A,#N/A,FALSE,"AR";#N/A,#N/A,FALSE,"PL";#N/A,#N/A,FALSE,"BS";#N/A,#N/A,FALSE,"NOTES";#N/A,#N/A,FALSE,"NOTES (2)";#N/A,#N/A,FALSE,"NOTES (3)";#N/A,#N/A,FALSE,"DPL";#N/A,#N/A,FALSE,"TAXC.INDEX";#N/A,#N/A,FALSE,"Schedule I";#N/A,#N/A,FALSE,"Adjustments"}</definedName>
    <definedName function="false" hidden="true" name="fjaoe" vbProcedure="false">{#N/A,#N/A,FALSE,"TB";#N/A,#N/A,FALSE,"DR";#N/A,#N/A,FALSE,"AR";#N/A,#N/A,FALSE,"BS";#N/A,#N/A,FALSE,"PL";#N/A,#N/A,FALSE,"NOTES";#N/A,#N/A,FALSE,"NOTES (2)";#N/A,#N/A,FALSE,"NOTES (3)";#N/A,#N/A,FALSE,"DPL";#N/A,#N/A,FALSE,"DPL"}</definedName>
    <definedName function="false" hidden="true" name="FJEZK" vbProcedure="false">{#N/A,#N/A,FALSE,"Pharm";#N/A,#N/A,FALSE,"WWCM"}</definedName>
    <definedName function="false" hidden="true" name="fjf" vbProcedure="false">{#N/A,#N/A,FALSE,"TAXC.INDEX";#N/A,#N/A,FALSE,"Schedule I";#N/A,#N/A,FALSE,"Schedule  II";#N/A,#N/A,FALSE,"Schedule III"}</definedName>
    <definedName function="false" hidden="true" name="fjgfj" vbProcedure="false">{"Units A",#N/A,FALSE,"FY95SLS";"Units B",#N/A,FALSE,"FY95SLS"}</definedName>
    <definedName function="false" hidden="true" name="fjso" vbProcedure="false">{#N/A,#N/A,FALSE,"CONTENTS";#N/A,#N/A,FALSE,"DR";#N/A,#N/A,FALSE,"PL";#N/A,#N/A,FALSE,"BS";#N/A,#N/A,FALSE,"Cash Flow";#N/A,#N/A,FALSE,"NOTES";#N/A,#N/A,FALSE,"NOTES (FA)";#N/A,#N/A,FALSE,"Notes(3)";#N/A,#N/A,FALSE,"NOTES (4)";#N/A,#N/A,FALSE,"DP&amp;L";#N/A,#N/A,FALSE,"EXPENSES";#N/A,#N/A,FALSE,"EXPENSES-1"}</definedName>
    <definedName function="false" hidden="true" name="fl"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fltt" vbProcedure="false">{#N/A,#N/A,FALSE,"TB";#N/A,#N/A,FALSE,"AR";#N/A,#N/A,FALSE,"BS";#N/A,#N/A,FALSE,"PL";#N/A,#N/A,FALSE,"NOTES";#N/A,#N/A,FALSE,"NOTES (2)";#N/A,#N/A,FALSE,"NOTES (3)";#N/A,#N/A,FALSE,"TAXC.INDEX";#N/A,#N/A,FALSE,"Schedule I";#N/A,#N/A,FALSE,"DPL";#N/A,#N/A,FALSE,"Schedule IV";#N/A,#N/A,FALSE,"Adjustments"}</definedName>
    <definedName function="false" hidden="true" name="Flux" vbProcedure="false">{#N/A,#N/A,FALSE,"Title";#N/A,#N/A,FALSE,"Contents";#N/A,#N/A,FALSE,"Executive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function="false" hidden="true" name="fo" vbProcedure="false">{#N/A,#N/A,FALSE,"TB";#N/A,#N/A,FALSE,"AR";#N/A,#N/A,FALSE,"BS";#N/A,#N/A,FALSE,"PL";#N/A,#N/A,FALSE,"NOTES";#N/A,#N/A,FALSE,"NOTES (2)";#N/A,#N/A,FALSE,"NOTES (3)";#N/A,#N/A,FALSE,"TAXC.INDEX";#N/A,#N/A,FALSE,"Schedule I";#N/A,#N/A,FALSE,"DPL";#N/A,#N/A,FALSE,"Schedule IV";#N/A,#N/A,FALSE,"Adjustments"}</definedName>
    <definedName function="false" hidden="true" name="foethnl" vbProcedure="false">{#N/A,#N/A,FALSE,"TB";#N/A,#N/A,FALSE,"DR";#N/A,#N/A,FALSE,"AR";#N/A,#N/A,FALSE,"BS";#N/A,#N/A,FALSE,"PL";#N/A,#N/A,FALSE,"NOTES";#N/A,#N/A,FALSE,"NOTES (2)";#N/A,#N/A,FALSE,"NOTES (3)";#N/A,#N/A,FALSE,"DPL";#N/A,#N/A,FALSE,"DPL"}</definedName>
    <definedName function="false" hidden="true" name="for" vbProcedure="false">{#N/A,#N/A,FALSE,"CONTENTS";#N/A,#N/A,FALSE,"DR";#N/A,#N/A,FALSE,"PL";#N/A,#N/A,FALSE,"BS";#N/A,#N/A,FALSE,"Cash Flow";#N/A,#N/A,FALSE,"NOTES";#N/A,#N/A,FALSE,"NOTES (FA)";#N/A,#N/A,FALSE,"Notes(3)";#N/A,#N/A,FALSE,"NOTES (4)";#N/A,#N/A,FALSE,"DP&amp;L";#N/A,#N/A,FALSE,"EXPENSES";#N/A,#N/A,FALSE,"EXPENSES-1"}</definedName>
    <definedName function="false" hidden="true" name="forecast" vbProcedure="false">{"cover a","1q",FALSE,"Cover";"Op Earn Mgd Q1",#N/A,FALSE,"Op-Earn (Mng)";"Op Earn Rpt Q1",#N/A,FALSE,"Op-Earn (Rpt)";"Loans",#N/A,FALSE,"Loans";"Credit Costs",#N/A,FALSE,"CCosts";"Net Interest Margin",#N/A,FALSE,"Margin";"Nonint Income",#N/A,FALSE,"NonII";"Nonint Exp",#N/A,FALSE,"NonIE";"Valuation",#N/A,FALSE,"Valuation"}</definedName>
    <definedName function="false" hidden="true" name="ForecastPeriod" vbProcedure="false">#REF!</definedName>
    <definedName function="false" hidden="true" name="ForevsPlan"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Formatted" vbProcedure="false">{"'Sheet1'!$A$1:$F$101"}</definedName>
    <definedName function="false" hidden="true" name="Formula" vbProcedure="false">"'&lt;ContentDefinition name=""SASMain:MKTDL.TBVOLREVENSLANEPROFITABILITY"" rsid=""287721188"" type=""PivotTable"" format=""REPORTXML"" imgfmt=""ACTIVEX"" created=""05/12/2011 19:13:38"" modifed=""05/20/2011 17:07:18"" user=""XPMUser"" apply=""False"" th'"</definedName>
    <definedName function="false" hidden="true" name="fose" vbProcedure="false">{#N/A,#N/A,FALSE,"DIR-REP";#N/A,#N/A,FALSE,"AUD-REPORT";#N/A,#N/A,FALSE,"P7L&amp;BS";#N/A,#N/A,FALSE,"NOTES";#N/A,#N/A,FALSE,"FA";#N/A,#N/A,FALSE,"NOTES (2)";#N/A,#N/A,FALSE,"Schedule  IV";#N/A,#N/A,FALSE,"Schedule V"}</definedName>
    <definedName function="false" hidden="true" name="FQSDF" vbProcedure="false">{#N/A,#N/A,TRUE,"Cover";#N/A,#N/A,TRUE,"Content";"Orders EMM",#N/A,TRUE,"Order Sales";"project EMM",#N/A,TRUE,"Project Control";"Cash EMM",#N/A,TRUE,"Cash Control";"KPI EMM",#N/A,TRUE,"KPI-EMM";"Empl EMM",#N/A,TRUE,"Employees"}</definedName>
    <definedName function="false" hidden="true" name="fr" vbProcedure="false">{#N/A,"PURCHM",FALSE,"Business Analysis";#N/A,"SPADD",FALSE,"Business Analysis"}</definedName>
    <definedName function="false" hidden="true" name="france" vbProcedure="false">{#N/A,#N/A,FALSE,"Eastern";#N/A,#N/A,FALSE,"Western"}</definedName>
    <definedName function="false" hidden="true" name="Frank" vbProcedure="false">{#N/A,#N/A,TRUE,"Cover sheet";#N/A,#N/A,TRUE,"DCF analysis";#N/A,#N/A,TRUE,"WACC calculation"}</definedName>
    <definedName function="false" hidden="true" name="franko" vbProcedure="false">{#N/A,#N/A,FALSE,"Kosten97Einzel";#N/A,#N/A,FALSE,"Kosten97FZ"}</definedName>
    <definedName function="false" hidden="true" name="freqt" vbProcedure="false">{#N/A,#N/A,FALSE,"DIR-REP";#N/A,#N/A,FALSE,"AUD-REPORT";#N/A,#N/A,FALSE,"P7L&amp;BS";#N/A,#N/A,FALSE,"NOTES";#N/A,#N/A,FALSE,"FA";#N/A,#N/A,FALSE,"NOTES (2)";#N/A,#N/A,FALSE,"Schedule  IV";#N/A,#N/A,FALSE,"Schedule V"}</definedName>
    <definedName function="false" hidden="true" name="FRF" vbProcedure="false">{#N/A,#N/A,FALSE,"1";#N/A,#N/A,FALSE,"2";#N/A,#N/A,FALSE,"16 - 17";#N/A,#N/A,FALSE,"18 - 19";#N/A,#N/A,FALSE,"26";#N/A,#N/A,FALSE,"27";#N/A,#N/A,FALSE,"28"}</definedName>
    <definedName function="false" hidden="true" name="FRFERFE" vbProcedure="false">{#N/A,#N/A,FALSE,"Pharm";#N/A,#N/A,FALSE,"WWCM"}</definedName>
    <definedName function="false" hidden="true" name="FRFeXToEUR" vbProcedure="false">1/eurextofrf</definedName>
    <definedName function="false" hidden="true" name="frsdf" vbProcedure="false">{#N/A,#N/A,FALSE,"3";#N/A,#N/A,FALSE,"5";#N/A,#N/A,FALSE,"6";#N/A,#N/A,FALSE,"8";#N/A,#N/A,FALSE,"10";#N/A,#N/A,FALSE,"13";#N/A,#N/A,FALSE,"14";#N/A,#N/A,FALSE,"15";#N/A,#N/A,FALSE,"16"}</definedName>
    <definedName function="false" hidden="true" name="frty" vbProcedure="false">{"PRS",#N/A,FALSE,"CM"}</definedName>
    <definedName function="false" hidden="true" name="FSAFSAF" vbProcedure="false">{#N/A,#N/A,FALSE,"00 P&amp;L vs 99"}</definedName>
    <definedName function="false" hidden="true" name="fsct" vbProcedure="false">{#N/A,#N/A,FALSE,"Income Statement";#N/A,#N/A,FALSE,"Balance Sheet";#N/A,#N/A,FALSE,"AR Analysis";#N/A,#N/A,FALSE,"Inventory Analysis";#N/A,#N/A,FALSE,"Direct Material";#N/A,#N/A,FALSE,"Labor";#N/A,#N/A,FALSE,"Overhead";#N/A,#N/A,FALSE,"Capital";#N/A,#N/A,FALSE,"Indirect Roster"}</definedName>
    <definedName function="false" hidden="true" name="fsdfg" vbProcedure="false">{#N/A,#N/A,FALSE,"Presentation by Unit";#N/A,#N/A,FALSE,"Presentation by BD";#N/A,#N/A,FALSE,"Presentation Split by Biggest U";#N/A,#N/A,FALSE,"Presentation Split by Area";#N/A,#N/A,FALSE,"Presentation Split by BD"}</definedName>
    <definedName function="false" hidden="true" name="fsdfsdf" vbProcedure="false">{#N/A,#N/A,FALSE,"3";#N/A,#N/A,FALSE,"5";#N/A,#N/A,FALSE,"6";#N/A,#N/A,FALSE,"8";#N/A,#N/A,FALSE,"10";#N/A,#N/A,FALSE,"13";#N/A,#N/A,FALSE,"14";#N/A,#N/A,FALSE,"15";#N/A,#N/A,FALSE,"16"}</definedName>
    <definedName function="false" hidden="true" name="fsdgfsdg" vbProcedure="false">{"Pound Sterling",#N/A,TRUE,"PPD";"Pound Sterling",#N/A,TRUE,"Anaquest";"Pound Sterling",#N/A,TRUE,"Delta";"Pound Sterling",#N/A,TRUE,"INO"}</definedName>
    <definedName function="false" hidden="true" name="fsejfie" vbProcedure="false">{"werbung",#N/A,FALSE,"GuV9900-0399";"betrieb",#N/A,FALSE,"GuV9900-0399";"personal",#N/A,FALSE,"GuV9900-0399";"tvg",#N/A,FALSE,"GuV9900-0399";"verwaltung",#N/A,FALSE,"GuV9900-0399"}</definedName>
    <definedName function="false" hidden="true" name="fseo" vbProcedure="false">{#N/A,#N/A,FALSE,"TAXC.INDEX";#N/A,#N/A,FALSE,"Schedule I";#N/A,#N/A,FALSE,"Schedule  II";#N/A,#N/A,FALSE,"Schedule III";#N/A,#N/A,FALSE,"Schedule IV";#N/A,#N/A,FALSE,"Schedule IV (Cont'd)";#N/A,#N/A,FALSE,"Schedule V";#N/A,#N/A,FALSE,"Schedule VI";#N/A,#N/A,FALSE,"Schedule VII"}</definedName>
    <definedName function="false" hidden="true" name="fsfs" vbProcedure="false">{#N/A,#N/A,FALSE,"Calc";#N/A,#N/A,FALSE,"Sensitivity";#N/A,#N/A,FALSE,"LT Earn.Dil.";#N/A,#N/A,FALSE,"Dil. AVP"}</definedName>
    <definedName function="false" hidden="true" name="fsfsf" vbProcedure="false">{#N/A,#N/A,FALSE,"3";#N/A,#N/A,FALSE,"5";#N/A,#N/A,FALSE,"6";#N/A,#N/A,FALSE,"8";#N/A,#N/A,FALSE,"10";#N/A,#N/A,FALSE,"13";#N/A,#N/A,FALSE,"14";#N/A,#N/A,FALSE,"15";#N/A,#N/A,FALSE,"16"}</definedName>
    <definedName function="false" hidden="true" name="fsfsfs" vbProcedure="false">{#N/A,#N/A,FALSE,"3";#N/A,#N/A,FALSE,"5";#N/A,#N/A,FALSE,"6";#N/A,#N/A,FALSE,"8";#N/A,#N/A,FALSE,"10";#N/A,#N/A,FALSE,"13";#N/A,#N/A,FALSE,"14";#N/A,#N/A,FALSE,"15";#N/A,#N/A,FALSE,"16"}</definedName>
    <definedName function="false" hidden="true" name="fsilje" vbProcedure="false">{"werbung",#N/A,FALSE,"GuV9900-0399";"betrieb",#N/A,FALSE,"GuV9900-0399";"personal",#N/A,FALSE,"GuV9900-0399";"tvg",#N/A,FALSE,"GuV9900-0399";"verwaltung",#N/A,FALSE,"GuV9900-0399"}</definedName>
    <definedName function="false" hidden="true" name="fske" vbProcedure="false">{"werbung",#N/A,FALSE,"GuV9900-0399";"betrieb",#N/A,FALSE,"GuV9900-0399";"personal",#N/A,FALSE,"GuV9900-0399";"tvg",#N/A,FALSE,"GuV9900-0399";"verwaltung",#N/A,FALSE,"GuV9900-0399"}</definedName>
    <definedName function="false" hidden="false" name="FTE_1" vbProcedure="false">#REF!</definedName>
    <definedName function="false" hidden="false" name="FTE_10" vbProcedure="false">#REF!</definedName>
    <definedName function="false" hidden="false" name="FTE_11" vbProcedure="false">#REF!</definedName>
    <definedName function="false" hidden="false" name="FTE_12" vbProcedure="false">#REF!</definedName>
    <definedName function="false" hidden="false" name="FTE_13" vbProcedure="false">#REF!</definedName>
    <definedName function="false" hidden="false" name="FTE_14" vbProcedure="false">#REF!</definedName>
    <definedName function="false" hidden="false" name="FTE_15" vbProcedure="false">#REF!</definedName>
    <definedName function="false" hidden="false" name="FTE_16" vbProcedure="false">#REF!</definedName>
    <definedName function="false" hidden="false" name="FTE_17" vbProcedure="false">#REF!</definedName>
    <definedName function="false" hidden="false" name="FTE_18" vbProcedure="false">#REF!</definedName>
    <definedName function="false" hidden="false" name="FTE_19" vbProcedure="false">#REF!</definedName>
    <definedName function="false" hidden="false" name="FTE_2" vbProcedure="false">#REF!</definedName>
    <definedName function="false" hidden="false" name="FTE_20" vbProcedure="false">#REF!</definedName>
    <definedName function="false" hidden="false" name="FTE_21" vbProcedure="false">#REF!</definedName>
    <definedName function="false" hidden="false" name="FTE_22" vbProcedure="false">#REF!</definedName>
    <definedName function="false" hidden="false" name="FTE_3" vbProcedure="false">#REF!</definedName>
    <definedName function="false" hidden="false" name="FTE_4" vbProcedure="false">#REF!</definedName>
    <definedName function="false" hidden="false" name="FTE_5" vbProcedure="false">#REF!</definedName>
    <definedName function="false" hidden="false" name="FTE_6" vbProcedure="false">#REF!</definedName>
    <definedName function="false" hidden="false" name="FTE_7" vbProcedure="false">#REF!</definedName>
    <definedName function="false" hidden="false" name="FTE_8" vbProcedure="false">#REF!</definedName>
    <definedName function="false" hidden="false" name="FTE_9" vbProcedure="false">#REF!</definedName>
    <definedName function="false" hidden="true" name="fu" vbProcedure="false">{#N/A,#N/A,FALSE,"DIR-REP";#N/A,#N/A,FALSE,"AUD-REPORT";#N/A,#N/A,FALSE,"P7L&amp;BS";#N/A,#N/A,FALSE,"NOTES";#N/A,#N/A,FALSE,"FA";#N/A,#N/A,FALSE,"NOTES (2)";#N/A,#N/A,FALSE,"Schedule  IV";#N/A,#N/A,FALSE,"Schedule V"}</definedName>
    <definedName function="false" hidden="true" name="fuffuy" vbProcedure="false">{#N/A,#N/A,FALSE,"Cover";"outputs total",#N/A,FALSE,"Outputs"}</definedName>
    <definedName function="false" hidden="true" name="FUFU" vbProcedure="false">{#N/A,#N/A,FALSE,"2Q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function="false" hidden="true" name="fun"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name="fung" vbProcedure="false">{#N/A,#N/A,FALSE,"TB";#N/A,#N/A,FALSE,"DR";#N/A,#N/A,FALSE,"AR";#N/A,#N/A,FALSE,"BS";#N/A,#N/A,FALSE,"PL";#N/A,#N/A,FALSE,"NOTES";#N/A,#N/A,FALSE,"NOTES (2)";#N/A,#N/A,FALSE,"NOTES (3)";#N/A,#N/A,FALSE,"DPL";#N/A,#N/A,FALSE,"DPL"}</definedName>
    <definedName function="false" hidden="true" name="fvedw" vbProcedure="false">#REF!</definedName>
    <definedName function="false" hidden="true" name="FVG" vbProcedure="false">{#N/A,#N/A,FALSE,"Pharm";#N/A,#N/A,FALSE,"WWCM"}</definedName>
    <definedName function="false" hidden="true" name="fwer" vbProcedure="false">{#N/A,"PURCHM",FALSE,"Business Analysis";#N/A,"SPADD",FALSE,"Business Analysis"}</definedName>
    <definedName function="false" hidden="true" name="fx" vbProcedure="false">{"TOTTEXAS",#N/A,FALSE,"CM"}</definedName>
    <definedName function="false" hidden="true" name="fyul"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FZCC" vbProcedure="false">#REF!</definedName>
    <definedName function="false" hidden="true" name="f\ef" vbProcedure="false">{"werbung",#N/A,FALSE,"GuV9900-0399";"betrieb",#N/A,FALSE,"GuV9900-0399";"personal",#N/A,FALSE,"GuV9900-0399";"tvg",#N/A,FALSE,"GuV9900-0399";"verwaltung",#N/A,FALSE,"GuV9900-0399"}</definedName>
    <definedName function="false" hidden="true" name="gadfga" vbProcedure="false">{"Units A",#N/A,FALSE,"FY95SLS";"Units B",#N/A,FALSE,"FY95SLS"}</definedName>
    <definedName function="false" hidden="true" name="gaergteryq" vbProcedure="false">{"Sum WW A",#N/A,FALSE,"FY95SLS";"Sum WW B",#N/A,FALSE,"FY95SLS";"Sum US A",#N/A,FALSE,"FY95SLS";"Sum US B",#N/A,FALSE,"FY95SLS";"Sum US Bocg",#N/A,FALSE,"FY95SLS";"Sum Can A",#N/A,FALSE,"FY95SLS";"Sum Can B",#N/A,FALSE,"FY95SLS";"Sum Europe",#N/A,FALSE,"FY95SLS";"Sum Row",#N/A,FALSE,"FY95SLS"}</definedName>
    <definedName function="false" hidden="true" name="gaga" vbProcedure="false">{#N/A,#N/A,TRUE,"Cover sheet";#N/A,#N/A,TRUE,"INPUTS";#N/A,#N/A,TRUE,"OUTPUTS";#N/A,#N/A,TRUE,"VALUATION"}</definedName>
    <definedName function="false" hidden="true" name="gagrae" vbProcedure="false">{"Units A",#N/A,FALSE,"FY95SLS";"Units B",#N/A,FALSE,"FY95SLS"}</definedName>
    <definedName function="false" hidden="true" name="gascogne" vbProcedure="false">#REF!</definedName>
    <definedName function="false" hidden="true" name="Gauge" vbProcedure="false">#REF!</definedName>
    <definedName function="false" hidden="true" name="GaugeBase" vbProcedure="false">#REF!</definedName>
    <definedName function="false" hidden="true" name="gay" vbProcedure="false">{#N/A,#N/A,FALSE,"TAXC.INDEX";#N/A,#N/A,FALSE,"Schedule I";#N/A,#N/A,FALSE,"Schedule  II";#N/A,#N/A,FALSE,"Schedule III";#N/A,#N/A,FALSE,"Schedule IV";#N/A,#N/A,FALSE,"Schedule IV (Cont'd)";#N/A,#N/A,FALSE,"Schedule V";#N/A,#N/A,FALSE,"Schedule VI";#N/A,#N/A,FALSE,"Schedule VII"}</definedName>
    <definedName function="false" hidden="true" name="gb" vbProcedure="false">{"equity comps",#N/A,FALSE,"CS Comps";"equity comps",#N/A,FALSE,"PS Comps";"equity comps",#N/A,FALSE,"GIC_Comps";"equity comps",#N/A,FALSE,"GIC2_Comps"}</definedName>
    <definedName function="false" hidden="true" name="gcb" vbProcedure="false">{#N/A,#N/A,FALSE,"3";#N/A,#N/A,FALSE,"5";#N/A,#N/A,FALSE,"6";#N/A,#N/A,FALSE,"8";#N/A,#N/A,FALSE,"10";#N/A,#N/A,FALSE,"13";#N/A,#N/A,FALSE,"14";#N/A,#N/A,FALSE,"15";#N/A,#N/A,FALSE,"16"}</definedName>
    <definedName function="false" hidden="true" name="gd" vbProcedure="false">{"'下期集計（10.27迄・速報値）'!$Q$16"}</definedName>
    <definedName function="false" hidden="true" name="gda" vbProcedure="false">{"'下期集計（10.27迄・速報値）'!$Q$16"}</definedName>
    <definedName function="false" hidden="true" name="gdchfhkjh" vbProcedure="false">{#N/A,#N/A,FALSE,"00 P&amp;L vs 99"}</definedName>
    <definedName function="false" hidden="true" name="GDF" vbProcedure="false">{"detail",#N/A,FALSE,"mfg";"summary",#N/A,FALSE,"mfg"}</definedName>
    <definedName function="false" hidden="true" name="gdff" vbProcedure="false">{"Methodology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function="false" hidden="true" name="gdfg" vbProcedure="false">{#N/A,#N/A,FALSE,"Umsatz EO BP";#N/A,#N/A,FALSE,"Umsatz EO OP";#N/A,#N/A,FALSE,"ER EO BP";#N/A,#N/A,FALSE,"ER EO OP";#N/A,#N/A,FALSE,"EA EO (2)";#N/A,#N/A,FALSE,"EA EO";#N/A,#N/A,FALSE,"EA EO (3)";#N/A,#N/A,FALSE,"EA EO (4)";#N/A,#N/A,FALSE,"KA EO  (2)";#N/A,#N/A,FALSE,"KA EO";#N/A,#N/A,FALSE,"KA EO  (3)";#N/A,#N/A,FALSE,"KA EO (4)"}</definedName>
    <definedName function="false" hidden="true" name="gdfgdf" vbProcedure="false">{#N/A,#N/A,FALSE,"Pharm";#N/A,#N/A,FALSE,"WWCM"}</definedName>
    <definedName function="false" hidden="true" name="gdfhgdhdf" vbProcedure="false">{#N/A,#N/A,FALSE,"3";#N/A,#N/A,FALSE,"5";#N/A,#N/A,FALSE,"6";#N/A,#N/A,FALSE,"8";#N/A,#N/A,FALSE,"10";#N/A,#N/A,FALSE,"13";#N/A,#N/A,FALSE,"14";#N/A,#N/A,FALSE,"15";#N/A,#N/A,FALSE,"16"}</definedName>
    <definedName function="false" hidden="true" name="gdfs" vbProcedure="false">{"Units A",#N/A,FALSE,"FY95SLS";"Units B",#N/A,FALSE,"FY95SLS"}</definedName>
    <definedName function="false" hidden="true" name="gdsa" vbProcedure="false">{"'下期集計（10.27迄・速報値）'!$Q$16"}</definedName>
    <definedName function="false" hidden="true" name="gdsfg" vbProcedure="false">{#N/A,#N/A,TRUE,"Cover sheet";#N/A,#N/A,TRUE,"INPUTS";#N/A,#N/A,TRUE,"OUTPUTS";#N/A,#N/A,TRUE,"VALUATION"}</definedName>
    <definedName function="false" hidden="true" name="Genesys" vbProcedure="false">{"'comite'!$A$9:$G$44","'comite'!$A$1:$G$6"}</definedName>
    <definedName function="false" hidden="true" name="ger" vbProcedure="false">{#N/A,#N/A,FALSE,"CONTENTS";#N/A,#N/A,FALSE,"DR";#N/A,#N/A,FALSE,"PL";#N/A,#N/A,FALSE,"BS";#N/A,#N/A,FALSE,"Cash Flow";#N/A,#N/A,FALSE,"NOTES";#N/A,#N/A,FALSE,"NOTES (FA)";#N/A,#N/A,FALSE,"Notes(3)";#N/A,#N/A,FALSE,"NOTES (4)";#N/A,#N/A,FALSE,"DP&amp;L";#N/A,#N/A,FALSE,"EXPENSES";#N/A,#N/A,FALSE,"EXPENSES-1"}</definedName>
    <definedName function="false" hidden="true" name="gerdgw" vbProcedure="false">{#N/A,#N/A,TRUE,"COVER";#N/A,#N/A,TRUE,"DIR";#N/A,#N/A,TRUE,"AUDIT"}</definedName>
    <definedName function="false" hidden="true" name="getridofit" vbProcedure="false">{#N/A,#N/A,FALSE,"00 P&amp;L vs 99"}</definedName>
    <definedName function="false" hidden="false" name="Get_simple_topN" vbProcedure="false">_xlfn.lambda(_xlpm.firsttopn,_xlpm.secondtopn,_xlpm.metric,_xlpm.fiscalperiodarray,_xlpm.fiscalrange,_xlpm.customerrange,_xlpm.metricnamerange,_xlpm.valuesrange,_xlop.showremaininginothers,_xlop.manualsorting,      _xlfn.let(         _xlpm.showremaining, IF(_xlfn.isomitted(_xlpm.showremaininginothers), "no", _xlpm.showremaininginothers),         _xlpm.topnlist, Input_get_simple_TopN(_xlpm.firsttopn, _xlpm.secondtopn, _xlpm.metric, _xlpm.fiscalperiodarray, _xlpm.fiscalrange, _xlpm.customerrange, _xlpm.metricnamerange, _xlpm.valuesrange, _xlpm.showremaining),         _xlpm.sortedlist, IF(OR(_xlfn.isomitted(_xlpm.manualsorting), ISBLANK(_xlpm.manualsorting), _xlpm.manualsorting="no"),             _xlpm.topnlist,             IF(_xlpm.manualsorting="Yes", _xlfn.sortby(_xlpm.topnlist, MATCH(_xlpm.topnlist, TopN_manual_sorting, 0)), _xlpm.topnlist)         ),         _xlpm.sortedlist     ) )</definedName>
    <definedName function="false" hidden="false" name="Get_TopN_list" vbProcedure="false">_xlfn.lambda(_xlpm.firsttopn,_xlpm.secondtopn,_xlpm.metric,_xlpm.fiscalperiodarray,_xlpm.fiscalrange,_xlpm.customerrange,_xlpm.metricnamerange,_xlpm.valuesrange,_xlop.showremaininginothers,_xlop.manualsorting,     _xlfn.let(         _xlpm.showremaining, IF(_xlfn.isomitted(_xlpm.showremaininginothers), "no", _xlpm.showremaininginothers),         _xlpm.topnlist, Input_Get_TopN_list(_xlpm.firsttopn, _xlpm.secondtopn, _xlpm.metric, _xlpm.fiscalperiodarray, _xlpm.fiscalrange, _xlpm.customerrange, _xlpm.metricnamerange, _xlpm.valuesrange, _xlpm.showremaining),         _xlpm.sortedlist, IF(OR(_xlfn.isomitted(_xlpm.manualsorting), ISBLANK(_xlpm.manualsorting), _xlpm.manualsorting="no"),             _xlpm.topnlist,             IF(_xlpm.manualsorting="Yes", _xlfn.sortby(_xlpm.topnlist, MATCH(_xlpm.topnlist, TopN_manual_sorting, 0)), _xlpm.topnlist)         ),         _xlpm.sortedlist     ) )</definedName>
    <definedName function="false" hidden="false" name="Get_top_N_filtered" vbProcedure="false">_xlfn.lambda(_xlpm.firsttopn,_xlpm.secondtopn,_xlpm.metric,_xlpm.fiscalrange,_xlpm.customerrange,_xlpm.metricnamerange,_xlpm.valuesrange,_xlpm.showremaininginothers,_xlpm.filtercolumndata,_xlpm.filter1,_xlpm.filter2,_xlpm.filter3,     IF(         AND(             OR(ISBLANK(_xlpm.filtercolumndata), _xlfn.IFNA(_xlpm.filtercolumndata, "") = ""),             OR(ISBLANK(_xlpm.filter1), _xlfn.IFNA(_xlpm.filter1, "") = ""),             OR(ISBLANK(_xlpm.filter2), _xlfn.IFNA(_xlpm.filter2, "") = ""),             OR(ISBLANK(_xlpm.filter3), _xlfn.IFNA(_xlpm.filter3, "") = "")         ),         _xlfn.IFNA(             _xlfn.hstack("", Input_Get_TopN_list(_xlpm.firsttopn, _xlpm.secondtopn, _xlpm.metric, Top_N_Sorting, _xlpm.fiscalrange, _xlpm.customerrange, _xlpm.metricnamerange, _xlpm.valuesrange, _xlpm.showremaininginothers)),             ""         ),         Filtered_topN(_xlpm.firsttopn, _xlpm.secondtopn, _xlpm.metric, _xlpm.fiscalrange, _xlpm.customerrange, _xlpm.metricnamerange, _xlpm.valuesrange, _xlpm.filtercolumndata, _xlpm.filter1, _xlpm.filter2, _xlpm.filter3, _xlpm.showremaininginothers)     ) )</definedName>
    <definedName function="false" hidden="true" name="gf" vbProcedure="false">{#N/A,#N/A,FALSE,"KA CH  (2)"}</definedName>
    <definedName function="false" hidden="true" name="gfbg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fbns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d" vbProcedure="false">{#N/A,"PURCHM",FALSE,"Business Analysis";#N/A,"SPADD",FALSE,"Business Analysis"}</definedName>
    <definedName function="false" hidden="true" name="gfdf" vbProcedure="false">{"Units A",#N/A,FALSE,"FY95SLS";"Units B",#N/A,FALSE,"FY95SLS"}</definedName>
    <definedName function="false" hidden="true" name="gfdgdfgrdf" vbProcedure="false">{#N/A,#N/A,FALSE,"3";#N/A,#N/A,FALSE,"5";#N/A,#N/A,FALSE,"6";#N/A,#N/A,FALSE,"8";#N/A,#N/A,FALSE,"10";#N/A,#N/A,FALSE,"13";#N/A,#N/A,FALSE,"14";#N/A,#N/A,FALSE,"15";#N/A,#N/A,FALSE,"16"}</definedName>
    <definedName function="false" hidden="true" name="gfdhadf" vbProcedure="false">#REF!</definedName>
    <definedName function="false" hidden="true" name="gfdhgfh" vbProcedure="false">{"Units A",#N/A,FALSE,"FY95SLS";"Units B",#N/A,FALSE,"FY95SLS"}</definedName>
    <definedName function="false" hidden="true" name="gfdjhjh" vbProcedure="false">{#N/A,#N/A,FALSE,"Pharm";#N/A,#N/A,FALSE,"WWCM"}</definedName>
    <definedName function="false" hidden="true" name="gfds" vbProcedure="false">{"oct_res_comm",#N/A,FALSE,"VarToBud"}</definedName>
    <definedName function="false" hidden="true" name="gfdsg" vbProcedure="false">{#N/A,#N/A,FALSE,"3";#N/A,#N/A,FALSE,"5";#N/A,#N/A,FALSE,"6";#N/A,#N/A,FALSE,"8";#N/A,#N/A,FALSE,"10";#N/A,#N/A,FALSE,"13";#N/A,#N/A,FALSE,"14";#N/A,#N/A,FALSE,"15";#N/A,#N/A,FALSE,"16"}</definedName>
    <definedName function="false" hidden="true" name="gff" vbProcedure="false">{"sweden",#N/A,FALSE,"Sweden";"germany",#N/A,FALSE,"Germany";"portugal",#N/A,FALSE,"Portugal";"belgium",#N/A,FALSE,"Belgium";"japan",#N/A,FALSE,"Japan ";"italy",#N/A,FALSE,"Italy";"spain",#N/A,FALSE,"Spain";"korea",#N/A,FALSE,"Korea"}</definedName>
    <definedName function="false" hidden="true" name="gffdsgfds" vbProcedure="false">{#N/A,#N/A,FALSE,"3";#N/A,#N/A,FALSE,"5";#N/A,#N/A,FALSE,"6";#N/A,#N/A,FALSE,"8";#N/A,#N/A,FALSE,"10";#N/A,#N/A,FALSE,"13";#N/A,#N/A,FALSE,"14";#N/A,#N/A,FALSE,"15";#N/A,#N/A,FALSE,"16"}</definedName>
    <definedName function="false" hidden="true" name="gfg" vbProcedure="false">{"Pound Sterling",#N/A,TRUE,"PPD";"Pound Sterling",#N/A,TRUE,"Anaquest";"Pound Sterling",#N/A,TRUE,"Delta";"Pound Sterling",#N/A,TRUE,"INO"}</definedName>
    <definedName function="false" hidden="true" name="gfghdfgdf" vbProcedure="false">{#N/A,#N/A,FALSE,"Umsatz CH";#N/A,#N/A,FALSE,"ER CH";#N/A,#N/A,FALSE,"EA CH (2) ";#N/A,#N/A,FALSE,"EA CH";#N/A,#N/A,FALSE,"EA CH (3) ";#N/A,#N/A,FALSE,"EA CH (4)";#N/A,#N/A,FALSE,"KA CH";#N/A,#N/A,FALSE,"KA CH  (2)";#N/A,#N/A,FALSE,"KA CH  (3)";#N/A,#N/A,FALSE,"KA CH (4)"}</definedName>
    <definedName function="false" hidden="true" name="gfh" vbProcedure="false">{"Units A",#N/A,FALSE,"FY95SLS";"Units B",#N/A,FALSE,"FY95SLS"}</definedName>
    <definedName function="false" hidden="true" name="gfhfgh" vbProcedure="false">{#N/A,#N/A,FALSE,"Umsatz HM";#N/A,#N/A,FALSE,"ER HM";#N/A,#N/A,FALSE,"EA HM  (2)";#N/A,#N/A,FALSE,"EA HM ";#N/A,#N/A,FALSE,"EA HM  (4)";#N/A,#N/A,FALSE,"EA HM  (3)";#N/A,#N/A,FALSE,"KA HM  (2)";#N/A,#N/A,FALSE,"KA HM";#N/A,#N/A,FALSE,"KA HM  (3)";#N/A,#N/A,FALSE,"KA HM (4)"}</definedName>
    <definedName function="false" hidden="true" name="gfhfghgsdfghfg" vbProcedure="false">{#N/A,#N/A,FALSE,"Umsatz 99";#N/A,#N/A,FALSE,"ER 99 "}</definedName>
    <definedName function="false" hidden="true" name="gfhh" vbProcedure="false">{#N/A,#N/A,FALSE,"Umsatz CH";#N/A,#N/A,FALSE,"ER CH";#N/A,#N/A,FALSE,"EA CH (2) ";#N/A,#N/A,FALSE,"EA CH";#N/A,#N/A,FALSE,"EA CH (3) ";#N/A,#N/A,FALSE,"EA CH (4)";#N/A,#N/A,FALSE,"KA CH";#N/A,#N/A,FALSE,"KA CH  (2)";#N/A,#N/A,FALSE,"KA CH  (3)";#N/A,#N/A,FALSE,"KA CH (4)"}</definedName>
    <definedName function="false" hidden="true" name="gfhraegt" vbProcedure="false">{"Units A",#N/A,FALSE,"FY95SLS";"Units B",#N/A,FALSE,"FY95SLS"}</definedName>
    <definedName function="false" hidden="true" name="gfhrhtrh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hs" vbProcedure="false">{"Sum WW A",#N/A,FALSE,"FY95SLS";"Sum WW B",#N/A,FALSE,"FY95SLS";"Sum US A",#N/A,FALSE,"FY95SLS";"Sum US B",#N/A,FALSE,"FY95SLS";"Sum US Bocg",#N/A,FALSE,"FY95SLS";"Sum Can A",#N/A,FALSE,"FY95SLS";"Sum Can B",#N/A,FALSE,"FY95SLS";"Sum Europe",#N/A,FALSE,"FY95SLS";"Sum Row",#N/A,FALSE,"FY95SLS"}</definedName>
    <definedName function="false" hidden="true" name="gfhsdfg" vbProcedure="false">{"US Dollars",#N/A,TRUE,"PPD";"US Dollar",#N/A,TRUE,"Anaquest";"US Dollar",#N/A,TRUE,"Delta";"US Dollar",#N/A,TRUE,"INO"}</definedName>
    <definedName function="false" hidden="true" name="gfhwrth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hwt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fhwthw"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fhwtr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j" vbProcedure="false">{"Pound Sterling",#N/A,TRUE,"PPD";"Pound Sterling",#N/A,TRUE,"Anaquest";"Pound Sterling",#N/A,TRUE,"Delta";"Pound Sterling",#N/A,TRUE,"INO"}</definedName>
    <definedName function="false" hidden="true" name="gfjgfj" vbProcedure="false">{"US Dollars",#N/A,TRUE,"PPD";"US Dollar",#N/A,TRUE,"Anaquest";"US Dollar",#N/A,TRUE,"Delta";"US Dollar",#N/A,TRUE,"INO"}</definedName>
    <definedName function="false" hidden="true" name="gfjgfjgf" vbProcedure="false">{"Sum WW A",#N/A,FALSE,"FY95SLS";"Sum WW B",#N/A,FALSE,"FY95SLS";"Sum US A",#N/A,FALSE,"FY95SLS";"Sum US B",#N/A,FALSE,"FY95SLS";"Sum US Bocg",#N/A,FALSE,"FY95SLS";"Sum Can A",#N/A,FALSE,"FY95SLS";"Sum Can B",#N/A,FALSE,"FY95SLS";"Sum Europe",#N/A,FALSE,"FY95SLS";"Sum Row",#N/A,FALSE,"FY95SLS"}</definedName>
    <definedName function="false" hidden="true" name="gfmjgf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reg" vbProcedure="false">{"Units A",#N/A,FALSE,"FY95SLS";"Units B",#N/A,FALSE,"FY95SLS"}</definedName>
    <definedName function="false" hidden="true" name="gfrr" vbProcedure="false">{#N/A,#N/A,FALSE,"Umsatz 99";#N/A,#N/A,FALSE,"ER 99 "}</definedName>
    <definedName function="false" hidden="true" name="gfs"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FSDFS" vbProcedure="false">{#N/A,#N/A,FALSE,"FScover";#N/A,#N/A,FALSE,"Balsht";#N/A,#N/A,FALSE,"income";#N/A,#N/A,FALSE,"cashflw";#N/A,#N/A,FALSE,"g&amp;a";#N/A,#N/A,FALSE,"cos"}</definedName>
    <definedName function="false" hidden="true" name="gg" vbProcedure="false">{#N/A,#N/A,FALSE,"Umsatz EO BP";#N/A,#N/A,FALSE,"Umsatz EO OP";#N/A,#N/A,FALSE,"ER EO BP";#N/A,#N/A,FALSE,"ER EO OP";#N/A,#N/A,FALSE,"EA EO (2)";#N/A,#N/A,FALSE,"EA EO";#N/A,#N/A,FALSE,"EA EO (3)";#N/A,#N/A,FALSE,"EA EO (4)";#N/A,#N/A,FALSE,"KA EO  (2)";#N/A,#N/A,FALSE,"KA EO";#N/A,#N/A,FALSE,"KA EO  (3)";#N/A,#N/A,FALSE,"KA EO (4)"}</definedName>
    <definedName function="false" hidden="true" name="ggf" vbProcedure="false">{"comps",#N/A,FALSE,"comps";"notes",#N/A,FALSE,"comps"}</definedName>
    <definedName function="false" hidden="true" name="ggfhwty" vbProcedure="false">{"Units A",#N/A,FALSE,"FY95SLS";"Units B",#N/A,FALSE,"FY95SLS"}</definedName>
    <definedName function="false" hidden="true" name="ggg" vbProcedure="false">{#N/A,#N/A,FALSE,"DIR-REP";#N/A,#N/A,FALSE,"AUD-REPORT";#N/A,#N/A,FALSE,"P7L&amp;BS";#N/A,#N/A,FALSE,"NOTES";#N/A,#N/A,FALSE,"FA";#N/A,#N/A,FALSE,"NOTES (2)";#N/A,#N/A,FALSE,"Schedule  IV";#N/A,#N/A,FALSE,"Schedule V"}</definedName>
    <definedName function="false" hidden="true" name="gggg" vbProcedure="false">{#N/A,#N/A,FALSE,"Umsatz 99";#N/A,#N/A,FALSE,"ER 99 "}</definedName>
    <definedName function="false" hidden="true" name="ggggg" vbProcedure="false">{"budget992000_customers",#N/A,FALSE,"Celtel alternative 6"}</definedName>
    <definedName function="false" hidden="true" name="gggggg" vbProcedure="false">{#N/A,#N/A,FALSE,"Presentation by Unit";#N/A,#N/A,FALSE,"Presentation by BD";#N/A,#N/A,FALSE,"Presentation Split by Biggest U";#N/A,#N/A,FALSE,"Presentation Split by Area";#N/A,#N/A,FALSE,"Presentation Split by BD"}</definedName>
    <definedName function="false" hidden="true" name="ggggggg" vbProcedure="false">{"budget992000 profit and loss",#N/A,FALSE,"Celtel alternative 6"}</definedName>
    <definedName function="false" hidden="true" name="gggggggg" vbProcedure="false">{#N/A,#N/A,FALSE,"3";#N/A,#N/A,FALSE,"5";#N/A,#N/A,FALSE,"6";#N/A,#N/A,FALSE,"8";#N/A,#N/A,FALSE,"10";#N/A,#N/A,FALSE,"13";#N/A,#N/A,FALSE,"14";#N/A,#N/A,FALSE,"15";#N/A,#N/A,FALSE,"16"}</definedName>
    <definedName function="false" hidden="true" name="GGGH" vbProcedure="false">{"stepel",#N/A,FALSE,"AHFSTEP"}</definedName>
    <definedName function="false" hidden="true" name="gghgjj" vbProcedure="false">{#N/A,#N/A,FALSE,"KPI-EMM-Graph";#N/A,#N/A,FALSE,"Cost Graph";#N/A,#N/A,FALSE,"Cash graph";#N/A,#N/A,FALSE,"Order Sales Graph"}</definedName>
    <definedName function="false" hidden="true" name="GGHH" vbProcedure="false">{#N/A,#N/A,FALSE,"ARCYLD"}</definedName>
    <definedName function="false" hidden="true" name="gh" vbProcedure="false">{"detail",#N/A,FALSE,"mfg";"summary",#N/A,FALSE,"mfg"}</definedName>
    <definedName function="false" hidden="true" name="ghdgh"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name="ghfgh" vbProcedure="false">{#N/A,#N/A,FALSE,"Umsatz CH";#N/A,#N/A,FALSE,"ER CH";#N/A,#N/A,FALSE,"EA CH (2) ";#N/A,#N/A,FALSE,"EA CH";#N/A,#N/A,FALSE,"EA CH (3) ";#N/A,#N/A,FALSE,"EA CH (4)";#N/A,#N/A,FALSE,"KA CH";#N/A,#N/A,FALSE,"KA CH  (2)";#N/A,#N/A,FALSE,"KA CH  (3)";#N/A,#N/A,FALSE,"KA CH (4)"}</definedName>
    <definedName function="false" hidden="true" name="ghfghg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hh" vbProcedure="false">{#N/A,#N/A,FALSE,"KA CH  (2)"}</definedName>
    <definedName function="false" hidden="true" name="ghhg" vbProcedure="false">{#N/A,#N/A,FALSE,"Presentation by Unit";#N/A,#N/A,FALSE,"Presentation by BD";#N/A,#N/A,FALSE,"Presentation Split by Biggest U";#N/A,#N/A,FALSE,"Presentation Split by Area";#N/A,#N/A,FALSE,"Presentation Split by BD"}</definedName>
    <definedName function="false" hidden="true" name="ghj" vbProcedure="false">{#N/A,#N/A,FALSE,"Umsatz CH";#N/A,#N/A,FALSE,"ER CH";#N/A,#N/A,FALSE,"EA CH (2) ";#N/A,#N/A,FALSE,"EA CH";#N/A,#N/A,FALSE,"EA CH (3) ";#N/A,#N/A,FALSE,"EA CH (4)";#N/A,#N/A,FALSE,"KA CH";#N/A,#N/A,FALSE,"KA CH  (2)";#N/A,#N/A,FALSE,"KA CH  (3)";#N/A,#N/A,FALSE,"KA CH (4)"}</definedName>
    <definedName function="false" hidden="true" name="ghj.ljj" vbProcedure="false">{#N/A,#N/A,FALSE,"Produkte Erw.";#N/A,#N/A,FALSE,"Produkte Plan";#N/A,#N/A,FALSE,"Leistungen Erw.";#N/A,#N/A,FALSE,"Leistungen Plan";#N/A,#N/A,FALSE,"KA Allg.Kosten (2)";#N/A,#N/A,FALSE,"KA All.Kosten"}</definedName>
    <definedName function="false" hidden="true" name="ghj.zz" vbProcedure="false">{#N/A,#N/A,FALSE,"Umsatz CH";#N/A,#N/A,FALSE,"ER CH";#N/A,#N/A,FALSE,"EA CH (2) ";#N/A,#N/A,FALSE,"EA CH";#N/A,#N/A,FALSE,"EA CH (3) ";#N/A,#N/A,FALSE,"EA CH (4)";#N/A,#N/A,FALSE,"KA CH";#N/A,#N/A,FALSE,"KA CH  (2)";#N/A,#N/A,FALSE,"KA CH  (3)";#N/A,#N/A,FALSE,"KA CH (4)"}</definedName>
    <definedName function="false" hidden="true" name="ghjdghjty" vbProcedure="false">{"Pound Sterling",#N/A,TRUE,"PPD";"Pound Sterling",#N/A,TRUE,"Anaquest";"Pound Sterling",#N/A,TRUE,"Delta";"Pound Sterling",#N/A,TRUE,"INO"}</definedName>
    <definedName function="false" hidden="true" name="ghjeth" vbProcedure="false">{"Pound Sterling",#N/A,TRUE,"PPD";"Pound Sterling",#N/A,TRUE,"Anaquest";"Pound Sterling",#N/A,TRUE,"Delta";"Pound Sterling",#N/A,TRUE,"INO"}</definedName>
    <definedName function="false" hidden="true" name="ghjggjh" vbProcedure="false">{#N/A,#N/A,FALSE,"Pharm";#N/A,#N/A,FALSE,"WWCM"}</definedName>
    <definedName function="false" hidden="true" name="ghjghjtyuu" vbProcedure="false">{"Units A",#N/A,FALSE,"FY95SLS";"Units B",#N/A,FALSE,"FY95SLS"}</definedName>
    <definedName function="false" hidden="true" name="ghjhgj" vbProcedure="false">{#N/A,#N/A,FALSE,"PMW Gruppe 99_98";#N/A,#N/A,FALSE,"PMW KG 98_99";#N/A,#N/A,FALSE,"PMW Inc. 99_98";#N/A,#N/A,FALSE,"PMW VTECH 99_98";#N/A,#N/A,FALSE,"PMW Thail. 99_98";#N/A,#N/A,FALSE,"PMW Canada 99_98";#N/A,#N/A,FALSE,"Währungsabw. 99_98"}</definedName>
    <definedName function="false" hidden="true" name="ghjhgjh" vbProcedure="false">{#N/A,#N/A,FALSE,"KA CH  (2)"}</definedName>
    <definedName function="false" hidden="true" name="ghjhj" vbProcedure="false">{#N/A,#N/A,FALSE,"Umsatz EO BP";#N/A,#N/A,FALSE,"Umsatz EO OP";#N/A,#N/A,FALSE,"ER EO BP";#N/A,#N/A,FALSE,"ER EO OP";#N/A,#N/A,FALSE,"EA EO (2)";#N/A,#N/A,FALSE,"EA EO";#N/A,#N/A,FALSE,"EA EO (3)";#N/A,#N/A,FALSE,"EA EO (4)";#N/A,#N/A,FALSE,"KA EO  (2)";#N/A,#N/A,FALSE,"KA EO";#N/A,#N/A,FALSE,"KA EO  (3)";#N/A,#N/A,FALSE,"KA EO (4)"}</definedName>
    <definedName function="false" hidden="true" name="ghjk"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ghk" vbProcedure="false">{#N/A,#N/A,FALSE,"PMW Gruppe 99_98";#N/A,#N/A,FALSE,"PMW KG 98_99";#N/A,#N/A,FALSE,"PMW Inc. 99_98";#N/A,#N/A,FALSE,"PMW VTECH 99_98";#N/A,#N/A,FALSE,"PMW Thail. 99_98";#N/A,#N/A,FALSE,"PMW Canada 99_98";#N/A,#N/A,FALSE,"Währungsabw. 99_98"}</definedName>
    <definedName function="false" hidden="true" name="ghketyk" vbProcedure="false">{"Units A",#N/A,FALSE,"FY95SLS";"Units B",#N/A,FALSE,"FY95SLS"}</definedName>
    <definedName function="false" hidden="true" name="ghkggh" vbProcedure="false">{#N/A,#N/A,FALSE,"3";#N/A,#N/A,FALSE,"5";#N/A,#N/A,FALSE,"6";#N/A,#N/A,FALSE,"8";#N/A,#N/A,FALSE,"10";#N/A,#N/A,FALSE,"13";#N/A,#N/A,FALSE,"14";#N/A,#N/A,FALSE,"15";#N/A,#N/A,FALSE,"16"}</definedName>
    <definedName function="false" hidden="true" name="ghkghk" vbProcedure="false">{#N/A,#N/A,FALSE,"3";#N/A,#N/A,FALSE,"5";#N/A,#N/A,FALSE,"6";#N/A,#N/A,FALSE,"8";#N/A,#N/A,FALSE,"10";#N/A,#N/A,FALSE,"13";#N/A,#N/A,FALSE,"14";#N/A,#N/A,FALSE,"15";#N/A,#N/A,FALSE,"16"}</definedName>
    <definedName function="false" hidden="true" name="ghkk" vbProcedure="false">{#N/A,#N/A,FALSE,"3";#N/A,#N/A,FALSE,"5";#N/A,#N/A,FALSE,"6";#N/A,#N/A,FALSE,"8";#N/A,#N/A,FALSE,"10";#N/A,#N/A,FALSE,"13";#N/A,#N/A,FALSE,"14";#N/A,#N/A,FALSE,"15";#N/A,#N/A,FALSE,"16"}</definedName>
    <definedName function="false" hidden="true" name="ghs"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huifd" vbProcedure="false">{#N/A,"PURCHM",FALSE,"Business Analysis";#N/A,"SPADD",FALSE,"Business Analysis"}</definedName>
    <definedName function="false" hidden="true" name="ghwhth" vbProcedure="false">{"Units A",#N/A,FALSE,"FY95SLS";"Units B",#N/A,FALSE,"FY95SLS"}</definedName>
    <definedName function="false" hidden="true" name="ghwrthwrh" vbProcedure="false">{"Pound Sterling",#N/A,TRUE,"PPD";"Pound Sterling",#N/A,TRUE,"Anaquest";"Pound Sterling",#N/A,TRUE,"Delta";"Pound Sterling",#N/A,TRUE,"INO"}</definedName>
    <definedName function="false" hidden="true" name="gjaeofjfa" vbProcedure="false">{#N/A,#N/A,FALSE,"CONTENTS";#N/A,#N/A,FALSE,"DR";#N/A,#N/A,FALSE,"PL";#N/A,#N/A,FALSE,"BS";#N/A,#N/A,FALSE,"Cash Flow";#N/A,#N/A,FALSE,"NOTES";#N/A,#N/A,FALSE,"NOTES (FA)";#N/A,#N/A,FALSE,"Notes(3)";#N/A,#N/A,FALSE,"NOTES (4)";#N/A,#N/A,FALSE,"DP&amp;L";#N/A,#N/A,FALSE,"EXPENSES";#N/A,#N/A,FALSE,"EXPENSES-1"}</definedName>
    <definedName function="false" hidden="true" name="gjaeoj" vbProcedure="false">{#N/A,#N/A,FALSE,"TB";#N/A,#N/A,FALSE,"DR";#N/A,#N/A,FALSE,"AR";#N/A,#N/A,FALSE,"PL";#N/A,#N/A,FALSE,"BS";#N/A,#N/A,FALSE,"NOTES";#N/A,#N/A,FALSE,"NOTES (2)";#N/A,#N/A,FALSE,"NOTES (3)";#N/A,#N/A,FALSE,"DPL";#N/A,#N/A,FALSE,"TAXC.INDEX";#N/A,#N/A,FALSE,"Schedule I";#N/A,#N/A,FALSE,"Adjustments"}</definedName>
    <definedName function="false" hidden="true" name="gjafoe" vbProcedure="false">{#N/A,#N/A,TRUE,"COVER";#N/A,#N/A,TRUE,"DIR";#N/A,#N/A,TRUE,"AUDIT"}</definedName>
    <definedName function="false" hidden="true" name="gjafoeaf" vbProcedure="false">{#N/A,#N/A,FALSE,"DIR-REP";#N/A,#N/A,FALSE,"AUD-REPORT";#N/A,#N/A,FALSE,"P7L&amp;BS";#N/A,#N/A,FALSE,"NOTES";#N/A,#N/A,FALSE,"FA";#N/A,#N/A,FALSE,"NOTES (2)";#N/A,#N/A,FALSE,"Schedule  IV";#N/A,#N/A,FALSE,"Schedule V"}</definedName>
    <definedName function="false" hidden="true" name="gjafoejf" vbProcedure="false">{#N/A,#N/A,FALSE,"DIR-REP";#N/A,#N/A,FALSE,"AUD-REPORT";#N/A,#N/A,FALSE,"P7L&amp;BS";#N/A,#N/A,FALSE,"NOTES";#N/A,#N/A,FALSE,"FA";#N/A,#N/A,FALSE,"NOTES (2)";#N/A,#N/A,FALSE,"Schedule  IV";#N/A,#N/A,FALSE,"Schedule V"}</definedName>
    <definedName function="false" hidden="true" name="gjafoejfa" vbProcedure="false">{#N/A,#N/A,FALSE,"TB";#N/A,#N/A,FALSE,"DR";#N/A,#N/A,FALSE,"AR";#N/A,#N/A,FALSE,"PL";#N/A,#N/A,FALSE,"BS";#N/A,#N/A,FALSE,"NOTES";#N/A,#N/A,FALSE,"NOTES (2)";#N/A,#N/A,FALSE,"NOTES (3)";#N/A,#N/A,FALSE,"DPL";#N/A,#N/A,FALSE,"TAXC.INDEX";#N/A,#N/A,FALSE,"Schedule I";#N/A,#N/A,FALSE,"Adjustments"}</definedName>
    <definedName function="false" hidden="true" name="gjafos" vbProcedure="false">{#N/A,#N/A,FALSE,"TB";#N/A,#N/A,FALSE,"AR";#N/A,#N/A,FALSE,"BS";#N/A,#N/A,FALSE,"PL";#N/A,#N/A,FALSE,"NOTES";#N/A,#N/A,FALSE,"NOTES (2)";#N/A,#N/A,FALSE,"NOTES (3)";#N/A,#N/A,FALSE,"TAXC.INDEX";#N/A,#N/A,FALSE,"Schedule I";#N/A,#N/A,FALSE,"DPL";#N/A,#N/A,FALSE,"Schedule IV";#N/A,#N/A,FALSE,"Adjustments"}</definedName>
    <definedName function="false" hidden="true" name="gjajeofa" vbProcedure="false">{#N/A,#N/A,FALSE,"TB";#N/A,#N/A,FALSE,"AR";#N/A,#N/A,FALSE,"BS";#N/A,#N/A,FALSE,"PL";#N/A,#N/A,FALSE,"NOTES";#N/A,#N/A,FALSE,"NOTES (2)";#N/A,#N/A,FALSE,"NOTES (3)";#N/A,#N/A,FALSE,"TAXC.INDEX";#N/A,#N/A,FALSE,"Schedule I";#N/A,#N/A,FALSE,"DPL";#N/A,#N/A,FALSE,"Schedule IV";#N/A,#N/A,FALSE,"Adjustments"}</definedName>
    <definedName function="false" hidden="true" name="gjaoejfa" vbProcedure="false">{#N/A,#N/A,FALSE,"TB";#N/A,#N/A,FALSE,"DR";#N/A,#N/A,FALSE,"AR";#N/A,#N/A,FALSE,"BS";#N/A,#N/A,FALSE,"PL";#N/A,#N/A,FALSE,"NOTES";#N/A,#N/A,FALSE,"NOTES (2)";#N/A,#N/A,FALSE,"NOTES (3)";#N/A,#N/A,FALSE,"DPL";#N/A,#N/A,FALSE,"DPL"}</definedName>
    <definedName function="false" hidden="true" name="gjdft" vbProcedure="false">{"Sum WW A",#N/A,FALSE,"FY95SLS";"Sum WW B",#N/A,FALSE,"FY95SLS";"Sum US A",#N/A,FALSE,"FY95SLS";"Sum US B",#N/A,FALSE,"FY95SLS";"Sum US Bocg",#N/A,FALSE,"FY95SLS";"Sum Can A",#N/A,FALSE,"FY95SLS";"Sum Can B",#N/A,FALSE,"FY95SLS";"Sum Europe",#N/A,FALSE,"FY95SLS";"Sum Row",#N/A,FALSE,"FY95SLS"}</definedName>
    <definedName function="false" hidden="true" name="gjeo" vbProcedure="false">{#N/A,#N/A,FALSE,"DIR-REP";#N/A,#N/A,FALSE,"AUD-REPORT";#N/A,#N/A,FALSE,"P7L&amp;BS";#N/A,#N/A,FALSE,"NOTES";#N/A,#N/A,FALSE,"FA";#N/A,#N/A,FALSE,"NOTES (2)";#N/A,#N/A,FALSE,"Schedule  IV";#N/A,#N/A,FALSE,"Schedule V"}</definedName>
    <definedName function="false" hidden="true" name="GJGJGJG" vbProcedure="false">{#N/A,#N/A,FALSE,"00 P&amp;L vs 99"}</definedName>
    <definedName function="false" hidden="true" name="gjh" vbProcedure="false">{#N/A,#N/A,FALSE,"Umsatz 99";#N/A,#N/A,FALSE,"ER 99 "}</definedName>
    <definedName function="false" hidden="true" name="gjk" vbProcedure="false">{#N/A,#N/A,FALSE,"Umsatz HM";#N/A,#N/A,FALSE,"ER HM";#N/A,#N/A,FALSE,"EA HM  (2)";#N/A,#N/A,FALSE,"EA HM ";#N/A,#N/A,FALSE,"EA HM  (4)";#N/A,#N/A,FALSE,"EA HM  (3)";#N/A,#N/A,FALSE,"KA HM  (2)";#N/A,#N/A,FALSE,"KA HM";#N/A,#N/A,FALSE,"KA HM  (3)";#N/A,#N/A,FALSE,"KA HM (4)"}</definedName>
    <definedName function="false" hidden="true" name="gjos" vbProcedure="false">{#N/A,#N/A,FALSE,"TAXC.INDEX";#N/A,#N/A,FALSE,"Schedule I";#N/A,#N/A,FALSE,"Schedule  II";#N/A,#N/A,FALSE,"Schedule III"}</definedName>
    <definedName function="false" hidden="false" name="GJPRIS" vbProcedure="false">#REF!</definedName>
    <definedName function="false" hidden="true" name="gjs"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jty"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jtyu" vbProcedure="false">{"Sum WW A",#N/A,FALSE,"FY95SLS";"Sum WW B",#N/A,FALSE,"FY95SLS";"Sum US A",#N/A,FALSE,"FY95SLS";"Sum US B",#N/A,FALSE,"FY95SLS";"Sum US Bocg",#N/A,FALSE,"FY95SLS";"Sum Can A",#N/A,FALSE,"FY95SLS";"Sum Can B",#N/A,FALSE,"FY95SLS";"Sum Europe",#N/A,FALSE,"FY95SLS";"Sum Row",#N/A,FALSE,"FY95SLS"}</definedName>
    <definedName function="false" hidden="true" name="gkgfkghkffg" vbProcedure="false">{#N/A,#N/A,FALSE,"3";#N/A,#N/A,FALSE,"5";#N/A,#N/A,FALSE,"6";#N/A,#N/A,FALSE,"8";#N/A,#N/A,FALSE,"10";#N/A,#N/A,FALSE,"13";#N/A,#N/A,FALSE,"14";#N/A,#N/A,FALSE,"15";#N/A,#N/A,FALSE,"16"}</definedName>
    <definedName function="false" hidden="true" name="gkgfyui"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kghk" vbProcedure="false">{#N/A,#N/A,FALSE,"3";#N/A,#N/A,FALSE,"5";#N/A,#N/A,FALSE,"6";#N/A,#N/A,FALSE,"8";#N/A,#N/A,FALSE,"10";#N/A,#N/A,FALSE,"13";#N/A,#N/A,FALSE,"14";#N/A,#N/A,FALSE,"15";#N/A,#N/A,FALSE,"16"}</definedName>
    <definedName function="false" hidden="true" name="gkghkg" vbProcedure="false">{#N/A,#N/A,FALSE,"3";#N/A,#N/A,FALSE,"5";#N/A,#N/A,FALSE,"6";#N/A,#N/A,FALSE,"8";#N/A,#N/A,FALSE,"10";#N/A,#N/A,FALSE,"13";#N/A,#N/A,FALSE,"14";#N/A,#N/A,FALSE,"15";#N/A,#N/A,FALSE,"16"}</definedName>
    <definedName function="false" hidden="true" name="gkhkgh" vbProcedure="false">{#N/A,#N/A,FALSE,"3";#N/A,#N/A,FALSE,"5";#N/A,#N/A,FALSE,"6";#N/A,#N/A,FALSE,"8";#N/A,#N/A,FALSE,"10";#N/A,#N/A,FALSE,"13";#N/A,#N/A,FALSE,"14";#N/A,#N/A,FALSE,"15";#N/A,#N/A,FALSE,"16"}</definedName>
    <definedName function="false" hidden="true" name="gkhkhk" vbProcedure="false">{#N/A,#N/A,FALSE,"3";#N/A,#N/A,FALSE,"5";#N/A,#N/A,FALSE,"6";#N/A,#N/A,FALSE,"8";#N/A,#N/A,FALSE,"10";#N/A,#N/A,FALSE,"13";#N/A,#N/A,FALSE,"14";#N/A,#N/A,FALSE,"15";#N/A,#N/A,FALSE,"16"}</definedName>
    <definedName function="false" hidden="true" name="gkjgkgh" vbProcedure="false">{#N/A,#N/A,FALSE,"3";#N/A,#N/A,FALSE,"5";#N/A,#N/A,FALSE,"6";#N/A,#N/A,FALSE,"8";#N/A,#N/A,FALSE,"10";#N/A,#N/A,FALSE,"13";#N/A,#N/A,FALSE,"14";#N/A,#N/A,FALSE,"15";#N/A,#N/A,FALSE,"16"}</definedName>
    <definedName function="false" hidden="true" name="gkjjk" vbProcedure="false">{#N/A,#N/A,FALSE,"Umsatz CH";#N/A,#N/A,FALSE,"ER CH";#N/A,#N/A,FALSE,"EA CH (2) ";#N/A,#N/A,FALSE,"EA CH";#N/A,#N/A,FALSE,"EA CH (3) ";#N/A,#N/A,FALSE,"EA CH (4)";#N/A,#N/A,FALSE,"KA CH";#N/A,#N/A,FALSE,"KA CH  (2)";#N/A,#N/A,FALSE,"KA CH  (3)";#N/A,#N/A,FALSE,"KA CH (4)"}</definedName>
    <definedName function="false" hidden="true" name="GlideChartMarker" vbProcedure="false">"Chart!A1"</definedName>
    <definedName function="false" hidden="true" name="GlideDataMarker" vbProcedure="false">"Data!A1"</definedName>
    <definedName function="false" hidden="true" name="GlideHiddenMarker" vbProcedure="false">"Costcurvedata!A1"</definedName>
    <definedName function="false" hidden="true" name="GlideMaxCharts" vbProcedure="false">7</definedName>
    <definedName function="false" hidden="true" name="Global1" vbProcedure="false">{#N/A,#N/A,FALSE,"Pharm";#N/A,#N/A,FALSE,"WWCM"}</definedName>
    <definedName function="false" hidden="true" name="glot" vbProcedure="false">{#N/A,#N/A,FALSE,"DIR-REP";#N/A,#N/A,FALSE,"AUD-REPORT";#N/A,#N/A,FALSE,"P7L&amp;BS";#N/A,#N/A,FALSE,"NOTES";#N/A,#N/A,FALSE,"FA";#N/A,#N/A,FALSE,"NOTES (2)";#N/A,#N/A,FALSE,"Schedule  IV";#N/A,#N/A,FALSE,"Schedule V"}</definedName>
    <definedName function="false" hidden="true" name="gnfnwrh" vbProcedure="false">{"Pound Sterling",#N/A,TRUE,"PPD";"Pound Sterling",#N/A,TRUE,"Anaquest";"Pound Sterling",#N/A,TRUE,"Delta";"Pound Sterling",#N/A,TRUE,"INO"}</definedName>
    <definedName function="false" hidden="true" name="gnhjsfh" vbProcedure="false">{"Pound Sterling",#N/A,TRUE,"PPD";"Pound Sterling",#N/A,TRUE,"Anaquest";"Pound Sterling",#N/A,TRUE,"Delta";"Pound Sterling",#N/A,TRUE,"INO"}</definedName>
    <definedName function="false" hidden="true" name="gnhtr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nmjgf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false" name="GNSCAD" vbProcedure="false">#REF!</definedName>
    <definedName function="false" hidden="false" name="GNSEUR" vbProcedure="false">#REF!</definedName>
    <definedName function="false" hidden="true" name="gnsfg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false" name="GNSHKD" vbProcedure="false">#REF!</definedName>
    <definedName function="false" hidden="false" name="GNSNOK" vbProcedure="false">#REF!</definedName>
    <definedName function="false" hidden="false" name="GNSSAR" vbProcedure="false">#REF!</definedName>
    <definedName function="false" hidden="false" name="GNSTRY" vbProcedure="false">#REF!</definedName>
    <definedName function="false" hidden="false" name="GNSUSD" vbProcedure="false">#REF!</definedName>
    <definedName function="false" hidden="true" name="go"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goengt" vbProcedure="false">{#N/A,#N/A,FALSE,"TB";#N/A,#N/A,FALSE,"DR";#N/A,#N/A,FALSE,"AR";#N/A,#N/A,FALSE,"PL";#N/A,#N/A,FALSE,"BS";#N/A,#N/A,FALSE,"NOTES";#N/A,#N/A,FALSE,"NOTES (2)";#N/A,#N/A,FALSE,"NOTES (3)";#N/A,#N/A,FALSE,"DPL";#N/A,#N/A,FALSE,"TAXC.INDEX";#N/A,#N/A,FALSE,"Schedule I";#N/A,#N/A,FALSE,"Adjustments"}</definedName>
    <definedName function="false" hidden="true" name="gogo" vbProcedure="false">{#N/A,#N/A,TRUE,"Cover sheet";#N/A,#N/A,TRUE,"INPUTS";#N/A,#N/A,TRUE,"OUTPUTS";#N/A,#N/A,TRUE,"VALUATION"}</definedName>
    <definedName function="false" hidden="true" name="goodbye" vbProcedure="false">{#N/A,#N/A,FALSE,"Cover";"Short outputs",#N/A,FALSE,"Outputs";#N/A,#N/A,FALSE,"Control (In)";"tesco summary",#N/A,FALSE,"Tesco";"Outputs and Co summaries",#N/A,FALSE,"Sainsbury";"Outputs and Co Summaries",#N/A,FALSE,"Carrefour";"Outputs and Co summaries",#N/A,FALSE,"Co D";"Outputs and Co summaries",#N/A,FALSE,"Co E"}</definedName>
    <definedName function="false" hidden="true" name="Goodrich" vbProcedure="false">{"comp1",#N/A,FALSE,"COMPS";"footnotes",#N/A,FALSE,"COMPS"}</definedName>
    <definedName function="false" hidden="true" name="graefd" vbProcedure="false">{"werbung",#N/A,FALSE,"GuV9900-0399";"betrieb",#N/A,FALSE,"GuV9900-0399";"personal",#N/A,FALSE,"GuV9900-0399";"tvg",#N/A,FALSE,"GuV9900-0399";"verwaltung",#N/A,FALSE,"GuV9900-0399"}</definedName>
    <definedName function="false" hidden="true" name="graham" vbProcedure="false">{"ICD Details",#N/A,FALSE,"Current Yr";"ICD Details",#N/A,FALSE,"Budget";"ICD Details",#N/A,FALSE,"Prior Year"}</definedName>
    <definedName function="false" hidden="true" name="graph" vbProcedure="false">{#N/A,#N/A,FALSE,"REPORT"}</definedName>
    <definedName function="false" hidden="true" name="graph2"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Graphs" vbProcedure="false">main.sapf4help()</definedName>
    <definedName function="false" hidden="true" name="graph_bincome2" vbProcedure="false">#N/A</definedName>
    <definedName function="false" hidden="true" name="Graph_Xdriver" vbProcedure="false">#N/A</definedName>
    <definedName function="false" hidden="true" name="grghfgfg" vbProcedure="false">{#N/A,#N/A,FALSE,"Umsatz CH";#N/A,#N/A,FALSE,"ER CH";#N/A,#N/A,FALSE,"EA CH (2) ";#N/A,#N/A,FALSE,"EA CH";#N/A,#N/A,FALSE,"EA CH (3) ";#N/A,#N/A,FALSE,"EA CH (4)";#N/A,#N/A,FALSE,"KA CH";#N/A,#N/A,FALSE,"KA CH  (2)";#N/A,#N/A,FALSE,"KA CH  (3)";#N/A,#N/A,FALSE,"KA CH (4)"}</definedName>
    <definedName function="false" hidden="true" name="grhwrhtr" vbProcedure="false">{"Pound Sterling",#N/A,TRUE,"PPD";"Pound Sterling",#N/A,TRUE,"Anaquest";"Pound Sterling",#N/A,TRUE,"Delta";"Pound Sterling",#N/A,TRUE,"INO"}</definedName>
    <definedName function="false" hidden="true" name="grhwthq"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rowth" vbProcedure="false">{#N/A,#N/A,FALSE,"00 P&amp;L vs 99"}</definedName>
    <definedName function="false" hidden="true" name="grqgqer" vbProcedure="false">{"Units A",#N/A,FALSE,"FY95SLS";"Units B",#N/A,FALSE,"FY95SLS"}</definedName>
    <definedName function="false" hidden="true" name="grtg" vbProcedure="false">{"Units A",#N/A,FALSE,"FY95SLS";"Units B",#N/A,FALSE,"FY95SLS"}</definedName>
    <definedName function="false" hidden="true" name="gsdf" vbProcedure="false">{"Pound Sterling",#N/A,TRUE,"PPD";"Pound Sterling",#N/A,TRUE,"Anaquest";"Pound Sterling",#N/A,TRUE,"Delta";"Pound Sterling",#N/A,TRUE,"INO"}</definedName>
    <definedName function="false" hidden="true" name="gsfgs" vbProcedure="false">{#N/A,#N/A,FALSE,"00 P&amp;L vs 99"}</definedName>
    <definedName function="false" hidden="true" name="gsgseg" vbProcedure="false">{"Units A",#N/A,FALSE,"FY95SLS";"Units B",#N/A,FALSE,"FY95SLS"}</definedName>
    <definedName function="false" hidden="true" name="gshtryt"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gsrgr" vbProcedure="false">{"Sum WW A",#N/A,FALSE,"FY95SLS";"Sum WW B",#N/A,FALSE,"FY95SLS";"Sum US A",#N/A,FALSE,"FY95SLS";"Sum US B",#N/A,FALSE,"FY95SLS";"Sum US Bocg",#N/A,FALSE,"FY95SLS";"Sum Can A",#N/A,FALSE,"FY95SLS";"Sum Can B",#N/A,FALSE,"FY95SLS";"Sum Europe",#N/A,FALSE,"FY95SLS";"Sum Row",#N/A,FALSE,"FY95SLS"}</definedName>
    <definedName function="false" hidden="true" name="gtrh" vbProcedure="false">{"Units A",#N/A,FALSE,"FY95SLS";"Units B",#N/A,FALSE,"FY95SLS"}</definedName>
    <definedName function="false" hidden="true" name="gty" vbProcedure="false">{"QTD_PACKAGE",#N/A,FALSE,"QTD"}</definedName>
    <definedName function="false" hidden="true" name="guoi" vbProcedure="false">{#N/A,#N/A,FALSE,"3";#N/A,#N/A,FALSE,"5";#N/A,#N/A,FALSE,"6";#N/A,#N/A,FALSE,"8";#N/A,#N/A,FALSE,"10";#N/A,#N/A,FALSE,"13";#N/A,#N/A,FALSE,"14";#N/A,#N/A,FALSE,"15";#N/A,#N/A,FALSE,"16"}</definedName>
    <definedName function="false" hidden="true" name="gv"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h.ll" vbProcedure="false">{#N/A,#N/A,FALSE,"PMW Gruppe 99_98";#N/A,#N/A,FALSE,"PMW KG 98_99";#N/A,#N/A,FALSE,"PMW Inc. 99_98";#N/A,#N/A,FALSE,"PMW VTECH 99_98";#N/A,#N/A,FALSE,"PMW Thail. 99_98";#N/A,#N/A,FALSE,"PMW Canada 99_98";#N/A,#N/A,FALSE,"Währungsabw. 99_98"}</definedName>
    <definedName function="false" hidden="true" name="H16･1速報" vbProcedure="false">{"'コメント'!$A$1:$C$37"}</definedName>
    <definedName function="false" hidden="true" name="hay" vbProcedure="false">{#N/A,#N/A,FALSE,"TB";#N/A,#N/A,FALSE,"DR";#N/A,#N/A,FALSE,"AR";#N/A,#N/A,FALSE,"PL";#N/A,#N/A,FALSE,"BS";#N/A,#N/A,FALSE,"NOTES";#N/A,#N/A,FALSE,"NOTES (2)";#N/A,#N/A,FALSE,"NOTES (3)";#N/A,#N/A,FALSE,"DPL";#N/A,#N/A,FALSE,"TAXC.INDEX";#N/A,#N/A,FALSE,"Schedule I";#N/A,#N/A,FALSE,"Adjustments"}</definedName>
    <definedName function="false" hidden="true" name="hb"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hbs" vbProcedure="false">{"'TRXAllergyVolume'!$A$1:$I$47"}</definedName>
    <definedName function="false" hidden="true" name="hddfhfdhfdh" vbProcedure="false">{#N/A,#N/A,FALSE,"3";#N/A,#N/A,FALSE,"5";#N/A,#N/A,FALSE,"6";#N/A,#N/A,FALSE,"8";#N/A,#N/A,FALSE,"10";#N/A,#N/A,FALSE,"13";#N/A,#N/A,FALSE,"14";#N/A,#N/A,FALSE,"15";#N/A,#N/A,FALSE,"16"}</definedName>
    <definedName function="false" hidden="true" name="hdfdhdfhdfh" vbProcedure="false">{#N/A,#N/A,FALSE,"3";#N/A,#N/A,FALSE,"5";#N/A,#N/A,FALSE,"6";#N/A,#N/A,FALSE,"8";#N/A,#N/A,FALSE,"10";#N/A,#N/A,FALSE,"13";#N/A,#N/A,FALSE,"14";#N/A,#N/A,FALSE,"15";#N/A,#N/A,FALSE,"16"}</definedName>
    <definedName function="false" hidden="true" name="hdfh" vbProcedure="false">{#N/A,#N/A,FALSE,"3";#N/A,#N/A,FALSE,"5";#N/A,#N/A,FALSE,"6";#N/A,#N/A,FALSE,"8";#N/A,#N/A,FALSE,"10";#N/A,#N/A,FALSE,"13";#N/A,#N/A,FALSE,"14";#N/A,#N/A,FALSE,"15";#N/A,#N/A,FALSE,"16"}</definedName>
    <definedName function="false" hidden="true" name="hdfhdfh" vbProcedure="false">{#N/A,#N/A,FALSE,"3";#N/A,#N/A,FALSE,"5";#N/A,#N/A,FALSE,"6";#N/A,#N/A,FALSE,"8";#N/A,#N/A,FALSE,"10";#N/A,#N/A,FALSE,"13";#N/A,#N/A,FALSE,"14";#N/A,#N/A,FALSE,"15";#N/A,#N/A,FALSE,"16"}</definedName>
    <definedName function="false" hidden="true" name="hdfhdfhdf" vbProcedure="false">{#N/A,#N/A,FALSE,"3";#N/A,#N/A,FALSE,"5";#N/A,#N/A,FALSE,"6";#N/A,#N/A,FALSE,"8";#N/A,#N/A,FALSE,"10";#N/A,#N/A,FALSE,"13";#N/A,#N/A,FALSE,"14";#N/A,#N/A,FALSE,"15";#N/A,#N/A,FALSE,"16"}</definedName>
    <definedName function="false" hidden="true" name="HDHFH" vbProcedure="false">{"landexbravo",#N/A,FALSE,"Land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function="false" hidden="true" name="hdsg" vbProcedure="false">{0,0,0,0;0,0,0,FALSE;0,0,0,0}</definedName>
    <definedName function="false" hidden="true" name="hdtfd" vbProcedure="false">{#N/A,#N/A,FALSE,"DIR-REP";#N/A,#N/A,FALSE,"AUD-REPORT";#N/A,#N/A,FALSE,"P7L&amp;BS";#N/A,#N/A,FALSE,"NOTES";#N/A,#N/A,FALSE,"FA";#N/A,#N/A,FALSE,"NOTES (2)";#N/A,#N/A,FALSE,"Schedule  IV";#N/A,#N/A,FALSE,"Schedule V"}</definedName>
    <definedName function="false" hidden="true" name="Header1" vbProcedure="false">IF(COUNTA(#REF!)=0,0,INDEX(#REF!,MATCH(ROW(#REF!),#REF!,TRUE())))+1</definedName>
    <definedName function="false" hidden="true" name="header1Row" vbProcedure="false">#REF!</definedName>
    <definedName function="false" hidden="true" name="Header2" vbProcedure="false">#REF!-1 &amp; "." &amp; MAX(1,COUNTA(INDEX(#REF!,MATCH(#REF!-1,#REF!,FALSE())):#REF!))</definedName>
    <definedName function="false" hidden="true" name="header2Row" vbProcedure="false">#REF!</definedName>
    <definedName function="false" hidden="false" name="Headings" vbProcedure="false">#REF!</definedName>
    <definedName function="false" hidden="true" name="head_a" vbProcedure="false">{#N/A,#N/A,FALSE,"Presentation by Unit";#N/A,#N/A,FALSE,"Presentation by BD";#N/A,#N/A,FALSE,"Presentation Split by Biggest U";#N/A,#N/A,FALSE,"Presentation Split by Area";#N/A,#N/A,FALSE,"Presentation Split by BD"}</definedName>
    <definedName function="false" hidden="true" name="head_inv" vbProcedure="false">{#N/A,#N/A,FALSE,"Presentation by Unit";#N/A,#N/A,FALSE,"Presentation by BD";#N/A,#N/A,FALSE,"Presentation Split by Biggest U";#N/A,#N/A,FALSE,"Presentation Split by Area";#N/A,#N/A,FALSE,"Presentation Split by BD"}</definedName>
    <definedName function="false" hidden="true" name="hej" vbProcedure="false">increment_piece</definedName>
    <definedName function="false" hidden="true" name="hell" vbProcedure="false">#N/A</definedName>
    <definedName function="false" hidden="true" name="hello" vbProcedure="false">{#N/A,#N/A,FALSE,"TAXC.INDEX";#N/A,#N/A,FALSE,"Schedule I";#N/A,#N/A,FALSE,"Schedule  II";#N/A,#N/A,FALSE,"Schedule III"}</definedName>
    <definedName function="false" hidden="true" name="hf" vbProcedure="false">{"detail",#N/A,FALSE,"mfg";"summary",#N/A,FALSE,"mfg"}</definedName>
    <definedName function="false" hidden="true" name="hfgfht" vbProcedure="false">{"US Dollars",#N/A,TRUE,"PPD";"US Dollar",#N/A,TRUE,"Anaquest";"US Dollar",#N/A,TRUE,"Delta";"US Dollar",#N/A,TRUE,"INO"}</definedName>
    <definedName function="false" hidden="true" name="hfhfh" vbProcedure="false">{#N/A,#N/A,FALSE,"3";#N/A,#N/A,FALSE,"5";#N/A,#N/A,FALSE,"6";#N/A,#N/A,FALSE,"8";#N/A,#N/A,FALSE,"10";#N/A,#N/A,FALSE,"13";#N/A,#N/A,FALSE,"14";#N/A,#N/A,FALSE,"15";#N/A,#N/A,FALSE,"16"}</definedName>
    <definedName function="false" hidden="true" name="HFinGraph" vbProcedure="false">{#N/A,#N/A,FALSE,"Pharm";#N/A,#N/A,FALSE,"WWCM"}</definedName>
    <definedName function="false" hidden="true" name="hg" vbProcedure="false">{"detail",#N/A,FALSE,"mfg";"summary",#N/A,FALSE,"mfg"}</definedName>
    <definedName function="false" hidden="true" name="hgfd" vbProcedure="false">{"BA detail",#N/A,FALSE,"Q3YTD "}</definedName>
    <definedName function="false" hidden="true" name="hgfh" vbProcedure="false">{#N/A,#N/A,FALSE,"3";#N/A,#N/A,FALSE,"5";#N/A,#N/A,FALSE,"6";#N/A,#N/A,FALSE,"8";#N/A,#N/A,FALSE,"10";#N/A,#N/A,FALSE,"13";#N/A,#N/A,FALSE,"14";#N/A,#N/A,FALSE,"15";#N/A,#N/A,FALSE,"16"}</definedName>
    <definedName function="false" hidden="true" name="hgfhfgh" vbProcedure="false">{"Pound Sterling",#N/A,TRUE,"PPD";"Pound Sterling",#N/A,TRUE,"Anaquest";"Pound Sterling",#N/A,TRUE,"Delta";"Pound Sterling",#N/A,TRUE,"INO"}</definedName>
    <definedName function="false" hidden="true" name="hgfhwrth" vbProcedure="false">{"Pound Sterling",#N/A,TRUE,"PPD";"Pound Sterling",#N/A,TRUE,"Anaquest";"Pound Sterling",#N/A,TRUE,"Delta";"Pound Sterling",#N/A,TRUE,"INO"}</definedName>
    <definedName function="false" hidden="true" name="hgfsd" vbProcedure="false">{"Sum WW A",#N/A,FALSE,"FY95SLS";"Sum WW B",#N/A,FALSE,"FY95SLS";"Sum US A",#N/A,FALSE,"FY95SLS";"Sum US B",#N/A,FALSE,"FY95SLS";"Sum US Bocg",#N/A,FALSE,"FY95SLS";"Sum Can A",#N/A,FALSE,"FY95SLS";"Sum Can B",#N/A,FALSE,"FY95SLS";"Sum Europe",#N/A,FALSE,"FY95SLS";"Sum Row",#N/A,FALSE,"FY95SLS"}</definedName>
    <definedName function="false" hidden="true" name="hgfshasd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ghwty" vbProcedure="false">{"Sum WW A",#N/A,FALSE,"FY95SLS";"Sum WW B",#N/A,FALSE,"FY95SLS";"Sum US A",#N/A,FALSE,"FY95SLS";"Sum US B",#N/A,FALSE,"FY95SLS";"Sum US Bocg",#N/A,FALSE,"FY95SLS";"Sum Can A",#N/A,FALSE,"FY95SLS";"Sum Can B",#N/A,FALSE,"FY95SLS";"Sum Europe",#N/A,FALSE,"FY95SLS";"Sum Row",#N/A,FALSE,"FY95SLS"}</definedName>
    <definedName function="false" hidden="true" name="HGJ" vbProcedure="false">{#N/A,#N/A,FALSE,"ARCYLD"}</definedName>
    <definedName function="false" hidden="true" name="HGJDJ" vbProcedure="false">{#N/A,#N/A,FALSE,"00 P&amp;L vs 99"}</definedName>
    <definedName function="false" hidden="true" name="hgjghjghj" vbProcedure="false">{#N/A,#N/A,FALSE,"3";#N/A,#N/A,FALSE,"5";#N/A,#N/A,FALSE,"6";#N/A,#N/A,FALSE,"8";#N/A,#N/A,FALSE,"10";#N/A,#N/A,FALSE,"13";#N/A,#N/A,FALSE,"14";#N/A,#N/A,FALSE,"15";#N/A,#N/A,FALSE,"16"}</definedName>
    <definedName function="false" hidden="true" name="hgjghjhhg" vbProcedure="false">{#N/A,#N/A,FALSE,"Produkte Erw.";#N/A,#N/A,FALSE,"Produkte Plan";#N/A,#N/A,FALSE,"Leistungen Erw.";#N/A,#N/A,FALSE,"Leistungen Plan";#N/A,#N/A,FALSE,"KA Allg.Kosten (2)";#N/A,#N/A,FALSE,"KA All.Kosten"}</definedName>
    <definedName function="false" hidden="true" name="hh" vbProcedure="false">{#N/A,#N/A,FALSE,"Eastern";#N/A,#N/A,FALSE,"Western"}</definedName>
    <definedName function="false" hidden="true" name="hh.k" vbProcedure="false">{#N/A,#N/A,FALSE,"KA CH  (2)"}</definedName>
    <definedName function="false" hidden="true" name="hhd" vbProcedure="false">{#N/A,#N/A,FALSE,"3";#N/A,#N/A,FALSE,"5";#N/A,#N/A,FALSE,"6";#N/A,#N/A,FALSE,"8";#N/A,#N/A,FALSE,"10";#N/A,#N/A,FALSE,"13";#N/A,#N/A,FALSE,"14";#N/A,#N/A,FALSE,"15";#N/A,#N/A,FALSE,"16"}</definedName>
    <definedName function="false" hidden="true" name="hhfdhdfd" vbProcedure="false">{#N/A,#N/A,FALSE,"3";#N/A,#N/A,FALSE,"5";#N/A,#N/A,FALSE,"6";#N/A,#N/A,FALSE,"8";#N/A,#N/A,FALSE,"10";#N/A,#N/A,FALSE,"13";#N/A,#N/A,FALSE,"14";#N/A,#N/A,FALSE,"15";#N/A,#N/A,FALSE,"16"}</definedName>
    <definedName function="false" hidden="true" name="hhh" vbProcedure="false">{#N/A,#N/A,FALSE,"TB";#N/A,#N/A,FALSE,"AR";#N/A,#N/A,FALSE,"BS";#N/A,#N/A,FALSE,"PL";#N/A,#N/A,FALSE,"NOTES";#N/A,#N/A,FALSE,"NOTES (2)";#N/A,#N/A,FALSE,"NOTES (3)";#N/A,#N/A,FALSE,"TAXC.INDEX";#N/A,#N/A,FALSE,"Schedule I";#N/A,#N/A,FALSE,"DPL";#N/A,#N/A,FALSE,"Schedule IV";#N/A,#N/A,FALSE,"Adjustments"}</definedName>
    <definedName function="false" hidden="true" name="hhh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hhhhhhhh" vbProcedure="false">{#N/A,#N/A,FALSE,"Presentation by Unit";#N/A,#N/A,FALSE,"Presentation by BD";#N/A,#N/A,FALSE,"Presentation Split by Biggest U";#N/A,#N/A,FALSE,"Presentation Split by Area";#N/A,#N/A,FALSE,"Presentation Split by BD"}</definedName>
    <definedName function="false" hidden="true" name="hhhsdf" vbProcedure="false">{"up stand alones",#N/A,FALSE,"Acquiror"}</definedName>
    <definedName function="false" hidden="true" name="hhj.ls" vbProcedure="false">{#N/A,#N/A,FALSE,"Produkte Erw.";#N/A,#N/A,FALSE,"Produkte Plan";#N/A,#N/A,FALSE,"Leistungen Erw.";#N/A,#N/A,FALSE,"Leistungen Plan";#N/A,#N/A,FALSE,"KA Allg.Kosten (2)";#N/A,#N/A,FALSE,"KA All.Kosten"}</definedName>
    <definedName function="false" hidden="true" name="hhjgj" vbProcedure="false">{#N/A,#N/A,FALSE,"3";#N/A,#N/A,FALSE,"5";#N/A,#N/A,FALSE,"6";#N/A,#N/A,FALSE,"8";#N/A,#N/A,FALSE,"10";#N/A,#N/A,FALSE,"13";#N/A,#N/A,FALSE,"14";#N/A,#N/A,FALSE,"15";#N/A,#N/A,FALSE,"16"}</definedName>
    <definedName function="false" hidden="true" name="HHKJ" vbProcedure="false">{#N/A,#N/A,TRUE,"Cover";#N/A,#N/A,TRUE,"Content";"Orders EMM",#N/A,TRUE,"Order Sales";"project EMM",#N/A,TRUE,"Project Control";"Cash EMM",#N/A,TRUE,"Cash Control";"KPI EMM",#N/A,TRUE,"KPI-EMM";"Empl EMM",#N/A,TRUE,"Employees"}</definedName>
    <definedName function="false" hidden="true" name="hi" vbProcedure="false">{"'Directory'!$A$72:$E$91"}</definedName>
    <definedName function="false" hidden="true" name="Hibh" vbProcedure="false">{#N/A,#N/A,FALSE,"Pharm";#N/A,#N/A,FALSE,"WWCM"}</definedName>
    <definedName function="false" hidden="true" name="hideCol" vbProcedure="false">#REF!</definedName>
    <definedName function="false" hidden="true" name="High" vbProcedure="false">{#N/A,#N/A,FALSE,"Pharm";#N/A,#N/A,FALSE,"WWCM"}</definedName>
    <definedName function="false" hidden="true" name="hj" vbProcedure="false">{#N/A,#N/A,FALSE,"PMW Gruppe 99_98";#N/A,#N/A,FALSE,"PMW KG 98_99";#N/A,#N/A,FALSE,"PMW Inc. 99_98";#N/A,#N/A,FALSE,"PMW VTECH 99_98";#N/A,#N/A,FALSE,"PMW Thail. 99_98";#N/A,#N/A,FALSE,"PMW Canada 99_98";#N/A,#N/A,FALSE,"Währungsabw. 99_98"}</definedName>
    <definedName function="false" hidden="true" name="hj.k" vbProcedure="false">{#N/A,#N/A,FALSE,"Produkte Erw.";#N/A,#N/A,FALSE,"Produkte Plan";#N/A,#N/A,FALSE,"Leistungen Erw.";#N/A,#N/A,FALSE,"Leistungen Plan";#N/A,#N/A,FALSE,"KA Allg.Kosten (2)";#N/A,#N/A,FALSE,"KA All.Kosten"}</definedName>
    <definedName function="false" hidden="true" name="hjd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jejwrt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jfgjghj" vbProcedure="false">{"up stand alones",#N/A,FALSE,"Acquiror"}</definedName>
    <definedName function="false" hidden="true" name="hjgfh" vbProcedure="false">{"Units A",#N/A,FALSE,"FY95SLS";"Units B",#N/A,FALSE,"FY95SLS"}</definedName>
    <definedName function="false" hidden="true" name="hjgg"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hjghhgyg" vbProcedure="false">{"Polymers Details",#N/A,FALSE,"Current Yr";"Polymer Details",#N/A,FALSE,"Budget";"Polymer Details",#N/A,FALSE,"Prior Year"}</definedName>
    <definedName function="false" hidden="true" name="hjghjghjgh" vbProcedure="false">{#N/A,#N/A,FALSE,"3";#N/A,#N/A,FALSE,"5";#N/A,#N/A,FALSE,"6";#N/A,#N/A,FALSE,"8";#N/A,#N/A,FALSE,"10";#N/A,#N/A,FALSE,"13";#N/A,#N/A,FALSE,"14";#N/A,#N/A,FALSE,"15";#N/A,#N/A,FALSE,"16"}</definedName>
    <definedName function="false" hidden="true" name="hjghjhgj" vbProcedure="false">{#N/A,#N/A,FALSE,"Produkte Erw.";#N/A,#N/A,FALSE,"Produkte Plan";#N/A,#N/A,FALSE,"Leistungen Erw.";#N/A,#N/A,FALSE,"Leistungen Plan";#N/A,#N/A,FALSE,"KA Allg.Kosten (2)";#N/A,#N/A,FALSE,"KA All.Kosten"}</definedName>
    <definedName function="false" hidden="true" name="hjgk"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jh" vbProcedure="false">{#N/A,#N/A,FALSE,"Produkte Erw.";#N/A,#N/A,FALSE,"Produkte Plan";#N/A,#N/A,FALSE,"Leistungen Erw.";#N/A,#N/A,FALSE,"Leistungen Plan";#N/A,#N/A,FALSE,"KA Allg.Kosten (2)";#N/A,#N/A,FALSE,"KA All.Kosten"}</definedName>
    <definedName function="false" hidden="true" name="hjhg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jhgkj" vbProcedure="false">{#N/A,#N/A,FALSE,"3";#N/A,#N/A,FALSE,"5";#N/A,#N/A,FALSE,"6";#N/A,#N/A,FALSE,"8";#N/A,#N/A,FALSE,"10";#N/A,#N/A,FALSE,"13";#N/A,#N/A,FALSE,"14";#N/A,#N/A,FALSE,"15";#N/A,#N/A,FALSE,"16"}</definedName>
    <definedName function="false" hidden="true" name="hjhjffukfuk" vbProcedure="false">{#N/A,#N/A,FALSE,"Pharm";#N/A,#N/A,FALSE,"WWCM"}</definedName>
    <definedName function="false" hidden="true" name="hjhjfkfukywrte" vbProcedure="false">{#N/A,#N/A,FALSE,"Pharm";#N/A,#N/A,FALSE,"WWCM"}</definedName>
    <definedName function="false" hidden="true" name="hjhjhj" vbProcedure="false">{#N/A,#N/A,FALSE,"Index";"Stmts_Qtrs",#N/A,FALSE,"Summary";"Stmts_24 mo",#N/A,FALSE,"Summary";"Summary_24",#N/A,FALSE,"Revenue";"Month_24",#N/A,FALSE,"Engineering";"Month_24",#N/A,FALSE,"Marketing";"Month_24",#N/A,FALSE,"G &amp; A";"Month_24",#N/A,FALSE,"Manufacturing"}</definedName>
    <definedName function="false" hidden="true" name="hjhjhjhjhjhj" vbProcedure="false">{"Units A",#N/A,FALSE,"FY95SLS";"Units B",#N/A,FALSE,"FY95SLS"}</definedName>
    <definedName function="false" hidden="true" name="hjhkjkl" vbProcedure="false">{#N/A,#N/A,FALSE,"Pharm";#N/A,#N/A,FALSE,"WWCM"}</definedName>
    <definedName function="false" hidden="true" name="hjhyjy" vbProcedure="false">{"Pound Sterling",#N/A,TRUE,"PPD";"Pound Sterling",#N/A,TRUE,"Anaquest";"Pound Sterling",#N/A,TRUE,"Delta";"Pound Sterling",#N/A,TRUE,"INO"}</definedName>
    <definedName function="false" hidden="true" name="hjjhjh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jjjjjjjgh" vbProcedure="false">{"trans assumptions",#N/A,FALSE,"Merger";"trans accretion",#N/A,FALSE,"Merger"}</definedName>
    <definedName function="false" hidden="true" name="hjjjkk" vbProcedure="false">{#N/A,#N/A,FALSE,"REPORT"}</definedName>
    <definedName function="false" hidden="true" name="hjjkk" vbProcedure="false">{#N/A,#N/A,FALSE,"Pharm";#N/A,#N/A,FALSE,"WWCM"}</definedName>
    <definedName function="false" hidden="true" name="hjk" vbProcedure="false">{#N/A,#N/A,FALSE,"Umsatz 99";#N/A,#N/A,FALSE,"ER 99 "}</definedName>
    <definedName function="false" hidden="true" name="hjk.l" vbProcedure="false">{#N/A,#N/A,FALSE,"Produkte Erw.";#N/A,#N/A,FALSE,"Produkte Plan";#N/A,#N/A,FALSE,"Leistungen Erw.";#N/A,#N/A,FALSE,"Leistungen Plan";#N/A,#N/A,FALSE,"KA Allg.Kosten (2)";#N/A,#N/A,FALSE,"KA All.Kosten"}</definedName>
    <definedName function="false" hidden="true" name="hjkf" vbProcedure="false">{"Units A",#N/A,FALSE,"FY95SLS";"Units B",#N/A,FALSE,"FY95SLS"}</definedName>
    <definedName function="false" hidden="true" name="hjkh" vbProcedure="false">{"assumption 50 50",#N/A,TRUE,"Merger";"has gets cash",#N/A,TRUE,"Merger";"accretion dilution",#N/A,TRUE,"Merger";"comparison credit stats",#N/A,TRUE,"Merger";"pf credit stats",#N/A,TRUE,"Merger";"pf sheets",#N/A,TRUE,"Merger"}</definedName>
    <definedName function="false" hidden="true" name="hjkhjk" vbProcedure="false">{#N/A,#N/A,FALSE,"KA CH  (2)"}</definedName>
    <definedName function="false" hidden="true" name="hjkhjkhjk"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hjkiuy"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hjkjhk" vbProcedure="false">{#N/A,#N/A,FALSE,"Umsatz HM";#N/A,#N/A,FALSE,"ER HM";#N/A,#N/A,FALSE,"EA HM  (2)";#N/A,#N/A,FALSE,"EA HM ";#N/A,#N/A,FALSE,"EA HM  (4)";#N/A,#N/A,FALSE,"EA HM  (3)";#N/A,#N/A,FALSE,"KA HM  (2)";#N/A,#N/A,FALSE,"KA HM";#N/A,#N/A,FALSE,"KA HM  (3)";#N/A,#N/A,FALSE,"KA HM (4)"}</definedName>
    <definedName function="false" hidden="true" name="hjkjlk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jkk" vbProcedure="false">{#N/A,#N/A,FALSE,"Pharm";#N/A,#N/A,FALSE,"WWCM"}</definedName>
    <definedName function="false" hidden="true" name="hjkl"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hjkljl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jlhjlhjl" vbProcedure="false">{#N/A,#N/A,FALSE,"3";#N/A,#N/A,FALSE,"5";#N/A,#N/A,FALSE,"6";#N/A,#N/A,FALSE,"8";#N/A,#N/A,FALSE,"10";#N/A,#N/A,FALSE,"13";#N/A,#N/A,FALSE,"14";#N/A,#N/A,FALSE,"15";#N/A,#N/A,FALSE,"16"}</definedName>
    <definedName function="false" hidden="true" name="hjyuk" vbProcedure="false">{"Units A",#N/A,FALSE,"FY95SLS";"Units B",#N/A,FALSE,"FY95SLS"}</definedName>
    <definedName function="false" hidden="true" name="hkdfygc" vbProcedure="false">{"US Dollars",#N/A,TRUE,"PPD";"US Dollar",#N/A,TRUE,"Anaquest";"US Dollar",#N/A,TRUE,"Delta";"US Dollar",#N/A,TRUE,"INO"}</definedName>
    <definedName function="false" hidden="true" name="hkh" vbProcedure="false">{#N/A,#N/A,FALSE,"3";#N/A,#N/A,FALSE,"5";#N/A,#N/A,FALSE,"6";#N/A,#N/A,FALSE,"8";#N/A,#N/A,FALSE,"10";#N/A,#N/A,FALSE,"13";#N/A,#N/A,FALSE,"14";#N/A,#N/A,FALSE,"15";#N/A,#N/A,FALSE,"16"}</definedName>
    <definedName function="false" hidden="true" name="hkhjk" vbProcedure="false">{#N/A,#N/A,FALSE,"Operations";#N/A,#N/A,FALSE,"Financials"}</definedName>
    <definedName function="false" hidden="true" name="hkhk" vbProcedure="false">{#N/A,#N/A,FALSE,"3";#N/A,#N/A,FALSE,"5";#N/A,#N/A,FALSE,"6";#N/A,#N/A,FALSE,"8";#N/A,#N/A,FALSE,"10";#N/A,#N/A,FALSE,"13";#N/A,#N/A,FALSE,"14";#N/A,#N/A,FALSE,"15";#N/A,#N/A,FALSE,"16"}</definedName>
    <definedName function="false" hidden="true" name="hkjj" vbProcedure="false">{"Line Efficiency",#N/A,FALSE,"Benchmarking"}</definedName>
    <definedName function="false" hidden="true" name="hkjkh"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hkk" vbProcedure="false">{#N/A,#N/A,FALSE,"3";#N/A,#N/A,FALSE,"5";#N/A,#N/A,FALSE,"6";#N/A,#N/A,FALSE,"8";#N/A,#N/A,FALSE,"10";#N/A,#N/A,FALSE,"13";#N/A,#N/A,FALSE,"14";#N/A,#N/A,FALSE,"15";#N/A,#N/A,FALSE,"16"}</definedName>
    <definedName function="false" hidden="true" name="HKSH" vbProcedure="false">{#N/A,#N/A,FALSE,"REPORT"}</definedName>
    <definedName function="false" hidden="true" name="hkyk" vbProcedure="false">{"Pound Sterling",#N/A,TRUE,"PPD";"Pound Sterling",#N/A,TRUE,"Anaquest";"Pound Sterling",#N/A,TRUE,"Delta";"Pound Sterling",#N/A,TRUE,"INO"}</definedName>
    <definedName function="false" hidden="true" name="hkyukry" vbProcedure="false">{"Units A",#N/A,FALSE,"FY95SLS";"Units B",#N/A,FALSE,"FY95SLS"}</definedName>
    <definedName function="false" hidden="true" name="hljlhjlhjl" vbProcedure="false">{#N/A,#N/A,FALSE,"3";#N/A,#N/A,FALSE,"5";#N/A,#N/A,FALSE,"6";#N/A,#N/A,FALSE,"8";#N/A,#N/A,FALSE,"10";#N/A,#N/A,FALSE,"13";#N/A,#N/A,FALSE,"14";#N/A,#N/A,FALSE,"15";#N/A,#N/A,FALSE,"16"}</definedName>
    <definedName function="false" hidden="true" name="HMG" vbProcedure="false">{#N/A,#N/A,FALSE,"REPORT"}</definedName>
    <definedName function="false" hidden="true" name="hmtyjh" vbProcedure="false">{"Units A",#N/A,FALSE,"FY95SLS";"Units B",#N/A,FALSE,"FY95SLS"}</definedName>
    <definedName function="false" hidden="true" name="hn.ConvertZero1" vbProcedure="false">#REF!,#REF!,#REF!,#REF!,#REF!,#REF!,#REF!,#REF!,#REF!,#REF!</definedName>
    <definedName function="false" hidden="true" name="hn.ConvertZero2" vbProcedure="false">#REF!,#REF!,#REF!,#REF!,#REF!,#REF!,#REF!,#REF!</definedName>
    <definedName function="false" hidden="true" name="hn.ConvertZero3" vbProcedure="false">#REF!,#REF!,#REF!,#REF!,#REF!</definedName>
    <definedName function="false" hidden="true" name="hn.ConvertZero4" vbProcedure="false">#REF!,#REF!,#REF!,#REF!,#REF!,#REF!,#REF!,#REF!</definedName>
    <definedName function="false" hidden="true" name="hn.ConvertZeroUnhide1" vbProcedure="false">#REF!,#REF!,#REF!</definedName>
    <definedName function="false" hidden="true" name="hn.CopyforPR" vbProcedure="false">#REF!</definedName>
    <definedName function="false" hidden="true" name="hn.Delete015" vbProcedure="false">#REF!,#REF!,#REF!,#REF!</definedName>
    <definedName function="false" hidden="true" name="hn.DZ_MultByFXRates" vbProcedure="false">#REF!,#REF!,#REF!,#REF!</definedName>
    <definedName function="false" hidden="true" name="hn.ExtDb" vbProcedure="false">FALSE()</definedName>
    <definedName function="false" hidden="true" name="hn.FromMain3" vbProcedure="false">#REF!</definedName>
    <definedName function="false" hidden="true" name="hn.LTM_MultByFXRates" vbProcedure="false">#REF!,#REF!,#REF!,#REF!,#REF!,#REF!,#REF!</definedName>
    <definedName function="false" hidden="true" name="hn.ModelType" vbProcedure="false">"DEAL"</definedName>
    <definedName function="false" hidden="true" name="hn.ModelVersion" vbProcedure="false">1</definedName>
    <definedName function="false" hidden="true" name="hn.MultbyFXRates" vbProcedure="false">#REF!,#REF!,#REF!,#REF!,#REF!,#REF!,#REF!</definedName>
    <definedName function="false" hidden="true" name="hn.MultByFXRates1" vbProcedure="false">#REF!,#REF!,#REF!,#REF!,#REF!</definedName>
    <definedName function="false" hidden="true" name="hn.MultByFXRates2" vbProcedure="false">#REF!,#REF!,#REF!,#REF!,#REF!</definedName>
    <definedName function="false" hidden="true" name="hn.MultByFXRates3" vbProcedure="false">#REF!,#REF!,#REF!,#REF!,#REF!</definedName>
    <definedName function="false" hidden="true" name="hn.MultbyFxrates4" vbProcedure="false">#REF!,#REF!,#REF!,#REF!,#REF!,#REF!,#REF!</definedName>
    <definedName function="false" hidden="true" name="hn.multbyfxrates5" vbProcedure="false">#REF!,#REF!,#REF!,#REF!,#REF!</definedName>
    <definedName function="false" hidden="true" name="hn.multbyfxrates6" vbProcedure="false">#REF!,#REF!,#REF!,#REF!,#REF!</definedName>
    <definedName function="false" hidden="true" name="hn.multbyfxrates7" vbProcedure="false">#REF!,#REF!,#REF!,#REF!,#REF!</definedName>
    <definedName function="false" hidden="true" name="hn.MultByFXRatesBot1" vbProcedure="false">#REF!,#REF!,#REF!,#REF!,#REF!,#REF!,#REF!,#REF!,#REF!,#REF!,#REF!,#REF!</definedName>
    <definedName function="false" hidden="true" name="hn.MultByFXRatesBot2" vbProcedure="false">#REF!,#REF!,#REF!,#REF!,#REF!,#REF!,#REF!,#REF!,#REF!,#REF!,#REF!,#REF!</definedName>
    <definedName function="false" hidden="true" name="hn.MultByFXRatesBot3" vbProcedure="false">#REF!,#REF!,#REF!,#REF!,#REF!,#REF!,#REF!,#REF!,#REF!,#REF!,#REF!,#REF!</definedName>
    <definedName function="false" hidden="true" name="hn.MultByFXRatesBot4" vbProcedure="false">#REF!,#REF!,#REF!,#REF!,#REF!,#REF!,#REF!,#REF!,#REF!,#REF!,#REF!,#REF!,#REF!</definedName>
    <definedName function="false" hidden="true" name="hn.MultByFXRatesBot5" vbProcedure="false">#REF!,#REF!,#REF!,#REF!,#REF!,#REF!,#REF!,#REF!,#REF!,#REF!,#REF!</definedName>
    <definedName function="false" hidden="true" name="hn.MultByFXRatesBot6" vbProcedure="false">#REF!,#REF!,#REF!,#REF!,#REF!,#REF!,#REF!,#REF!,#REF!,#REF!,#REF!</definedName>
    <definedName function="false" hidden="true" name="hn.MultByFXRatesBot7" vbProcedure="false">#REF!,#REF!,#REF!,#REF!,#REF!,#REF!,#REF!,#REF!,#REF!,#REF!,#REF!</definedName>
    <definedName function="false" hidden="true" name="hn.MultByFXRatesTop1" vbProcedure="false">#REF!,#REF!,#REF!,#REF!,#REF!,#REF!,#REF!,#REF!,#REF!,#REF!,#REF!,#REF!</definedName>
    <definedName function="false" hidden="true" name="hn.MultByFXRatesTop2" vbProcedure="false">#REF!,#REF!,#REF!,#REF!,#REF!,#REF!,#REF!,#REF!,#REF!,#REF!,#REF!,#REF!,#REF!,#REF!,#REF!</definedName>
    <definedName function="false" hidden="true" name="hn.MultByFXRatesTop3" vbProcedure="false">#REF!,#REF!,#REF!,#REF!,#REF!,#REF!,#REF!,#REF!,#REF!,#REF!,#REF!,#REF!,#REF!,#REF!,#REF!</definedName>
    <definedName function="false" hidden="true" name="hn.MultByFXRatesTop4" vbProcedure="false">#REF!,#REF!,#REF!,#REF!,#REF!,#REF!,#REF!,#REF!,#REF!,#REF!,#REF!,#REF!,#REF!,#REF!,#REF!</definedName>
    <definedName function="false" hidden="true" name="hn.MultByFXRatesTop5" vbProcedure="false">#REF!,#REF!,#REF!,#REF!,#REF!,#REF!,#REF!,#REF!,#REF!,#REF!,#REF!,#REF!</definedName>
    <definedName function="false" hidden="true" name="hn.MultByFXRatesTop6" vbProcedure="false">#REF!,#REF!,#REF!,#REF!,#REF!,#REF!,#REF!,#REF!,#REF!,#REF!,#REF!,#REF!,#REF!,#REF!,#REF!</definedName>
    <definedName function="false" hidden="true" name="hn.MultByFXRatesTop7" vbProcedure="false">#REF!,#REF!,#REF!,#REF!,#REF!,#REF!,#REF!,#REF!,#REF!,#REF!,#REF!,#REF!,#REF!,#REF!,#REF!</definedName>
    <definedName function="false" hidden="true" name="hn.NoUpload" vbProcedure="false">0</definedName>
    <definedName function="false" hidden="true" name="hn.PrivateLTMYear" vbProcedure="false">#REF!</definedName>
    <definedName function="false" hidden="true" name="hn.RolledForward" vbProcedure="false">FALSE()</definedName>
    <definedName function="false" hidden="true" name="hn._I018" vbProcedure="false">#REF!</definedName>
    <definedName function="false" hidden="true" name="hn._I030" vbProcedure="false">#REF!</definedName>
    <definedName function="false" hidden="true" name="hn._I059" vbProcedure="false">#REF!</definedName>
    <definedName function="false" hidden="true" name="hn._I075" vbProcedure="false">#REF!</definedName>
    <definedName function="false" hidden="true" name="hn._P001" vbProcedure="false">#REF!</definedName>
    <definedName function="false" hidden="true" name="hn._P016" vbProcedure="false">#REF!</definedName>
    <definedName function="false" hidden="true" name="hn._P024" vbProcedure="false">#REF!</definedName>
    <definedName function="false" hidden="true" name="hnjgfjtrhju" vbProcedure="false">{"Sum WW A",#N/A,FALSE,"FY95SLS";"Sum WW B",#N/A,FALSE,"FY95SLS";"Sum US A",#N/A,FALSE,"FY95SLS";"Sum US B",#N/A,FALSE,"FY95SLS";"Sum US Bocg",#N/A,FALSE,"FY95SLS";"Sum Can A",#N/A,FALSE,"FY95SLS";"Sum Can B",#N/A,FALSE,"FY95SLS";"Sum Europe",#N/A,FALSE,"FY95SLS";"Sum Row",#N/A,FALSE,"FY95SLS"}</definedName>
    <definedName function="false" hidden="true" name="HOLA" vbProcedure="false">{"AR",#N/A,FALSE,"ASMGTSUM";"INV",#N/A,FALSE,"ASMGTSUM";"HCCOMP",#N/A,FALSE,"ASMGTSUM";"cap.depr",#N/A,FALSE,"ASMGTSUM"}</definedName>
    <definedName function="false" hidden="true" name="hsdfg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sdf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sdhdr" vbProcedure="false">{"US Dollars",#N/A,TRUE,"PPD";"US Dollar",#N/A,TRUE,"Anaquest";"US Dollar",#N/A,TRUE,"Delta";"US Dollar",#N/A,TRUE,"INO"}</definedName>
    <definedName function="false" hidden="true" name="hs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s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thjtryu" vbProcedure="false">{"Units A",#N/A,FALSE,"FY95SLS";"Units B",#N/A,FALSE,"FY95SLS"}</definedName>
    <definedName function="false" hidden="true" name="HTM" vbProcedure="false">{"'Sample Status'!$A$1:$J$21"}</definedName>
    <definedName function="false" hidden="true" name="HTML10_10" vbProcedure="false">""</definedName>
    <definedName function="false" hidden="true" name="HTML10_11" vbProcedure="false">1</definedName>
    <definedName function="false" hidden="true" name="HTML10_2" vbProcedure="false">1</definedName>
    <definedName function="false" hidden="true" name="HTML10_3" vbProcedure="false">"Weekly Antihistamine Volume Report"</definedName>
    <definedName function="false" hidden="true" name="HTML10_4" vbProcedure="false">""</definedName>
    <definedName function="false" hidden="true" name="HTML10_5" vbProcedure="false">""</definedName>
    <definedName function="false" hidden="true" name="HTML10_6" vbProcedure="false">-4146</definedName>
    <definedName function="false" hidden="true" name="HTML10_7" vbProcedure="false">-4146</definedName>
    <definedName function="false" hidden="true" name="HTML10_8" vbProcedure="false">"7/13/98"</definedName>
    <definedName function="false" hidden="true" name="HTML10_9" vbProcedure="false">"James Grote"</definedName>
    <definedName function="false" hidden="true" name="HTML11_10" vbProcedure="false">""</definedName>
    <definedName function="false" hidden="true" name="HTML11_11" vbProcedure="false">1</definedName>
    <definedName function="false" hidden="true" name="HTML11_2" vbProcedure="false">1</definedName>
    <definedName function="false" hidden="true" name="HTML11_3" vbProcedure="false">"Weekly New Prescription Report"</definedName>
    <definedName function="false" hidden="true" name="HTML11_4" vbProcedure="false">""</definedName>
    <definedName function="false" hidden="true" name="HTML11_5" vbProcedure="false">""</definedName>
    <definedName function="false" hidden="true" name="HTML11_6" vbProcedure="false">-4146</definedName>
    <definedName function="false" hidden="true" name="HTML11_7" vbProcedure="false">-4146</definedName>
    <definedName function="false" hidden="true" name="HTML11_8" vbProcedure="false">"6/5/98"</definedName>
    <definedName function="false" hidden="true" name="HTML11_9" vbProcedure="false">"James Grote"</definedName>
    <definedName function="false" hidden="true" name="HTML12_10" vbProcedure="false">""</definedName>
    <definedName function="false" hidden="true" name="HTML12_11" vbProcedure="false">1</definedName>
    <definedName function="false" hidden="true" name="HTML12_2" vbProcedure="false">1</definedName>
    <definedName function="false" hidden="true" name="HTML12_3" vbProcedure="false">"Weekly Total Prescription Report"</definedName>
    <definedName function="false" hidden="true" name="HTML12_4" vbProcedure="false">" "</definedName>
    <definedName function="false" hidden="true" name="HTML12_5" vbProcedure="false">""</definedName>
    <definedName function="false" hidden="true" name="HTML12_6" vbProcedure="false">-4146</definedName>
    <definedName function="false" hidden="true" name="HTML12_7" vbProcedure="false">-4146</definedName>
    <definedName function="false" hidden="true" name="HTML12_8" vbProcedure="false">"7/6/98"</definedName>
    <definedName function="false" hidden="true" name="HTML12_9" vbProcedure="false">"James Grote"</definedName>
    <definedName function="false" hidden="true" name="HTML13_10" vbProcedure="false">""</definedName>
    <definedName function="false" hidden="true" name="HTML13_11" vbProcedure="false">1</definedName>
    <definedName function="false" hidden="true" name="HTML13_2" vbProcedure="false">1</definedName>
    <definedName function="false" hidden="true" name="HTML13_3" vbProcedure="false">"Weekly New Prescription Report"</definedName>
    <definedName function="false" hidden="true" name="HTML13_4" vbProcedure="false">""</definedName>
    <definedName function="false" hidden="true" name="HTML13_5" vbProcedure="false">""</definedName>
    <definedName function="false" hidden="true" name="HTML13_6" vbProcedure="false">-4146</definedName>
    <definedName function="false" hidden="true" name="HTML13_7" vbProcedure="false">-4146</definedName>
    <definedName function="false" hidden="true" name="HTML13_8" vbProcedure="false">"7/6/98"</definedName>
    <definedName function="false" hidden="true" name="HTML13_9" vbProcedure="false">"James Grote"</definedName>
    <definedName function="false" hidden="true" name="HTML14_10" vbProcedure="false">""</definedName>
    <definedName function="false" hidden="true" name="HTML14_11" vbProcedure="false">1</definedName>
    <definedName function="false" hidden="true" name="HTML14_2" vbProcedure="false">1</definedName>
    <definedName function="false" hidden="true" name="HTML14_3" vbProcedure="false">"Weekly TRx Volume"</definedName>
    <definedName function="false" hidden="true" name="HTML14_4" vbProcedure="false">""</definedName>
    <definedName function="false" hidden="true" name="HTML14_5" vbProcedure="false">""</definedName>
    <definedName function="false" hidden="true" name="HTML14_6" vbProcedure="false">-4146</definedName>
    <definedName function="false" hidden="true" name="HTML14_7" vbProcedure="false">-4146</definedName>
    <definedName function="false" hidden="true" name="HTML14_8" vbProcedure="false">"6/19/98"</definedName>
    <definedName function="false" hidden="true" name="HTML14_9" vbProcedure="false">"James Grote"</definedName>
    <definedName function="false" hidden="true" name="HTML15_10" vbProcedure="false">""</definedName>
    <definedName function="false" hidden="true" name="HTML15_11" vbProcedure="false">1</definedName>
    <definedName function="false" hidden="true" name="HTML15_2" vbProcedure="false">1</definedName>
    <definedName function="false" hidden="true" name="HTML15_3" vbProcedure="false">"Weekly TRx Volume"</definedName>
    <definedName function="false" hidden="true" name="HTML15_4" vbProcedure="false">""</definedName>
    <definedName function="false" hidden="true" name="HTML15_5" vbProcedure="false">""</definedName>
    <definedName function="false" hidden="true" name="HTML15_6" vbProcedure="false">-4146</definedName>
    <definedName function="false" hidden="true" name="HTML15_7" vbProcedure="false">-4146</definedName>
    <definedName function="false" hidden="true" name="HTML15_8" vbProcedure="false">"7/13/98"</definedName>
    <definedName function="false" hidden="true" name="HTML15_9" vbProcedure="false">"James Grote"</definedName>
    <definedName function="false" hidden="true" name="HTML16_10" vbProcedure="false">""</definedName>
    <definedName function="false" hidden="true" name="HTML16_11" vbProcedure="false">1</definedName>
    <definedName function="false" hidden="true" name="HTML16_2" vbProcedure="false">1</definedName>
    <definedName function="false" hidden="true" name="HTML16_3" vbProcedure="false">"Weekly Antihistamine NRx Volume"</definedName>
    <definedName function="false" hidden="true" name="HTML16_4" vbProcedure="false">""</definedName>
    <definedName function="false" hidden="true" name="HTML16_5" vbProcedure="false">""</definedName>
    <definedName function="false" hidden="true" name="HTML16_6" vbProcedure="false">-4146</definedName>
    <definedName function="false" hidden="true" name="HTML16_7" vbProcedure="false">-4146</definedName>
    <definedName function="false" hidden="true" name="HTML16_8" vbProcedure="false">"7/6/98"</definedName>
    <definedName function="false" hidden="true" name="HTML16_9" vbProcedure="false">"James Grote"</definedName>
    <definedName function="false" hidden="true" name="HTML17_10" vbProcedure="false">""</definedName>
    <definedName function="false" hidden="true" name="HTML17_11" vbProcedure="false">1</definedName>
    <definedName function="false" hidden="true" name="HTML17_2" vbProcedure="false">1</definedName>
    <definedName function="false" hidden="true" name="HTML17_3" vbProcedure="false">"Weekly NRx Page"</definedName>
    <definedName function="false" hidden="true" name="HTML17_4" vbProcedure="false">""</definedName>
    <definedName function="false" hidden="true" name="HTML17_5" vbProcedure="false">""</definedName>
    <definedName function="false" hidden="true" name="HTML17_6" vbProcedure="false">-4146</definedName>
    <definedName function="false" hidden="true" name="HTML17_7" vbProcedure="false">-4146</definedName>
    <definedName function="false" hidden="true" name="HTML17_8" vbProcedure="false">"7/13/98"</definedName>
    <definedName function="false" hidden="true" name="HTML17_9" vbProcedure="false">"James Grote"</definedName>
    <definedName function="false" hidden="true" name="HTML18_10" vbProcedure="false">""</definedName>
    <definedName function="false" hidden="true" name="HTML18_11" vbProcedure="false">1</definedName>
    <definedName function="false" hidden="true" name="HTML18_2" vbProcedure="false">1</definedName>
    <definedName function="false" hidden="true" name="HTML18_3" vbProcedure="false">"Weekly TRx Page"</definedName>
    <definedName function="false" hidden="true" name="HTML18_4" vbProcedure="false">""</definedName>
    <definedName function="false" hidden="true" name="HTML18_5" vbProcedure="false">""</definedName>
    <definedName function="false" hidden="true" name="HTML18_6" vbProcedure="false">-4146</definedName>
    <definedName function="false" hidden="true" name="HTML18_7" vbProcedure="false">-4146</definedName>
    <definedName function="false" hidden="true" name="HTML18_8" vbProcedure="false">"7/13/98"</definedName>
    <definedName function="false" hidden="true" name="HTML18_9" vbProcedure="false">"James Grote"</definedName>
    <definedName function="false" hidden="true" name="HTML19_10" vbProcedure="false">""</definedName>
    <definedName function="false" hidden="true" name="HTML19_11" vbProcedure="false">1</definedName>
    <definedName function="false" hidden="true" name="HTML19_2" vbProcedure="false">1</definedName>
    <definedName function="false" hidden="true" name="HTML19_3" vbProcedure="false">"Weekly Total Prescription Summary"</definedName>
    <definedName function="false" hidden="true" name="HTML19_4" vbProcedure="false">""</definedName>
    <definedName function="false" hidden="true" name="HTML19_5" vbProcedure="false">""</definedName>
    <definedName function="false" hidden="true" name="HTML19_6" vbProcedure="false">-4146</definedName>
    <definedName function="false" hidden="true" name="HTML19_7" vbProcedure="false">-4146</definedName>
    <definedName function="false" hidden="true" name="HTML19_8" vbProcedure="false">"7/17/98"</definedName>
    <definedName function="false" hidden="true" name="HTML19_9" vbProcedure="false">"James Grote"</definedName>
    <definedName function="false" hidden="true" name="HTML1_1" vbProcedure="false">"[FCFF3]Sheet1!$A$1:$L$34"</definedName>
    <definedName function="false" hidden="true" name="HTML1_10" vbProcedure="false">""</definedName>
    <definedName function="false" hidden="true" name="HTML1_11" vbProcedure="false">1</definedName>
    <definedName function="false" hidden="true" name="HTML1_12" vbProcedure="false">"Aswath:Adobe SiteMill™ 1.0.2:MyHomePage:FCFF3.html"</definedName>
    <definedName function="false" hidden="true" name="HTML1_2" vbProcedure="false">1</definedName>
    <definedName function="false" hidden="true" name="HTML1_3" vbProcedure="false">"FCFF3"</definedName>
    <definedName function="false" hidden="true" name="HTML1_4" vbProcedure="false">"Three-Stage FCFF Model"</definedName>
    <definedName function="false" hidden="true" name="HTML1_5" vbProcedure="false">""</definedName>
    <definedName function="false" hidden="true" name="HTML1_6" vbProcedure="false">-4146</definedName>
    <definedName function="false" hidden="true" name="HTML1_7" vbProcedure="false">-4146</definedName>
    <definedName function="false" hidden="true" name="HTML1_8" vbProcedure="false">"10/22/96"</definedName>
    <definedName function="false" hidden="true" name="HTML1_9" vbProcedure="false">"Aswath Damodaran"</definedName>
    <definedName function="false" hidden="true" name="html2" vbProcedure="false">{"'Sample Status'!$A$1:$J$21"}</definedName>
    <definedName function="false" hidden="true" name="HTML20_10" vbProcedure="false">""</definedName>
    <definedName function="false" hidden="true" name="HTML20_11" vbProcedure="false">1</definedName>
    <definedName function="false" hidden="true" name="HTML20_2" vbProcedure="false">1</definedName>
    <definedName function="false" hidden="true" name="HTML20_3" vbProcedure="false">"Weekly New Prescription Page"</definedName>
    <definedName function="false" hidden="true" name="HTML20_4" vbProcedure="false">""</definedName>
    <definedName function="false" hidden="true" name="HTML20_5" vbProcedure="false">""</definedName>
    <definedName function="false" hidden="true" name="HTML20_6" vbProcedure="false">-4146</definedName>
    <definedName function="false" hidden="true" name="HTML20_7" vbProcedure="false">-4146</definedName>
    <definedName function="false" hidden="true" name="HTML20_8" vbProcedure="false">"8/3/98"</definedName>
    <definedName function="false" hidden="true" name="HTML20_9" vbProcedure="false">"James Grote"</definedName>
    <definedName function="false" hidden="true" name="HTML21_10" vbProcedure="false">""</definedName>
    <definedName function="false" hidden="true" name="HTML21_11" vbProcedure="false">1</definedName>
    <definedName function="false" hidden="true" name="HTML21_2" vbProcedure="false">1</definedName>
    <definedName function="false" hidden="true" name="HTML21_3" vbProcedure="false">"Weekly Total Prescription Page"</definedName>
    <definedName function="false" hidden="true" name="HTML21_4" vbProcedure="false">""</definedName>
    <definedName function="false" hidden="true" name="HTML21_5" vbProcedure="false">""</definedName>
    <definedName function="false" hidden="true" name="HTML21_6" vbProcedure="false">-4146</definedName>
    <definedName function="false" hidden="true" name="HTML21_7" vbProcedure="false">-4146</definedName>
    <definedName function="false" hidden="true" name="HTML21_8" vbProcedure="false">"8/3/98"</definedName>
    <definedName function="false" hidden="true" name="HTML21_9" vbProcedure="false">"James Grote"</definedName>
    <definedName function="false" hidden="true" name="HTML22_10" vbProcedure="false">""</definedName>
    <definedName function="false" hidden="true" name="HTML22_11" vbProcedure="false">1</definedName>
    <definedName function="false" hidden="true" name="HTML22_2" vbProcedure="false">1</definedName>
    <definedName function="false" hidden="true" name="HTML22_3" vbProcedure="false">"Weekly Antihistamine NRx Volume"</definedName>
    <definedName function="false" hidden="true" name="HTML22_4" vbProcedure="false">""</definedName>
    <definedName function="false" hidden="true" name="HTML22_5" vbProcedure="false">""</definedName>
    <definedName function="false" hidden="true" name="HTML22_6" vbProcedure="false">-4146</definedName>
    <definedName function="false" hidden="true" name="HTML22_7" vbProcedure="false">-4146</definedName>
    <definedName function="false" hidden="true" name="HTML22_8" vbProcedure="false">"8/3/98"</definedName>
    <definedName function="false" hidden="true" name="HTML22_9" vbProcedure="false">"James Grote"</definedName>
    <definedName function="false" hidden="true" name="HTML23_10" vbProcedure="false">""</definedName>
    <definedName function="false" hidden="true" name="HTML23_11" vbProcedure="false">1</definedName>
    <definedName function="false" hidden="true" name="HTML23_2" vbProcedure="false">1</definedName>
    <definedName function="false" hidden="true" name="HTML23_3" vbProcedure="false">"Weekly Antihistamine TRx Volume"</definedName>
    <definedName function="false" hidden="true" name="HTML23_4" vbProcedure="false">""</definedName>
    <definedName function="false" hidden="true" name="HTML23_5" vbProcedure="false">""</definedName>
    <definedName function="false" hidden="true" name="HTML23_6" vbProcedure="false">-4146</definedName>
    <definedName function="false" hidden="true" name="HTML23_7" vbProcedure="false">-4146</definedName>
    <definedName function="false" hidden="true" name="HTML23_8" vbProcedure="false">"8/3/98"</definedName>
    <definedName function="false" hidden="true" name="HTML23_9" vbProcedure="false">"James Grote"</definedName>
    <definedName function="false" hidden="true" name="HTML24_10" vbProcedure="false">""</definedName>
    <definedName function="false" hidden="true" name="HTML24_11" vbProcedure="false">1</definedName>
    <definedName function="false" hidden="true" name="HTML24_2" vbProcedure="false">1</definedName>
    <definedName function="false" hidden="true" name="HTML24_3" vbProcedure="false">"Weekly NRx Report"</definedName>
    <definedName function="false" hidden="true" name="HTML24_4" vbProcedure="false">""</definedName>
    <definedName function="false" hidden="true" name="HTML24_5" vbProcedure="false">""</definedName>
    <definedName function="false" hidden="true" name="HTML24_6" vbProcedure="false">-4146</definedName>
    <definedName function="false" hidden="true" name="HTML24_7" vbProcedure="false">-4146</definedName>
    <definedName function="false" hidden="true" name="HTML24_8" vbProcedure="false">"8/10/98"</definedName>
    <definedName function="false" hidden="true" name="HTML24_9" vbProcedure="false">"James Grote"</definedName>
    <definedName function="false" hidden="true" name="HTML25_10" vbProcedure="false">""</definedName>
    <definedName function="false" hidden="true" name="HTML25_11" vbProcedure="false">1</definedName>
    <definedName function="false" hidden="true" name="HTML25_2" vbProcedure="false">1</definedName>
    <definedName function="false" hidden="true" name="HTML25_3" vbProcedure="false">"Weekly TRx Report"</definedName>
    <definedName function="false" hidden="true" name="HTML25_4" vbProcedure="false">""</definedName>
    <definedName function="false" hidden="true" name="HTML25_5" vbProcedure="false">""</definedName>
    <definedName function="false" hidden="true" name="HTML25_6" vbProcedure="false">-4146</definedName>
    <definedName function="false" hidden="true" name="HTML25_7" vbProcedure="false">-4146</definedName>
    <definedName function="false" hidden="true" name="HTML25_8" vbProcedure="false">"8/10/98"</definedName>
    <definedName function="false" hidden="true" name="HTML25_9" vbProcedure="false">"James Grote"</definedName>
    <definedName function="false" hidden="true" name="HTML26_10" vbProcedure="false">""</definedName>
    <definedName function="false" hidden="true" name="HTML26_11" vbProcedure="false">1</definedName>
    <definedName function="false" hidden="true" name="HTML26_2" vbProcedure="false">1</definedName>
    <definedName function="false" hidden="true" name="HTML26_3" vbProcedure="false">"Weekly New Antihistamine Volume"</definedName>
    <definedName function="false" hidden="true" name="HTML26_4" vbProcedure="false">""</definedName>
    <definedName function="false" hidden="true" name="HTML26_5" vbProcedure="false">""</definedName>
    <definedName function="false" hidden="true" name="HTML26_6" vbProcedure="false">-4146</definedName>
    <definedName function="false" hidden="true" name="HTML26_7" vbProcedure="false">-4146</definedName>
    <definedName function="false" hidden="true" name="HTML26_8" vbProcedure="false">"9/7/98"</definedName>
    <definedName function="false" hidden="true" name="HTML26_9" vbProcedure="false">"James Grote"</definedName>
    <definedName function="false" hidden="true" name="HTML27_10" vbProcedure="false">""</definedName>
    <definedName function="false" hidden="true" name="HTML27_11" vbProcedure="false">1</definedName>
    <definedName function="false" hidden="true" name="HTML27_2" vbProcedure="false">1</definedName>
    <definedName function="false" hidden="true" name="HTML27_3" vbProcedure="false">"Weekly Total Antihistamine Volume"</definedName>
    <definedName function="false" hidden="true" name="HTML27_4" vbProcedure="false">""</definedName>
    <definedName function="false" hidden="true" name="HTML27_5" vbProcedure="false">""</definedName>
    <definedName function="false" hidden="true" name="HTML27_6" vbProcedure="false">-4146</definedName>
    <definedName function="false" hidden="true" name="HTML27_7" vbProcedure="false">-4146</definedName>
    <definedName function="false" hidden="true" name="HTML27_8" vbProcedure="false">"9/7/98"</definedName>
    <definedName function="false" hidden="true" name="HTML27_9" vbProcedure="false">"James Grote"</definedName>
    <definedName function="false" hidden="true" name="HTML28_10" vbProcedure="false">""</definedName>
    <definedName function="false" hidden="true" name="HTML28_11" vbProcedure="false">1</definedName>
    <definedName function="false" hidden="true" name="HTML28_2" vbProcedure="false">1</definedName>
    <definedName function="false" hidden="true" name="HTML28_3" vbProcedure="false">"Weekly TRx Report"</definedName>
    <definedName function="false" hidden="true" name="HTML28_4" vbProcedure="false">""</definedName>
    <definedName function="false" hidden="true" name="HTML28_5" vbProcedure="false">""</definedName>
    <definedName function="false" hidden="true" name="HTML28_6" vbProcedure="false">-4146</definedName>
    <definedName function="false" hidden="true" name="HTML28_7" vbProcedure="false">-4146</definedName>
    <definedName function="false" hidden="true" name="HTML28_8" vbProcedure="false">"8/10/98"</definedName>
    <definedName function="false" hidden="true" name="HTML28_9" vbProcedure="false">"James Grote"</definedName>
    <definedName function="false" hidden="true" name="HTML29_10" vbProcedure="false">""</definedName>
    <definedName function="false" hidden="true" name="HTML29_11" vbProcedure="false">1</definedName>
    <definedName function="false" hidden="true" name="HTML29_2" vbProcedure="false">1</definedName>
    <definedName function="false" hidden="true" name="HTML29_3" vbProcedure="false">"Weekly NRx Report"</definedName>
    <definedName function="false" hidden="true" name="HTML29_4" vbProcedure="false">""</definedName>
    <definedName function="false" hidden="true" name="HTML29_5" vbProcedure="false">""</definedName>
    <definedName function="false" hidden="true" name="HTML29_6" vbProcedure="false">-4146</definedName>
    <definedName function="false" hidden="true" name="HTML29_7" vbProcedure="false">-4146</definedName>
    <definedName function="false" hidden="true" name="HTML29_8" vbProcedure="false">"8/10/98"</definedName>
    <definedName function="false" hidden="true" name="HTML29_9" vbProcedure="false">"James Grote"</definedName>
    <definedName function="false" hidden="true" name="HTML2_10" vbProcedure="false">""</definedName>
    <definedName function="false" hidden="true" name="HTML2_11" vbProcedure="false">1</definedName>
    <definedName function="false" hidden="true" name="HTML2_2" vbProcedure="false">1</definedName>
    <definedName function="false" hidden="true" name="HTML2_3" vbProcedure="false">""</definedName>
    <definedName function="false" hidden="true" name="HTML2_4" vbProcedure="false">""</definedName>
    <definedName function="false" hidden="true" name="HTML2_5" vbProcedure="false">""</definedName>
    <definedName function="false" hidden="true" name="HTML2_6" vbProcedure="false">-4146</definedName>
    <definedName function="false" hidden="true" name="HTML2_7" vbProcedure="false">-4146</definedName>
    <definedName function="false" hidden="true" name="HTML2_8" vbProcedure="false">"6/3/98"</definedName>
    <definedName function="false" hidden="true" name="HTML2_9" vbProcedure="false">"James Grote"</definedName>
    <definedName function="false" hidden="true" name="HTML30_10" vbProcedure="false">""</definedName>
    <definedName function="false" hidden="true" name="HTML30_11" vbProcedure="false">1</definedName>
    <definedName function="false" hidden="true" name="HTML30_2" vbProcedure="false">1</definedName>
    <definedName function="false" hidden="true" name="HTML30_3" vbProcedure="false">"Weekly TRx Report"</definedName>
    <definedName function="false" hidden="true" name="HTML30_4" vbProcedure="false">""</definedName>
    <definedName function="false" hidden="true" name="HTML30_5" vbProcedure="false">""</definedName>
    <definedName function="false" hidden="true" name="HTML30_6" vbProcedure="false">-4146</definedName>
    <definedName function="false" hidden="true" name="HTML30_7" vbProcedure="false">-4146</definedName>
    <definedName function="false" hidden="true" name="HTML30_8" vbProcedure="false">"8/10/98"</definedName>
    <definedName function="false" hidden="true" name="HTML30_9" vbProcedure="false">"James Grote"</definedName>
    <definedName function="false" hidden="true" name="HTML31_10" vbProcedure="false">""</definedName>
    <definedName function="false" hidden="true" name="HTML31_11" vbProcedure="false">1</definedName>
    <definedName function="false" hidden="true" name="HTML31_2" vbProcedure="false">1</definedName>
    <definedName function="false" hidden="true" name="HTML31_3" vbProcedure="false">"Weekly NRx Page"</definedName>
    <definedName function="false" hidden="true" name="HTML31_4" vbProcedure="false">""</definedName>
    <definedName function="false" hidden="true" name="HTML31_5" vbProcedure="false">""</definedName>
    <definedName function="false" hidden="true" name="HTML31_6" vbProcedure="false">-4146</definedName>
    <definedName function="false" hidden="true" name="HTML31_7" vbProcedure="false">-4146</definedName>
    <definedName function="false" hidden="true" name="HTML31_8" vbProcedure="false">"9/7/98"</definedName>
    <definedName function="false" hidden="true" name="HTML31_9" vbProcedure="false">"James Grote"</definedName>
    <definedName function="false" hidden="true" name="HTML32_10" vbProcedure="false">""</definedName>
    <definedName function="false" hidden="true" name="HTML32_11" vbProcedure="false">1</definedName>
    <definedName function="false" hidden="true" name="HTML32_2" vbProcedure="false">1</definedName>
    <definedName function="false" hidden="true" name="HTML32_3" vbProcedure="false">"Weekly TRx Page"</definedName>
    <definedName function="false" hidden="true" name="HTML32_4" vbProcedure="false">""</definedName>
    <definedName function="false" hidden="true" name="HTML32_5" vbProcedure="false">""</definedName>
    <definedName function="false" hidden="true" name="HTML32_6" vbProcedure="false">-4146</definedName>
    <definedName function="false" hidden="true" name="HTML32_7" vbProcedure="false">-4146</definedName>
    <definedName function="false" hidden="true" name="HTML32_8" vbProcedure="false">"9/7/98"</definedName>
    <definedName function="false" hidden="true" name="HTML32_9" vbProcedure="false">"James Grote"</definedName>
    <definedName function="false" hidden="true" name="HTML3_10" vbProcedure="false">""</definedName>
    <definedName function="false" hidden="true" name="HTML3_11" vbProcedure="false">1</definedName>
    <definedName function="false" hidden="true" name="HTML3_2" vbProcedure="false">1</definedName>
    <definedName function="false" hidden="true" name="HTML3_3" vbProcedure="false">"Weekly TRx Report"</definedName>
    <definedName function="false" hidden="true" name="HTML3_4" vbProcedure="false">""</definedName>
    <definedName function="false" hidden="true" name="HTML3_5" vbProcedure="false">""</definedName>
    <definedName function="false" hidden="true" name="HTML3_6" vbProcedure="false">-4146</definedName>
    <definedName function="false" hidden="true" name="HTML3_7" vbProcedure="false">-4146</definedName>
    <definedName function="false" hidden="true" name="HTML3_8" vbProcedure="false">"6/4/98"</definedName>
    <definedName function="false" hidden="true" name="HTML3_9" vbProcedure="false">"James Grote"</definedName>
    <definedName function="false" hidden="true" name="HTML4_10" vbProcedure="false">""</definedName>
    <definedName function="false" hidden="true" name="HTML4_11" vbProcedure="false">1</definedName>
    <definedName function="false" hidden="true" name="HTML4_2" vbProcedure="false">1</definedName>
    <definedName function="false" hidden="true" name="HTML4_3" vbProcedure="false">"Weekly New Prescription Report"</definedName>
    <definedName function="false" hidden="true" name="HTML4_4" vbProcedure="false">""</definedName>
    <definedName function="false" hidden="true" name="HTML4_5" vbProcedure="false">""</definedName>
    <definedName function="false" hidden="true" name="HTML4_6" vbProcedure="false">-4146</definedName>
    <definedName function="false" hidden="true" name="HTML4_7" vbProcedure="false">-4146</definedName>
    <definedName function="false" hidden="true" name="HTML4_8" vbProcedure="false">"6/8/98"</definedName>
    <definedName function="false" hidden="true" name="HTML4_9" vbProcedure="false">"James Grote"</definedName>
    <definedName function="false" hidden="true" name="HTML5_10" vbProcedure="false">""</definedName>
    <definedName function="false" hidden="true" name="HTML5_11" vbProcedure="false">1</definedName>
    <definedName function="false" hidden="true" name="HTML5_2" vbProcedure="false">1</definedName>
    <definedName function="false" hidden="true" name="HTML5_3" vbProcedure="false">"Weekly Total Prescription Report"</definedName>
    <definedName function="false" hidden="true" name="HTML5_4" vbProcedure="false">""</definedName>
    <definedName function="false" hidden="true" name="HTML5_5" vbProcedure="false">""</definedName>
    <definedName function="false" hidden="true" name="HTML5_6" vbProcedure="false">-4146</definedName>
    <definedName function="false" hidden="true" name="HTML5_7" vbProcedure="false">-4146</definedName>
    <definedName function="false" hidden="true" name="HTML5_8" vbProcedure="false">"6/8/98"</definedName>
    <definedName function="false" hidden="true" name="HTML5_9" vbProcedure="false">"James Grote"</definedName>
    <definedName function="false" hidden="true" name="HTML6_10" vbProcedure="false">""</definedName>
    <definedName function="false" hidden="true" name="HTML6_11" vbProcedure="false">1</definedName>
    <definedName function="false" hidden="true" name="HTML6_2" vbProcedure="false">1</definedName>
    <definedName function="false" hidden="true" name="HTML6_3" vbProcedure="false">"Weekly Allergy Volume Page"</definedName>
    <definedName function="false" hidden="true" name="HTML6_4" vbProcedure="false">""</definedName>
    <definedName function="false" hidden="true" name="HTML6_5" vbProcedure="false">""</definedName>
    <definedName function="false" hidden="true" name="HTML6_6" vbProcedure="false">-4146</definedName>
    <definedName function="false" hidden="true" name="HTML6_7" vbProcedure="false">-4146</definedName>
    <definedName function="false" hidden="true" name="HTML6_8" vbProcedure="false">""</definedName>
    <definedName function="false" hidden="true" name="HTML6_9" vbProcedure="false">""</definedName>
    <definedName function="false" hidden="true" name="HTML7_10" vbProcedure="false">""</definedName>
    <definedName function="false" hidden="true" name="HTML7_11" vbProcedure="false">1</definedName>
    <definedName function="false" hidden="true" name="HTML7_2" vbProcedure="false">1</definedName>
    <definedName function="false" hidden="true" name="HTML7_3" vbProcedure="false">"Weekly Allergy Volume Report"</definedName>
    <definedName function="false" hidden="true" name="HTML7_4" vbProcedure="false">""</definedName>
    <definedName function="false" hidden="true" name="HTML7_5" vbProcedure="false">""</definedName>
    <definedName function="false" hidden="true" name="HTML7_6" vbProcedure="false">-4146</definedName>
    <definedName function="false" hidden="true" name="HTML7_7" vbProcedure="false">-4146</definedName>
    <definedName function="false" hidden="true" name="HTML7_8" vbProcedure="false">""</definedName>
    <definedName function="false" hidden="true" name="HTML7_9" vbProcedure="false">" "</definedName>
    <definedName function="false" hidden="true" name="HTML8_10" vbProcedure="false">""</definedName>
    <definedName function="false" hidden="true" name="HTML8_11" vbProcedure="false">1</definedName>
    <definedName function="false" hidden="true" name="HTML8_2" vbProcedure="false">1</definedName>
    <definedName function="false" hidden="true" name="HTML8_3" vbProcedure="false">"Weekly Antihistamine Volume Data"</definedName>
    <definedName function="false" hidden="true" name="HTML8_4" vbProcedure="false">""</definedName>
    <definedName function="false" hidden="true" name="HTML8_5" vbProcedure="false">""</definedName>
    <definedName function="false" hidden="true" name="HTML8_6" vbProcedure="false">-4146</definedName>
    <definedName function="false" hidden="true" name="HTML8_7" vbProcedure="false">-4146</definedName>
    <definedName function="false" hidden="true" name="HTML8_8" vbProcedure="false">"6/5/98"</definedName>
    <definedName function="false" hidden="true" name="HTML8_9" vbProcedure="false">"James Grote"</definedName>
    <definedName function="false" hidden="true" name="HTML9_10" vbProcedure="false">""</definedName>
    <definedName function="false" hidden="true" name="HTML9_11" vbProcedure="false">1</definedName>
    <definedName function="false" hidden="true" name="HTML9_2" vbProcedure="false">1</definedName>
    <definedName function="false" hidden="true" name="HTML9_3" vbProcedure="false">"Weekly Antihistamine Volme Report"</definedName>
    <definedName function="false" hidden="true" name="HTML9_4" vbProcedure="false">""</definedName>
    <definedName function="false" hidden="true" name="HTML9_5" vbProcedure="false">""</definedName>
    <definedName function="false" hidden="true" name="HTML9_6" vbProcedure="false">-4146</definedName>
    <definedName function="false" hidden="true" name="HTML9_7" vbProcedure="false">-4146</definedName>
    <definedName function="false" hidden="true" name="HTML9_8" vbProcedure="false">"6/8/98"</definedName>
    <definedName function="false" hidden="true" name="HTML9_9" vbProcedure="false">"James Grote"</definedName>
    <definedName function="false" hidden="true" name="HTMLCount" vbProcedure="false">1</definedName>
    <definedName function="false" hidden="true" name="htmll2" vbProcedure="false">{"'Sample Status'!$A$1:$J$21"}</definedName>
    <definedName function="false" hidden="true" name="HTML_CodePage" vbProcedure="false">1252</definedName>
    <definedName function="false" hidden="true" name="HTML_Control" vbProcedure="false">{"'A'!$CL$1:$DB$170"}</definedName>
    <definedName function="false" hidden="true" name="HTML_Control1" vbProcedure="false">{"'Cypris'!$A$1:$D$9"}</definedName>
    <definedName function="false" hidden="true" name="HTML_Control3" vbProcedure="false">{"'Cypris'!$A$1:$D$9"}</definedName>
    <definedName function="false" hidden="true" name="HTML_Controlold" vbProcedure="false">{"'Sheet1'!$A$1:$H$145"}</definedName>
    <definedName function="false" hidden="true" name="HTML_Description" vbProcedure="false">""</definedName>
    <definedName function="false" hidden="true" name="HTML_Email" vbProcedure="false">""</definedName>
    <definedName function="false" hidden="true" name="HTML_Header" vbProcedure="false">"Local Currency to US Dollar"</definedName>
    <definedName function="false" hidden="true" name="HTML_LastUpdate" vbProcedure="false">"2/23/98"</definedName>
    <definedName function="false" hidden="true" name="HTML_LineAfter" vbProcedure="false">FALSE()</definedName>
    <definedName function="false" hidden="true" name="HTML_LineBefore" vbProcedure="false">FALSE()</definedName>
    <definedName function="false" hidden="true" name="HTML_Name" vbProcedure="false">"†††††††††††"</definedName>
    <definedName function="false" hidden="true" name="HTML_OBDlg2" vbProcedure="false">TRUE()</definedName>
    <definedName function="false" hidden="true" name="HTML_OBDlg4" vbProcedure="false">TRUE()</definedName>
    <definedName function="false" hidden="true" name="HTML_OS" vbProcedure="false">0</definedName>
    <definedName function="false" hidden="true" name="HTML_PathFile" vbProcedure="false">"S:\shared\finrpt\fx\rates\mar98l.htm"</definedName>
    <definedName function="false" hidden="true" name="HTML_PathFileMac" vbProcedure="false">"Macintosh HD:HomePageStuff:New_Home_Page:datafile:ctryprem.html"</definedName>
    <definedName function="false" hidden="true" name="HTML_Title" vbProcedure="false">"Local Currency to US Dollar"</definedName>
    <definedName function="false" hidden="true" name="HTM_Control" vbProcedure="false">{"'下期集計（10.27迄・速報値）'!$Q$16"}</definedName>
    <definedName function="false" hidden="true" name="htrhrw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twthjwrt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htyuityuiotio" vbProcedure="false">{#N/A,#N/A,FALSE,"REPORT"}</definedName>
    <definedName function="false" hidden="true" name="hu" vbProcedure="false">{"detail",#N/A,FALSE,"mfg";"summary",#N/A,FALSE,"mfg"}</definedName>
    <definedName function="false" hidden="true" name="hvuvv" vbProcedure="false">{#N/A,#N/A,FALSE,"CONTENTS";#N/A,#N/A,FALSE,"DR";#N/A,#N/A,FALSE,"PL";#N/A,#N/A,FALSE,"BS";#N/A,#N/A,FALSE,"Cash Flow";#N/A,#N/A,FALSE,"NOTES";#N/A,#N/A,FALSE,"NOTES (FA)";#N/A,#N/A,FALSE,"Notes(3)";#N/A,#N/A,FALSE,"NOTES (4)";#N/A,#N/A,FALSE,"DP&amp;L";#N/A,#N/A,FALSE,"EXPENSES";#N/A,#N/A,FALSE,"EXPENSES-1"}</definedName>
    <definedName function="false" hidden="true" name="hw" vbProcedure="false">{"sales growth",#N/A,FALSE,"summary";"oper income",#N/A,FALSE,"summary";"oros rank",#N/A,FALSE,"summary";"net assets",#N/A,FALSE,"summary";"asset turnover",#N/A,FALSE,"summary";"orona",#N/A,FALSE,"summary"}</definedName>
    <definedName function="false" hidden="true" name="hwrththuw"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hwty" vbProcedure="false">{"Units A",#N/A,FALSE,"FY95SLS";"Units B",#N/A,FALSE,"FY95SLS"}</definedName>
    <definedName function="false" hidden="true" name="hy"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hyg" vbProcedure="false">{#N/A,#N/A,FALSE,"Eastern";#N/A,#N/A,FALSE,"Western"}</definedName>
    <definedName function="false" hidden="true" name="Hyp" vbProcedure="false">{#N/A,#N/A,FALSE,"Title";#N/A,#N/A,FALSE,"Contents";#N/A,#N/A,FALSE,"Executive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function="false" hidden="true" name="Hypertention" vbProcedure="false">{#N/A,#N/A,FALSE,"Pharm";#N/A,#N/A,FALSE,"WWCM"}</definedName>
    <definedName function="false" hidden="true" name="hypo" vbProcedure="false">{#N/A,#N/A,FALSE,"Pharm";#N/A,#N/A,FALSE,"WWCM"}</definedName>
    <definedName function="false" hidden="true" name="hzsdbfvkzj" vbProcedure="false">#REF!</definedName>
    <definedName function="false" hidden="true" name="iay" vbProcedure="false">{#N/A,#N/A,FALSE,"DIR-REP";#N/A,#N/A,FALSE,"AUD-REPORT";#N/A,#N/A,FALSE,"P7L&amp;BS";#N/A,#N/A,FALSE,"NOTES";#N/A,#N/A,FALSE,"FA";#N/A,#N/A,FALSE,"NOTES (2)";#N/A,#N/A,FALSE,"Schedule  IV";#N/A,#N/A,FALSE,"Schedule V"}</definedName>
    <definedName function="false" hidden="true" name="ibnjks" vbProcedure="false">{"detail",#N/A,FALSE,"mfg";"summary",#N/A,FALSE,"mfg"}</definedName>
    <definedName function="false" hidden="true" name="iColBBot" vbProcedure="false">#REF!</definedName>
    <definedName function="false" hidden="true" name="iColBTop" vbProcedure="false">#REF!</definedName>
    <definedName function="false" hidden="true" name="icolCcatgid" vbProcedure="false">#REF!</definedName>
    <definedName function="false" hidden="true" name="icolDiv" vbProcedure="false">#REF!</definedName>
    <definedName function="false" hidden="true" name="iColOperator" vbProcedure="false">#REF!</definedName>
    <definedName function="false" hidden="true" name="iColPctBase" vbProcedure="false">#REF!</definedName>
    <definedName function="false" hidden="true" name="iColSeq" vbProcedure="false">#REF!</definedName>
    <definedName function="false" hidden="true" name="iColSumEnd" vbProcedure="false">#REF!</definedName>
    <definedName function="false" hidden="true" name="iColSumStart" vbProcedure="false">#REF!</definedName>
    <definedName function="false" hidden="true" name="iColTitle" vbProcedure="false">#REF!</definedName>
    <definedName function="false" hidden="true" name="iColType" vbProcedure="false">#REF!</definedName>
    <definedName function="false" hidden="true" name="IDL.Connector.UDF" vbProcedure="false">0</definedName>
    <definedName function="false" hidden="true" name="IDL.Connector.Version" vbProcedure="false">"14.0.2.0"</definedName>
    <definedName function="false" hidden="true" name="IDL.Connector.Version2020" vbProcedure="false">"19.0.0.0"</definedName>
    <definedName function="false" hidden="true" name="IDL.Connector.Version_1" vbProcedure="false">"16.1.0.0"</definedName>
    <definedName function="false" hidden="true" name="IDL1.Connector.Version" vbProcedure="false">"19.0.0.0"</definedName>
    <definedName function="false" hidden="true" name="ID_Dropdown" vbProcedure="false">#REF!</definedName>
    <definedName function="false" hidden="true" name="IEP" vbProcedure="false">#N/A</definedName>
    <definedName function="false" hidden="true" name="IEPeXToEUR" vbProcedure="false">1/eurextoiep</definedName>
    <definedName function="false" hidden="true" name="ii" vbProcedure="false">{"Tariff Comparison",#N/A,FALSE,"Benchmarking";"Tariff Comparison 2",#N/A,FALSE,"Benchmarking";"Tariff Comparison 3",#N/A,FALSE,"Benchmarking"}</definedName>
    <definedName function="false" hidden="true" name="ii.oo" vbProcedure="false">{#N/A,#N/A,FALSE,"Umsatz EO BP";#N/A,#N/A,FALSE,"Umsatz EO OP";#N/A,#N/A,FALSE,"ER EO BP";#N/A,#N/A,FALSE,"ER EO OP";#N/A,#N/A,FALSE,"EA EO (2)";#N/A,#N/A,FALSE,"EA EO";#N/A,#N/A,FALSE,"EA EO (3)";#N/A,#N/A,FALSE,"EA EO (4)";#N/A,#N/A,FALSE,"KA EO  (2)";#N/A,#N/A,FALSE,"KA EO";#N/A,#N/A,FALSE,"KA EO  (3)";#N/A,#N/A,FALSE,"KA EO (4)"}</definedName>
    <definedName function="false" hidden="true" name="iii" vbProcedure="false">{"detail",#N/A,FALSE,"mfg";"summary",#N/A,FALSE,"mfg"}</definedName>
    <definedName function="false" hidden="true" name="iiiii" vbProcedure="false">{#N/A,#N/A,FALSE,"Calc";#N/A,#N/A,FALSE,"Sensitivity";#N/A,#N/A,FALSE,"LT Earn.Dil.";#N/A,#N/A,FALSE,"Dil. AVP"}</definedName>
    <definedName function="false" hidden="true" name="ijoi" vbProcedure="false">{#N/A,#N/A,FALSE,"Produkte Erw.";#N/A,#N/A,FALSE,"Produkte Plan";#N/A,#N/A,FALSE,"Leistungen Erw.";#N/A,#N/A,FALSE,"Leistungen Plan";#N/A,#N/A,FALSE,"KA Allg.Kosten (2)";#N/A,#N/A,FALSE,"KA All.Kosten"}</definedName>
    <definedName function="false" hidden="true" name="ik" vbProcedure="false">{"detail",#N/A,FALSE,"mfg";"summary",#N/A,FALSE,"mfg"}</definedName>
    <definedName function="false" hidden="true" name="imeclosedthreads" vbProcedure="false">41918.5692013889</definedName>
    <definedName function="false" hidden="true" name="Img_ML_1c3d1n6n" vbProcedure="false">"IMG_10"</definedName>
    <definedName function="false" hidden="true" name="Img_ML_1t5s6u1f" vbProcedure="false">"IMG_6"</definedName>
    <definedName function="false" hidden="true" name="Img_ML_1y7a6c1t" vbProcedure="false">"IMG_10"</definedName>
    <definedName function="false" hidden="true" name="Img_ML_2b2b8h8h" vbProcedure="false">"IMG_10"</definedName>
    <definedName function="false" hidden="true" name="Img_ML_2v6s9i5c" vbProcedure="false">"IMG_6"</definedName>
    <definedName function="false" hidden="true" name="Img_ML_3b3j3x9k" vbProcedure="false">"IMG_6"</definedName>
    <definedName function="false" hidden="true" name="Img_ML_3c6e9c4g" vbProcedure="false">"IMG_10"</definedName>
    <definedName function="false" hidden="true" name="Img_ML_3c7g1a7g" vbProcedure="false">"IMG_10"</definedName>
    <definedName function="false" hidden="true" name="Img_ML_3e2q4k7i" vbProcedure="false">"IMG_10"</definedName>
    <definedName function="false" hidden="true" name="Img_ML_3h2n3p4v" vbProcedure="false">"IMG_6"</definedName>
    <definedName function="false" hidden="true" name="Img_ML_3p5d9q5j" vbProcedure="false">"IMG_10"</definedName>
    <definedName function="false" hidden="true" name="Img_ML_3y1j4m2m" vbProcedure="false">"IMG_12"</definedName>
    <definedName function="false" hidden="true" name="Img_ML_4d2b6f6f" vbProcedure="false">"IMG_10"</definedName>
    <definedName function="false" hidden="true" name="Img_ML_4m3p5r8j" vbProcedure="false">"IMG_18"</definedName>
    <definedName function="false" hidden="true" name="Img_ML_5d3i8b5s" vbProcedure="false">"IMG_3"</definedName>
    <definedName function="false" hidden="true" name="Img_ML_5e7g5e5e" vbProcedure="false">"IMG_10"</definedName>
    <definedName function="false" hidden="true" name="Img_ML_5e7s6t2u" vbProcedure="false">"IMG_6"</definedName>
    <definedName function="false" hidden="true" name="Img_ML_5f9d1i5x" vbProcedure="false">"IMG_3"</definedName>
    <definedName function="false" hidden="true" name="Img_ML_5h6q3g8u" vbProcedure="false">"IMG_10"</definedName>
    <definedName function="false" hidden="true" name="Img_ML_5k7e4n8n" vbProcedure="false">"IMG_6"</definedName>
    <definedName function="false" hidden="true" name="Img_ML_5k8u7s9i" vbProcedure="false">"IMG_18"</definedName>
    <definedName function="false" hidden="true" name="Img_ML_6f2p1m9g" vbProcedure="false">"IMG_10"</definedName>
    <definedName function="false" hidden="true" name="Img_ML_6k9c9p4d" vbProcedure="false">"IMG_10"</definedName>
    <definedName function="false" hidden="true" name="Img_ML_6r9u1n9k" vbProcedure="false">"IMG_12"</definedName>
    <definedName function="false" hidden="true" name="Img_ML_6w6m7b7r" vbProcedure="false">"IMG_3"</definedName>
    <definedName function="false" hidden="true" name="Img_ML_6y9f7y3n" vbProcedure="false">"IMG_10"</definedName>
    <definedName function="false" hidden="true" name="Img_ML_7g5e5e2b" vbProcedure="false">"IMG_12"</definedName>
    <definedName function="false" hidden="true" name="Img_ML_7m5m4k3b" vbProcedure="false">"IMG_3"</definedName>
    <definedName function="false" hidden="true" name="Img_ML_7n6h3t1t" vbProcedure="false">"IMG_6"</definedName>
    <definedName function="false" hidden="true" name="Img_ML_8b9j5t1p" vbProcedure="false">"IMG_12"</definedName>
    <definedName function="false" hidden="true" name="Img_ML_8c2q5i2r" vbProcedure="false">"IMG_6"</definedName>
    <definedName function="false" hidden="true" name="Img_ML_8h3m3i1m" vbProcedure="false">"IMG_6"</definedName>
    <definedName function="false" hidden="true" name="Img_ML_8h5e9i3c" vbProcedure="false">"IMG_10"</definedName>
    <definedName function="false" hidden="true" name="Img_ML_8h7g4d4d" vbProcedure="false">"IMG_4"</definedName>
    <definedName function="false" hidden="true" name="Img_ML_8i9u7w8k" vbProcedure="false">"IMG_10"</definedName>
    <definedName function="false" hidden="true" name="Img_ML_8j3w6p4c" vbProcedure="false">"IMG_10"</definedName>
    <definedName function="false" hidden="true" name="Img_ML_8r1k8t4y" vbProcedure="false">"IMG_6"</definedName>
    <definedName function="false" hidden="true" name="Img_ML_8s3q3c1i" vbProcedure="false">"IMG_6"</definedName>
    <definedName function="false" hidden="true" name="Img_ML_9n1s4m5f" vbProcedure="false">"IMG_6"</definedName>
    <definedName function="false" hidden="true" name="Img_Production_Breakdown" vbProcedure="false">"IMG_3"</definedName>
    <definedName function="false" hidden="true" name="Imobilizado" vbProcedure="false">{#N/A,#N/A,FALSE,"Cristal D'Oro (Tabela)";#N/A,#N/A,FALSE,"Cond Rio Tietê (Tabela)";#N/A,#N/A,FALSE,"Jacyr Leal (Tabela)";#N/A,#N/A,FALSE,"Paul Cézanne (Tabela)";#N/A,#N/A,FALSE,"Tom Jobim  (Tabela)"}</definedName>
    <definedName function="false" hidden="true" name="imobpontos" vbProcedure="false">{#N/A,#N/A,FALSE,"Cristal D'Oro (Tabela)";#N/A,#N/A,FALSE,"Cond Rio Tietê (Tabela)";#N/A,#N/A,FALSE,"Jacyr Leal (Tabela)";#N/A,#N/A,FALSE,"Paul Cézanne (Tabela)";#N/A,#N/A,FALSE,"Tom Jobim  (Tabela)"}</definedName>
    <definedName function="false" hidden="true" name="Impairment" vbProcedure="false">{#N/A,#N/A,FALSE,"TB";#N/A,#N/A,FALSE,"AR";#N/A,#N/A,FALSE,"BS";#N/A,#N/A,FALSE,"PL";#N/A,#N/A,FALSE,"NOTES";#N/A,#N/A,FALSE,"NOTES (2)";#N/A,#N/A,FALSE,"NOTES (3)";#N/A,#N/A,FALSE,"TAXC.INDEX";#N/A,#N/A,FALSE,"Schedule I";#N/A,#N/A,FALSE,"DPL";#N/A,#N/A,FALSE,"Schedule IV";#N/A,#N/A,FALSE,"Adjustments"}</definedName>
    <definedName function="false" hidden="true" name="INCOME" vbProcedure="false">"10000..99999"</definedName>
    <definedName function="false" hidden="true" name="incr_piece" vbProcedure="false">increment_piece</definedName>
    <definedName function="false" hidden="true" name="ines" vbProcedure="false">{#N/A,#N/A,FALSE,"3";#N/A,#N/A,FALSE,"5";#N/A,#N/A,FALSE,"6";#N/A,#N/A,FALSE,"8";#N/A,#N/A,FALSE,"10";#N/A,#N/A,FALSE,"13";#N/A,#N/A,FALSE,"14";#N/A,#N/A,FALSE,"15";#N/A,#N/A,FALSE,"16"}</definedName>
    <definedName function="false" hidden="true" name="inflList" vbProcedure="false">"00000000000000000000000000000000000000000000000000000000000000000000000000000000000000000000000000000000000000000000000000000000000000000000000000000000000000000000000000000000000000000000000000000000"</definedName>
    <definedName function="false" hidden="true" name="INFO_BI_EXE_NAME" vbProcedure="false">"SAGEACCBI60.EXE"</definedName>
    <definedName function="false" hidden="true" name="INFO_INSTANCE_ID" vbProcedure="false">"0"</definedName>
    <definedName function="false" hidden="true" name="INFO_INSTANCE_NAME" vbProcedure="false">"Copy of Sales Master 3-0 (AE-SQL)_20160401_12_11_58_1111.xls"</definedName>
    <definedName function="false" hidden="true" name="INFO_REPORT_CODE" vbProcedure="false">"AE-SQL-AR01-3-0-CUST"</definedName>
    <definedName function="false" hidden="true" name="INFO_REPORT_ID" vbProcedure="false">"61"</definedName>
    <definedName function="false" hidden="true" name="INFO_REPORT_NAME" vbProcedure="false">"Copy of Sales Master 3-0 (AE-SQL)"</definedName>
    <definedName function="false" hidden="true" name="INFO_RUN_USER" vbProcedure="false">""</definedName>
    <definedName function="false" hidden="true" name="INFO_RUN_WORKSTATION" vbProcedure="false">"BAMXA01"</definedName>
    <definedName function="false" hidden="true" name="ingjks" vbProcedure="false">{"detail",#N/A,FALSE,"mfg";"summary",#N/A,FALSE,"mfg"}</definedName>
    <definedName function="false" hidden="true" name="iniske" vbProcedure="false">{"detail",#N/A,FALSE,"mfg";"summary",#N/A,FALSE,"mfg"}</definedName>
    <definedName function="false" hidden="true" name="Initiale" vbProcedure="false">#REF!</definedName>
    <definedName function="false" hidden="true" name="inksl" vbProcedure="false">{"detail",#N/A,FALSE,"mfg";"summary",#N/A,FALSE,"mfg"}</definedName>
    <definedName function="false" hidden="false" name="Input_currency" vbProcedure="false">#REF!</definedName>
    <definedName function="false" hidden="false" name="Input_get_simple_TopN" vbProcedure="false">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_xlpm.fulllist, _xlfn.unique(_xlpm.gettopnlist(MAX(_xlpm.firsttopn, _xlpm.secondtopn))),         _xlpm.topfirstlist, IF(ISBLANK(_xlpm.firsttopn), "", _xlfn.take(_xlfn._xlws.filter(_xlpm.fulllist, _xlpm.fulllist&lt;&gt;""), _xlpm.firsttopn)),                  _xlpm.topsecondlist, IF(OR(ISBLANK(_xlpm.secondtopn), _xlpm.secondtopn = 0), "",             _xlfn.take(_xlfn._xlws.filter(_xlpm.fulllist, ISNA(MATCH(_xlpm.fulllist, _xlpm.topfirstlist, 0))), _xlpm.secondtopn - _xlpm.firsttopn + 1)),                  _xlpm.otherslist, IF(OR(ISBLANK(_xlpm.showremaining), _xlpm.showremaining = "no"),             "Others",             IF(OR(ISBLANK(_xlpm.secondtopn), _xlpm.secondtopn = 0),                 _xlfn.unique(_xlfn._xlws.filter(_xlpm.customerrange, ISNA(MATCH(_xlpm.customerrange, _xlpm.topfirstlist, 0)) * (_xlpm.customerrange &lt;&gt; ""))),                 _xlfn.unique(_xlfn._xlws.filter(_xlpm.customerrange, ISNA(MATCH(_xlpm.customerrange, _xlfn.vstack(_xlpm.topfirstlist, _xlpm.topsecondlist), 0)) * (_xlpm.customerrange &lt;&gt; "")))             )         ),                  _xlpm.finallist, _xlfn.vstack(             _xlfn.unique(_xlfn._xlws.filter(_xlpm.topfirstlist, _xlpm.topfirstlist &lt;&gt; "")),             "Top " &amp; TEXT(_xlpm.firsttopn, "0"),             IF(AND(ISBLANK(_xlpm.secondtopn), _xlpm.showremaining = "no"), "Others",                 IF(OR(ISBLANK(_xlpm.secondtopn), _xlpm.secondtopn = 0),                     IF(_xlpm.showremaining = "yes", _xlpm.otherslist, "Others"),                     _xlfn.vstack(                         _xlfn.unique(_xlfn._xlws.filter(_xlpm.topsecondlist, _xlpm.topsecondlist &lt;&gt; "")),                         "Top " &amp; TEXT(_xlpm.firsttopn + 1, "0") &amp; " - " &amp; TEXT(_xlpm.secondtopn, "0"),                         IF(_xlpm.showremaining = "yes", _xlpm.otherslist, "Others")                     )                 )             )         ),         _xlpm.finallist     ) )</definedName>
    <definedName function="false" hidden="false" name="Input_Get_TopN_list" vbProcedure="false">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_xlpm.topfirstlist, IF(ISBLANK(_xlpm.firsttopn), "", _xlfn.unique(_xlpm.gettopnlist(_xlpm.firsttopn))),          _xlpm.topsecondlist, IF(OR(ISBLANK(_xlpm.secondtopn), _xlpm.secondtopn=0), "", _xlfn.unique(_xlfn._xlws.filter(_xlpm.gettopnlist(_xlpm.secondtopn), ISNA(MATCH(_xlpm.gettopnlist(_xlpm.secondtopn), _xlpm.topfirstlist, 0))))),          _xlpm.otherslist, IF(OR(ISBLANK(_xlpm.showremaining), _xlpm.showremaining="no"),             "Others",             IF(OR(ISBLANK(_xlpm.secondtopn), _xlpm.secondtopn=0),                 _xlfn.unique(_xlfn._xlws.filter(_xlpm.customerrange, ISNA(MATCH(_xlpm.customerrange, _xlpm.topfirstlist, 0)) * (_xlpm.customerrange&lt;&gt;""))),                 _xlfn.unique(_xlfn._xlws.filter(_xlpm.customerrange, ISNA(MATCH(_xlpm.customerrange, _xlfn.vstack(_xlpm.topfirstlist, _xlpm.topsecondlist), 0)) * (_xlpm.customerrange&lt;&gt;"")))             )         ),          _xlpm.finallist, _xlfn.vstack(             _xlfn.unique(_xlfn._xlws.filter(_xlpm.topfirstlist, _xlpm.topfirstlist&lt;&gt;"")),             "Top " &amp; TEXT(_xlpm.firsttopn, "0"),             IF(AND(ISBLANK(_xlpm.secondtopn), _xlpm.showremaining="no"), "Others",                 IF(OR(ISBLANK(_xlpm.secondtopn), _xlpm.secondtopn=0),                      IF(_xlpm.showremaining="yes", _xlpm.otherslist, "Others"),                     _xlfn.vstack(                         _xlfn.unique(_xlfn._xlws.filter(_xlpm.topsecondlist, _xlpm.topsecondlist&lt;&gt;"")),                         "Top " &amp; TEXT(_xlpm.firsttopn+1, "0") &amp; " - " &amp; TEXT(_xlpm.secondtopn, "0"),                         IF(_xlpm.showremaining="yes", _xlpm.otherslist, "Others")                     )                 )             )         ),         _xlpm.finallist     ) )</definedName>
    <definedName function="false" hidden="true" name="IntroPrintArea" vbProcedure="false">#REF!</definedName>
    <definedName function="false" hidden="true" name="int_ext_sel" vbProcedure="false">2</definedName>
    <definedName function="false" hidden="true" name="Inv" vbProcedure="false">{#N/A,#N/A,FALSE,"Presentation by Unit";#N/A,#N/A,FALSE,"Presentation by BD";#N/A,#N/A,FALSE,"Presentation Split by Biggest U";#N/A,#N/A,FALSE,"Presentation Split by Area";#N/A,#N/A,FALSE,"Presentation Split by BD"}</definedName>
    <definedName function="false" hidden="true" name="Inventory" vbProcedure="false">{"Summary analysis",#N/A,FALSE,"Total";"OCPH analysis",#N/A,FALSE,"Total";"detail analysis",#N/A,FALSE,"Total"}</definedName>
    <definedName function="false" hidden="true" name="Inventory1" vbProcedure="false">{"Summary analysis",#N/A,FALSE,"Total";"OCPH analysis",#N/A,FALSE,"Total";"detail analysis",#N/A,FALSE,"Total"}</definedName>
    <definedName function="false" hidden="true" name="inventory2" vbProcedure="false">{"Summary analysis",#N/A,FALSE,"Total";"OCPH analysis",#N/A,FALSE,"Total";"detail analysis",#N/A,FALSE,"Total"}</definedName>
    <definedName function="false" hidden="true" name="io" vbProcedure="false">{"Performance Details",#N/A,FALSE,"Current Yr";"Performance Details",#N/A,FALSE,"Budget";"Performance Details",#N/A,FALSE,"Prior Year"}</definedName>
    <definedName function="false" hidden="true" name="ioioo"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ioiuoiu" vbProcedure="false">{#N/A,#N/A,FALSE,"3";#N/A,#N/A,FALSE,"5";#N/A,#N/A,FALSE,"6";#N/A,#N/A,FALSE,"8";#N/A,#N/A,FALSE,"10";#N/A,#N/A,FALSE,"13";#N/A,#N/A,FALSE,"14";#N/A,#N/A,FALSE,"15";#N/A,#N/A,FALSE,"16"}</definedName>
    <definedName function="false" hidden="true" name="ioiuouio" vbProcedure="false">{#N/A,#N/A,FALSE,"3";#N/A,#N/A,FALSE,"5";#N/A,#N/A,FALSE,"6";#N/A,#N/A,FALSE,"8";#N/A,#N/A,FALSE,"10";#N/A,#N/A,FALSE,"13";#N/A,#N/A,FALSE,"14";#N/A,#N/A,FALSE,"15";#N/A,#N/A,FALSE,"16"}</definedName>
    <definedName function="false" hidden="true" name="iop" vbProcedure="false">{#N/A,"PURCHM",FALSE,"Business Analysis";#N/A,"SPADD",FALSE,"Business Analysis"}</definedName>
    <definedName function="false" hidden="true" name="iotyuds"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iouiuouiooiu" vbProcedure="false">{#N/A,#N/A,FALSE,"3";#N/A,#N/A,FALSE,"5";#N/A,#N/A,FALSE,"6";#N/A,#N/A,FALSE,"8";#N/A,#N/A,FALSE,"10";#N/A,#N/A,FALSE,"13";#N/A,#N/A,FALSE,"14";#N/A,#N/A,FALSE,"15";#N/A,#N/A,FALSE,"16"}</definedName>
    <definedName function="false" hidden="true" name="io_2" vbProcedure="false">{"Pound Sterling",#N/A,TRUE,"PPD";"Pound Sterling",#N/A,TRUE,"Anaquest";"Pound Sterling",#N/A,TRUE,"Delta";"Pound Sterling",#N/A,TRUE,"INO"}</definedName>
    <definedName function="false" hidden="true" name="IP" vbProcedure="false">{#N/A,#N/A,FALSE,"Pharm";#N/A,#N/A,FALSE,"WWCM"}</definedName>
    <definedName function="false" hidden="true" name="IPD" vbProcedure="false">{#N/A,#N/A,FALSE,"Presentation by Unit";#N/A,#N/A,FALSE,"Presentation by BD";#N/A,#N/A,FALSE,"Presentation Split by Biggest U";#N/A,#N/A,FALSE,"Presentation Split by Area";#N/A,#N/A,FALSE,"Presentation Split by BD"}</definedName>
    <definedName function="false" hidden="true" name="ipou" vbProcedure="false">{#N/A,#N/A,FALSE,"TAXC.INDEX";#N/A,#N/A,FALSE,"Schedule I";#N/A,#N/A,FALSE,"Schedule  II";#N/A,#N/A,FALSE,"Schedule III";#N/A,#N/A,FALSE,"Schedule IV";#N/A,#N/A,FALSE,"Schedule IV (Cont'd)";#N/A,#N/A,FALSE,"Schedule V";#N/A,#N/A,FALSE,"Schedule VI";#N/A,#N/A,FALSE,"Schedule VII"}</definedName>
    <definedName function="false" hidden="true" name="IPS" vbProcedure="false">{#N/A,#N/A,FALSE,"Presentation by Unit";#N/A,#N/A,FALSE,"Presentation by BD";#N/A,#N/A,FALSE,"Presentation Split by Biggest U";#N/A,#N/A,FALSE,"Presentation Split by Area";#N/A,#N/A,FALSE,"Presentation Split by BD"}</definedName>
    <definedName function="false" hidden="true" name="IQB_BOOKMARK_COUNT" vbProcedure="false">2</definedName>
    <definedName function="false" hidden="true" name="IQB_BOOKMARK_COUNT_1" vbProcedure="false">1</definedName>
    <definedName function="false" hidden="true" name="IQB_BOOKMARK_COUNT_1_1" vbProcedure="false">2</definedName>
    <definedName function="false" hidden="true" name="IQB_BOOKMARK_LOCATION_1" vbProcedure="false">'reported financials'!#ref!</definedName>
    <definedName function="false" hidden="true" name="IQB_BOOKMARK_LOCATION_10" vbProcedure="false">#REF!</definedName>
    <definedName function="false" hidden="true" name="IQB_BOOKMARK_LOCATION_11" vbProcedure="false">#REF!</definedName>
    <definedName function="false" hidden="true" name="IQB_BOOKMARK_LOCATION_12" vbProcedure="false">#REF!</definedName>
    <definedName function="false" hidden="true" name="IQB_BOOKMARK_LOCATION_13" vbProcedure="false">#REF!</definedName>
    <definedName function="false" hidden="true" name="IQB_BOOKMARK_LOCATION_14" vbProcedure="false">#REF!</definedName>
    <definedName function="false" hidden="true" name="IQB_BOOKMARK_LOCATION_15" vbProcedure="false">#REF!</definedName>
    <definedName function="false" hidden="true" name="IQB_BOOKMARK_LOCATION_2" vbProcedure="false">#REF!</definedName>
    <definedName function="false" hidden="true" name="IQB_BOOKMARK_LOCATION_3" vbProcedure="false">#REF!</definedName>
    <definedName function="false" hidden="true" name="IQB_BOOKMARK_LOCATION_4" vbProcedure="false">#REF!</definedName>
    <definedName function="false" hidden="true" name="IQB_BOOKMARK_LOCATION_5" vbProcedure="false">#REF!</definedName>
    <definedName function="false" hidden="true" name="IQB_BOOKMARK_LOCATION_6" vbProcedure="false">#REF!</definedName>
    <definedName function="false" hidden="true" name="IQB_BOOKMARK_LOCATION_7" vbProcedure="false">#REF!</definedName>
    <definedName function="false" hidden="true" name="IQB_BOOKMARK_LOCATION_8" vbProcedure="false">#REF!</definedName>
    <definedName function="false" hidden="true" name="IQB_BOOKMARK_LOCATION_9" vbProcedure="false">#REF!</definedName>
    <definedName function="false" hidden="true" name="IQB_CURRENT_BOOKMARK" vbProcedure="false">0</definedName>
    <definedName function="false" hidden="true" name="IQR102AP16" vbProcedure="false">#REF!</definedName>
    <definedName function="false" hidden="true" name="IQR102AQ16" vbProcedure="false">#REF!</definedName>
    <definedName function="false" hidden="true" name="IQR102AX16" vbProcedure="false">#REF!</definedName>
    <definedName function="false" hidden="true" name="IQR102AY16" vbProcedure="false">#REF!</definedName>
    <definedName function="false" hidden="true" name="IQR102X85" vbProcedure="false">#REF!</definedName>
    <definedName function="false" hidden="true" name="IQR10AD127" vbProcedure="false">#REF!</definedName>
    <definedName function="false" hidden="true" name="IQR10AE127" vbProcedure="false">#REF!</definedName>
    <definedName function="false" hidden="true" name="IQR10AP16" vbProcedure="false">#REF!</definedName>
    <definedName function="false" hidden="true" name="IQR10AQ16" vbProcedure="false">#REF!</definedName>
    <definedName function="false" hidden="true" name="IQR10AX16" vbProcedure="false">#REF!</definedName>
    <definedName function="false" hidden="true" name="IQR10AY16" vbProcedure="false">#REF!</definedName>
    <definedName function="false" hidden="true" name="IQR10V110" vbProcedure="false">#REF!</definedName>
    <definedName function="false" hidden="true" name="IQR10V127" vbProcedure="false">#REF!</definedName>
    <definedName function="false" hidden="true" name="IQR10W127" vbProcedure="false">#REF!</definedName>
    <definedName function="false" hidden="true" name="IQR10X85" vbProcedure="false">#REF!</definedName>
    <definedName function="false" hidden="true" name="IQR110AD127" vbProcedure="false">#REF!</definedName>
    <definedName function="false" hidden="true" name="IQR110AE127" vbProcedure="false">#REF!</definedName>
    <definedName function="false" hidden="true" name="IQR110V110" vbProcedure="false">#REF!</definedName>
    <definedName function="false" hidden="true" name="IQR110V127" vbProcedure="false">#REF!</definedName>
    <definedName function="false" hidden="true" name="IQR110W127" vbProcedure="false">#REF!</definedName>
    <definedName function="false" hidden="true" name="IQR111AD127" vbProcedure="false">#REF!</definedName>
    <definedName function="false" hidden="true" name="IQR111AE127" vbProcedure="false">#REF!</definedName>
    <definedName function="false" hidden="true" name="IQR111V110" vbProcedure="false">#REF!</definedName>
    <definedName function="false" hidden="true" name="IQR111V127" vbProcedure="false">#REF!</definedName>
    <definedName function="false" hidden="true" name="IQR111W127" vbProcedure="false">#REF!</definedName>
    <definedName function="false" hidden="true" name="IQR112AD127" vbProcedure="false">#REF!</definedName>
    <definedName function="false" hidden="true" name="IQR112AE127" vbProcedure="false">#REF!</definedName>
    <definedName function="false" hidden="true" name="IQR112V110" vbProcedure="false">#REF!</definedName>
    <definedName function="false" hidden="true" name="IQR112V127" vbProcedure="false">#REF!</definedName>
    <definedName function="false" hidden="true" name="IQR112W127" vbProcedure="false">#REF!</definedName>
    <definedName function="false" hidden="true" name="IQR11AD127" vbProcedure="false">#REF!</definedName>
    <definedName function="false" hidden="true" name="IQR11AE127" vbProcedure="false">#REF!</definedName>
    <definedName function="false" hidden="true" name="IQR11AP16" vbProcedure="false">#REF!</definedName>
    <definedName function="false" hidden="true" name="IQR11AQ16" vbProcedure="false">#REF!</definedName>
    <definedName function="false" hidden="true" name="IQR11AX16" vbProcedure="false">#REF!</definedName>
    <definedName function="false" hidden="true" name="IQR11AY16" vbProcedure="false">#REF!</definedName>
    <definedName function="false" hidden="true" name="IQR11V110" vbProcedure="false">#REF!</definedName>
    <definedName function="false" hidden="true" name="IQR11V127" vbProcedure="false">#REF!</definedName>
    <definedName function="false" hidden="true" name="IQR11W127" vbProcedure="false">#REF!</definedName>
    <definedName function="false" hidden="true" name="IQR11X85" vbProcedure="false">#REF!</definedName>
    <definedName function="false" hidden="true" name="IQR122AP16" vbProcedure="false">#REF!</definedName>
    <definedName function="false" hidden="true" name="IQR122AQ16" vbProcedure="false">#REF!</definedName>
    <definedName function="false" hidden="true" name="IQR122AX16" vbProcedure="false">#REF!</definedName>
    <definedName function="false" hidden="true" name="IQR122AY16" vbProcedure="false">#REF!</definedName>
    <definedName function="false" hidden="true" name="IQR122V110" vbProcedure="false">#REF!</definedName>
    <definedName function="false" hidden="true" name="IQR122X85" vbProcedure="false">#REF!</definedName>
    <definedName function="false" hidden="true" name="IQR12AD127" vbProcedure="false">#REF!</definedName>
    <definedName function="false" hidden="true" name="IQR12AE127" vbProcedure="false">#REF!</definedName>
    <definedName function="false" hidden="true" name="IQR12AP16" vbProcedure="false">#REF!</definedName>
    <definedName function="false" hidden="true" name="IQR12AQ16" vbProcedure="false">#REF!</definedName>
    <definedName function="false" hidden="true" name="IQR12AX16" vbProcedure="false">#REF!</definedName>
    <definedName function="false" hidden="true" name="IQR12AY16" vbProcedure="false">#REF!</definedName>
    <definedName function="false" hidden="true" name="IQR12bAP16" vbProcedure="false">#REF!</definedName>
    <definedName function="false" hidden="true" name="IQR12bAQ16" vbProcedure="false">#REF!</definedName>
    <definedName function="false" hidden="true" name="IQR12bAX16" vbProcedure="false">#REF!</definedName>
    <definedName function="false" hidden="true" name="IQR12bAY16" vbProcedure="false">#REF!</definedName>
    <definedName function="false" hidden="true" name="IQR12bX85" vbProcedure="false">#REF!</definedName>
    <definedName function="false" hidden="true" name="IQR12V110" vbProcedure="false">#REF!</definedName>
    <definedName function="false" hidden="true" name="IQR12V127" vbProcedure="false">#REF!</definedName>
    <definedName function="false" hidden="true" name="IQR12W127" vbProcedure="false">#REF!</definedName>
    <definedName function="false" hidden="true" name="IQR12X85" vbProcedure="false">#REF!</definedName>
    <definedName function="false" hidden="true" name="IQR132AD127" vbProcedure="false">#REF!</definedName>
    <definedName function="false" hidden="true" name="IQR132AE127" vbProcedure="false">#REF!</definedName>
    <definedName function="false" hidden="true" name="IQR132V110" vbProcedure="false">#REF!</definedName>
    <definedName function="false" hidden="true" name="IQR132V127" vbProcedure="false">#REF!</definedName>
    <definedName function="false" hidden="true" name="IQR132W127" vbProcedure="false">#REF!</definedName>
    <definedName function="false" hidden="true" name="IQR13AD127" vbProcedure="false">#REF!</definedName>
    <definedName function="false" hidden="true" name="IQR13AE127" vbProcedure="false">#REF!</definedName>
    <definedName function="false" hidden="true" name="IQR13AP16" vbProcedure="false">#REF!</definedName>
    <definedName function="false" hidden="true" name="IQR13AQ16" vbProcedure="false">#REF!</definedName>
    <definedName function="false" hidden="true" name="IQR13AX16" vbProcedure="false">#REF!</definedName>
    <definedName function="false" hidden="true" name="IQR13AY16" vbProcedure="false">#REF!</definedName>
    <definedName function="false" hidden="true" name="IQR13bAP16" vbProcedure="false">#REF!</definedName>
    <definedName function="false" hidden="true" name="IQR13bAQ16" vbProcedure="false">#REF!</definedName>
    <definedName function="false" hidden="true" name="IQR13bAX16" vbProcedure="false">#REF!</definedName>
    <definedName function="false" hidden="true" name="IQR13bAY16" vbProcedure="false">#REF!</definedName>
    <definedName function="false" hidden="true" name="IQR13bX85" vbProcedure="false">#REF!</definedName>
    <definedName function="false" hidden="true" name="IQR13V110" vbProcedure="false">#REF!</definedName>
    <definedName function="false" hidden="true" name="IQR13V127" vbProcedure="false">#REF!</definedName>
    <definedName function="false" hidden="true" name="IQR13W127" vbProcedure="false">#REF!</definedName>
    <definedName function="false" hidden="true" name="IQR13X85" vbProcedure="false">#REF!</definedName>
    <definedName function="false" hidden="true" name="IQR142AD127" vbProcedure="false">#REF!</definedName>
    <definedName function="false" hidden="true" name="IQR142AE127" vbProcedure="false">#REF!</definedName>
    <definedName function="false" hidden="true" name="IQR142V110" vbProcedure="false">#REF!</definedName>
    <definedName function="false" hidden="true" name="IQR142V127" vbProcedure="false">#REF!</definedName>
    <definedName function="false" hidden="true" name="IQR142W127" vbProcedure="false">#REF!</definedName>
    <definedName function="false" hidden="true" name="IQR14AD127" vbProcedure="false">#REF!</definedName>
    <definedName function="false" hidden="true" name="IQR14AE127" vbProcedure="false">#REF!</definedName>
    <definedName function="false" hidden="true" name="IQR14AP16" vbProcedure="false">#REF!</definedName>
    <definedName function="false" hidden="true" name="IQR14AQ16" vbProcedure="false">#REF!</definedName>
    <definedName function="false" hidden="true" name="IQR14AX16" vbProcedure="false">#REF!</definedName>
    <definedName function="false" hidden="true" name="IQR14AY16" vbProcedure="false">#REF!</definedName>
    <definedName function="false" hidden="true" name="IQR14bAP16" vbProcedure="false">#REF!</definedName>
    <definedName function="false" hidden="true" name="IQR14bAQ16" vbProcedure="false">#REF!</definedName>
    <definedName function="false" hidden="true" name="IQR14bAX16" vbProcedure="false">#REF!</definedName>
    <definedName function="false" hidden="true" name="IQR14bAY16" vbProcedure="false">#REF!</definedName>
    <definedName function="false" hidden="true" name="IQR14bX85" vbProcedure="false">#REF!</definedName>
    <definedName function="false" hidden="true" name="IQR14V110" vbProcedure="false">#REF!</definedName>
    <definedName function="false" hidden="true" name="IQR14V127" vbProcedure="false">#REF!</definedName>
    <definedName function="false" hidden="true" name="IQR14W127" vbProcedure="false">#REF!</definedName>
    <definedName function="false" hidden="true" name="IQR14X85" vbProcedure="false">#REF!</definedName>
    <definedName function="false" hidden="true" name="IQR152AD127" vbProcedure="false">#REF!</definedName>
    <definedName function="false" hidden="true" name="IQR152AE127" vbProcedure="false">#REF!</definedName>
    <definedName function="false" hidden="true" name="IQR152AP16" vbProcedure="false">#REF!</definedName>
    <definedName function="false" hidden="true" name="IQR152AQ16" vbProcedure="false">#REF!</definedName>
    <definedName function="false" hidden="true" name="IQR152AX16" vbProcedure="false">#REF!</definedName>
    <definedName function="false" hidden="true" name="IQR152AY16" vbProcedure="false">#REF!</definedName>
    <definedName function="false" hidden="true" name="IQR152V110" vbProcedure="false">#REF!</definedName>
    <definedName function="false" hidden="true" name="IQR152V127" vbProcedure="false">#REF!</definedName>
    <definedName function="false" hidden="true" name="IQR152W127" vbProcedure="false">#REF!</definedName>
    <definedName function="false" hidden="true" name="IQR152X85" vbProcedure="false">#REF!</definedName>
    <definedName function="false" hidden="true" name="IQR15AD127" vbProcedure="false">#REF!</definedName>
    <definedName function="false" hidden="true" name="IQR15AE127" vbProcedure="false">#REF!</definedName>
    <definedName function="false" hidden="true" name="IQR15AP16" vbProcedure="false">#REF!</definedName>
    <definedName function="false" hidden="true" name="IQR15AQ16" vbProcedure="false">#REF!</definedName>
    <definedName function="false" hidden="true" name="IQR15AX16" vbProcedure="false">#REF!</definedName>
    <definedName function="false" hidden="true" name="IQR15AY16" vbProcedure="false">#REF!</definedName>
    <definedName function="false" hidden="true" name="IQR15V110" vbProcedure="false">#REF!</definedName>
    <definedName function="false" hidden="true" name="IQR15V127" vbProcedure="false">#REF!</definedName>
    <definedName function="false" hidden="true" name="IQR15W127" vbProcedure="false">#REF!</definedName>
    <definedName function="false" hidden="true" name="IQR15X85" vbProcedure="false">#REF!</definedName>
    <definedName function="false" hidden="true" name="IQR162AD127" vbProcedure="false">#REF!</definedName>
    <definedName function="false" hidden="true" name="IQR162AE127" vbProcedure="false">#REF!</definedName>
    <definedName function="false" hidden="true" name="IQR162V110" vbProcedure="false">#REF!</definedName>
    <definedName function="false" hidden="true" name="IQR162V127" vbProcedure="false">#REF!</definedName>
    <definedName function="false" hidden="true" name="IQR162W127" vbProcedure="false">#REF!</definedName>
    <definedName function="false" hidden="true" name="IQR16AD127" vbProcedure="false">#REF!</definedName>
    <definedName function="false" hidden="true" name="IQR16AE127" vbProcedure="false">#REF!</definedName>
    <definedName function="false" hidden="true" name="IQR16V110" vbProcedure="false">#REF!</definedName>
    <definedName function="false" hidden="true" name="IQR16V127" vbProcedure="false">#REF!</definedName>
    <definedName function="false" hidden="true" name="IQR16W127" vbProcedure="false">#REF!</definedName>
    <definedName function="false" hidden="true" name="IQR17AD127" vbProcedure="false">#REF!</definedName>
    <definedName function="false" hidden="true" name="IQR17AE127" vbProcedure="false">#REF!</definedName>
    <definedName function="false" hidden="true" name="IQR17V110" vbProcedure="false">#REF!</definedName>
    <definedName function="false" hidden="true" name="IQR17V127" vbProcedure="false">#REF!</definedName>
    <definedName function="false" hidden="true" name="IQR17W127" vbProcedure="false">#REF!</definedName>
    <definedName function="false" hidden="true" name="IQR182AD127" vbProcedure="false">#REF!</definedName>
    <definedName function="false" hidden="true" name="IQR182AE127" vbProcedure="false">#REF!</definedName>
    <definedName function="false" hidden="true" name="IQR182V110" vbProcedure="false">#REF!</definedName>
    <definedName function="false" hidden="true" name="IQR182V127" vbProcedure="false">#REF!</definedName>
    <definedName function="false" hidden="true" name="IQR182W127" vbProcedure="false">#REF!</definedName>
    <definedName function="false" hidden="true" name="IQR18AD127" vbProcedure="false">#REF!</definedName>
    <definedName function="false" hidden="true" name="IQR18AE127" vbProcedure="false">#REF!</definedName>
    <definedName function="false" hidden="true" name="IQR18V110" vbProcedure="false">#REF!</definedName>
    <definedName function="false" hidden="true" name="IQR18V127" vbProcedure="false">#REF!</definedName>
    <definedName function="false" hidden="true" name="IQR18W127" vbProcedure="false">#REF!</definedName>
    <definedName function="false" hidden="true" name="IQR192AD127" vbProcedure="false">#REF!</definedName>
    <definedName function="false" hidden="true" name="IQR192AE127" vbProcedure="false">#REF!</definedName>
    <definedName function="false" hidden="true" name="IQR192V110" vbProcedure="false">#REF!</definedName>
    <definedName function="false" hidden="true" name="IQR192V127" vbProcedure="false">#REF!</definedName>
    <definedName function="false" hidden="true" name="IQR192W127" vbProcedure="false">#REF!</definedName>
    <definedName function="false" hidden="true" name="IQR19AD127" vbProcedure="false">#REF!</definedName>
    <definedName function="false" hidden="true" name="IQR19AE127" vbProcedure="false">#REF!</definedName>
    <definedName function="false" hidden="true" name="IQR19V110" vbProcedure="false">#REF!</definedName>
    <definedName function="false" hidden="true" name="IQR19V127" vbProcedure="false">#REF!</definedName>
    <definedName function="false" hidden="true" name="IQR19W127" vbProcedure="false">#REF!</definedName>
    <definedName function="false" hidden="true" name="IQR1AD127" vbProcedure="false">#REF!</definedName>
    <definedName function="false" hidden="true" name="IQR1AD128" vbProcedure="false">#REF!</definedName>
    <definedName function="false" hidden="true" name="IQR1AE127" vbProcedure="false">#REF!</definedName>
    <definedName function="false" hidden="true" name="IQR1AE128" vbProcedure="false">#REF!</definedName>
    <definedName function="false" hidden="true" name="IQR1AP15" vbProcedure="false">#REF!</definedName>
    <definedName function="false" hidden="true" name="IQR1AP16" vbProcedure="false">#REF!</definedName>
    <definedName function="false" hidden="true" name="IQR1AQ15" vbProcedure="false">#REF!</definedName>
    <definedName function="false" hidden="true" name="IQR1AQ16" vbProcedure="false">#REF!</definedName>
    <definedName function="false" hidden="true" name="IQR1AX15" vbProcedure="false">#REF!</definedName>
    <definedName function="false" hidden="true" name="IQR1AX16" vbProcedure="false">#REF!</definedName>
    <definedName function="false" hidden="true" name="IQR1AY15" vbProcedure="false">#REF!</definedName>
    <definedName function="false" hidden="true" name="IQR1AY16" vbProcedure="false">#REF!</definedName>
    <definedName function="false" hidden="true" name="IQR1V110" vbProcedure="false">#REF!</definedName>
    <definedName function="false" hidden="true" name="IQR1V111" vbProcedure="false">#REF!</definedName>
    <definedName function="false" hidden="true" name="IQR1V127" vbProcedure="false">#REF!</definedName>
    <definedName function="false" hidden="true" name="IQR1V128" vbProcedure="false">#REF!</definedName>
    <definedName function="false" hidden="true" name="IQR1W127" vbProcedure="false">#REF!</definedName>
    <definedName function="false" hidden="true" name="IQR1W128" vbProcedure="false">#REF!</definedName>
    <definedName function="false" hidden="true" name="IQR1W85" vbProcedure="false">#REF!</definedName>
    <definedName function="false" hidden="true" name="IQR1X85" vbProcedure="false">#REF!</definedName>
    <definedName function="false" hidden="true" name="IQR202AD127" vbProcedure="false">#REF!</definedName>
    <definedName function="false" hidden="true" name="IQR202AE127" vbProcedure="false">#REF!</definedName>
    <definedName function="false" hidden="true" name="IQR202V110" vbProcedure="false">#REF!</definedName>
    <definedName function="false" hidden="true" name="IQR202V127" vbProcedure="false">#REF!</definedName>
    <definedName function="false" hidden="true" name="IQR202W127" vbProcedure="false">#REF!</definedName>
    <definedName function="false" hidden="true" name="IQR20AD127" vbProcedure="false">#REF!</definedName>
    <definedName function="false" hidden="true" name="IQR20AE127" vbProcedure="false">#REF!</definedName>
    <definedName function="false" hidden="true" name="IQR20V110" vbProcedure="false">#REF!</definedName>
    <definedName function="false" hidden="true" name="IQR20V127" vbProcedure="false">#REF!</definedName>
    <definedName function="false" hidden="true" name="IQR20W127" vbProcedure="false">#REF!</definedName>
    <definedName function="false" hidden="true" name="IQR212AD127" vbProcedure="false">#REF!</definedName>
    <definedName function="false" hidden="true" name="IQR212AE127" vbProcedure="false">#REF!</definedName>
    <definedName function="false" hidden="true" name="IQR212V110" vbProcedure="false">#REF!</definedName>
    <definedName function="false" hidden="true" name="IQR212V127" vbProcedure="false">#REF!</definedName>
    <definedName function="false" hidden="true" name="IQR212W127" vbProcedure="false">#REF!</definedName>
    <definedName function="false" hidden="true" name="IQR21AD127" vbProcedure="false">#REF!</definedName>
    <definedName function="false" hidden="true" name="IQR21AE127" vbProcedure="false">#REF!</definedName>
    <definedName function="false" hidden="true" name="IQR21V110" vbProcedure="false">#REF!</definedName>
    <definedName function="false" hidden="true" name="IQR21V127" vbProcedure="false">#REF!</definedName>
    <definedName function="false" hidden="true" name="IQR21W127" vbProcedure="false">#REF!</definedName>
    <definedName function="false" hidden="true" name="IQR22AD127" vbProcedure="false">#REF!</definedName>
    <definedName function="false" hidden="true" name="IQR22AE127" vbProcedure="false">#REF!</definedName>
    <definedName function="false" hidden="true" name="IQR22V110" vbProcedure="false">#REF!</definedName>
    <definedName function="false" hidden="true" name="IQR22V127" vbProcedure="false">#REF!</definedName>
    <definedName function="false" hidden="true" name="IQR22W127" vbProcedure="false">#REF!</definedName>
    <definedName function="false" hidden="true" name="IQR232AD127" vbProcedure="false">#REF!</definedName>
    <definedName function="false" hidden="true" name="IQR232AE127" vbProcedure="false">#REF!</definedName>
    <definedName function="false" hidden="true" name="IQR232V110" vbProcedure="false">#REF!</definedName>
    <definedName function="false" hidden="true" name="IQR232V127" vbProcedure="false">#REF!</definedName>
    <definedName function="false" hidden="true" name="IQR232W127" vbProcedure="false">#REF!</definedName>
    <definedName function="false" hidden="true" name="IQR23AD127" vbProcedure="false">#REF!</definedName>
    <definedName function="false" hidden="true" name="IQR23AE127" vbProcedure="false">#REF!</definedName>
    <definedName function="false" hidden="true" name="IQR23V110" vbProcedure="false">#REF!</definedName>
    <definedName function="false" hidden="true" name="IQR23V127" vbProcedure="false">#REF!</definedName>
    <definedName function="false" hidden="true" name="IQR23W127" vbProcedure="false">#REF!</definedName>
    <definedName function="false" hidden="true" name="IQR24AD127" vbProcedure="false">#REF!</definedName>
    <definedName function="false" hidden="true" name="IQR24AE127" vbProcedure="false">#REF!</definedName>
    <definedName function="false" hidden="true" name="IQR24V110" vbProcedure="false">#REF!</definedName>
    <definedName function="false" hidden="true" name="IQR24V127" vbProcedure="false">#REF!</definedName>
    <definedName function="false" hidden="true" name="IQR24W127" vbProcedure="false">#REF!</definedName>
    <definedName function="false" hidden="true" name="IQR2AD127" vbProcedure="false">#REF!</definedName>
    <definedName function="false" hidden="true" name="IQR2AD128" vbProcedure="false">#REF!</definedName>
    <definedName function="false" hidden="true" name="IQR2AE127" vbProcedure="false">#REF!</definedName>
    <definedName function="false" hidden="true" name="IQR2AE128" vbProcedure="false">#REF!</definedName>
    <definedName function="false" hidden="true" name="IQR2AP16" vbProcedure="false">#REF!</definedName>
    <definedName function="false" hidden="true" name="IQR2AQ16" vbProcedure="false">#REF!</definedName>
    <definedName function="false" hidden="true" name="IQR2AX16" vbProcedure="false">#REF!</definedName>
    <definedName function="false" hidden="true" name="IQR2AY16" vbProcedure="false">#REF!</definedName>
    <definedName function="false" hidden="true" name="IQR2V110" vbProcedure="false">#REF!</definedName>
    <definedName function="false" hidden="true" name="IQR2V111" vbProcedure="false">#REF!</definedName>
    <definedName function="false" hidden="true" name="IQR2V127" vbProcedure="false">#REF!</definedName>
    <definedName function="false" hidden="true" name="IQR2V128" vbProcedure="false">#REF!</definedName>
    <definedName function="false" hidden="true" name="IQR2W127" vbProcedure="false">#REF!</definedName>
    <definedName function="false" hidden="true" name="IQR2W128" vbProcedure="false">#REF!</definedName>
    <definedName function="false" hidden="true" name="IQR2X85" vbProcedure="false">#REF!</definedName>
    <definedName function="false" hidden="true" name="IQR32AD127" vbProcedure="false">#REF!</definedName>
    <definedName function="false" hidden="true" name="IQR32AE127" vbProcedure="false">#REF!</definedName>
    <definedName function="false" hidden="true" name="IQR32V110" vbProcedure="false">#REF!</definedName>
    <definedName function="false" hidden="true" name="IQR32V127" vbProcedure="false">#REF!</definedName>
    <definedName function="false" hidden="true" name="IQR32W127" vbProcedure="false">#REF!</definedName>
    <definedName function="false" hidden="true" name="IQR3AD127" vbProcedure="false">#REF!</definedName>
    <definedName function="false" hidden="true" name="IQR3AD128" vbProcedure="false">#REF!</definedName>
    <definedName function="false" hidden="true" name="IQR3AE127" vbProcedure="false">#REF!</definedName>
    <definedName function="false" hidden="true" name="IQR3AE128" vbProcedure="false">#REF!</definedName>
    <definedName function="false" hidden="true" name="IQR3AP16" vbProcedure="false">#REF!</definedName>
    <definedName function="false" hidden="true" name="IQR3AQ16" vbProcedure="false">#REF!</definedName>
    <definedName function="false" hidden="true" name="IQR3AX16" vbProcedure="false">#REF!</definedName>
    <definedName function="false" hidden="true" name="IQR3AY16" vbProcedure="false">#REF!</definedName>
    <definedName function="false" hidden="true" name="IQR3V110" vbProcedure="false">#REF!</definedName>
    <definedName function="false" hidden="true" name="IQR3V111" vbProcedure="false">#REF!</definedName>
    <definedName function="false" hidden="true" name="IQR3V127" vbProcedure="false">#REF!</definedName>
    <definedName function="false" hidden="true" name="IQR3V128" vbProcedure="false">#REF!</definedName>
    <definedName function="false" hidden="true" name="IQR3W127" vbProcedure="false">#REF!</definedName>
    <definedName function="false" hidden="true" name="IQR3W128" vbProcedure="false">#REF!</definedName>
    <definedName function="false" hidden="true" name="IQR3X85" vbProcedure="false">#REF!</definedName>
    <definedName function="false" hidden="true" name="IQR42AD127" vbProcedure="false">#REF!</definedName>
    <definedName function="false" hidden="true" name="IQR42AE127" vbProcedure="false">#REF!</definedName>
    <definedName function="false" hidden="true" name="IQR42V110" vbProcedure="false">#REF!</definedName>
    <definedName function="false" hidden="true" name="IQR42V127" vbProcedure="false">#REF!</definedName>
    <definedName function="false" hidden="true" name="IQR42W127" vbProcedure="false">#REF!</definedName>
    <definedName function="false" hidden="true" name="IQR4AD127" vbProcedure="false">#REF!</definedName>
    <definedName function="false" hidden="true" name="IQR4AD128" vbProcedure="false">#REF!</definedName>
    <definedName function="false" hidden="true" name="IQR4AE127" vbProcedure="false">#REF!</definedName>
    <definedName function="false" hidden="true" name="IQR4AE128" vbProcedure="false">#REF!</definedName>
    <definedName function="false" hidden="true" name="IQR4AP16" vbProcedure="false">#REF!</definedName>
    <definedName function="false" hidden="true" name="IQR4AQ16" vbProcedure="false">#REF!</definedName>
    <definedName function="false" hidden="true" name="IQR4AX16" vbProcedure="false">#REF!</definedName>
    <definedName function="false" hidden="true" name="IQR4AY16" vbProcedure="false">#REF!</definedName>
    <definedName function="false" hidden="true" name="IQR4V110" vbProcedure="false">#REF!</definedName>
    <definedName function="false" hidden="true" name="IQR4V111" vbProcedure="false">#REF!</definedName>
    <definedName function="false" hidden="true" name="IQR4V127" vbProcedure="false">#REF!</definedName>
    <definedName function="false" hidden="true" name="IQR4V128" vbProcedure="false">#REF!</definedName>
    <definedName function="false" hidden="true" name="IQR4W127" vbProcedure="false">#REF!</definedName>
    <definedName function="false" hidden="true" name="IQR4W128" vbProcedure="false">#REF!</definedName>
    <definedName function="false" hidden="true" name="IQR4X85" vbProcedure="false">#REF!</definedName>
    <definedName function="false" hidden="true" name="IQR52AD127" vbProcedure="false">#REF!</definedName>
    <definedName function="false" hidden="true" name="IQR52AE127" vbProcedure="false">#REF!</definedName>
    <definedName function="false" hidden="true" name="IQR52V110" vbProcedure="false">#REF!</definedName>
    <definedName function="false" hidden="true" name="IQR52V127" vbProcedure="false">#REF!</definedName>
    <definedName function="false" hidden="true" name="IQR52W127" vbProcedure="false">#REF!</definedName>
    <definedName function="false" hidden="true" name="IQR5AD127" vbProcedure="false">#REF!</definedName>
    <definedName function="false" hidden="true" name="IQR5AD128" vbProcedure="false">#REF!</definedName>
    <definedName function="false" hidden="true" name="IQR5AE127" vbProcedure="false">#REF!</definedName>
    <definedName function="false" hidden="true" name="IQR5AE128" vbProcedure="false">#REF!</definedName>
    <definedName function="false" hidden="true" name="IQR5AP16" vbProcedure="false">#REF!</definedName>
    <definedName function="false" hidden="true" name="IQR5AQ16" vbProcedure="false">#REF!</definedName>
    <definedName function="false" hidden="true" name="IQR5AX16" vbProcedure="false">#REF!</definedName>
    <definedName function="false" hidden="true" name="IQR5AY16" vbProcedure="false">#REF!</definedName>
    <definedName function="false" hidden="true" name="IQR5V110" vbProcedure="false">#REF!</definedName>
    <definedName function="false" hidden="true" name="IQR5V111" vbProcedure="false">#REF!</definedName>
    <definedName function="false" hidden="true" name="IQR5V127" vbProcedure="false">#REF!</definedName>
    <definedName function="false" hidden="true" name="IQR5V128" vbProcedure="false">#REF!</definedName>
    <definedName function="false" hidden="true" name="IQR5W127" vbProcedure="false">#REF!</definedName>
    <definedName function="false" hidden="true" name="IQR5W128" vbProcedure="false">#REF!</definedName>
    <definedName function="false" hidden="true" name="IQR5X85" vbProcedure="false">#REF!</definedName>
    <definedName function="false" hidden="true" name="IQR62AD127" vbProcedure="false">#REF!</definedName>
    <definedName function="false" hidden="true" name="IQR62AE127" vbProcedure="false">#REF!</definedName>
    <definedName function="false" hidden="true" name="IQR62V110" vbProcedure="false">#REF!</definedName>
    <definedName function="false" hidden="true" name="IQR62V127" vbProcedure="false">#REF!</definedName>
    <definedName function="false" hidden="true" name="IQR62W127" vbProcedure="false">#REF!</definedName>
    <definedName function="false" hidden="true" name="IQR6AD127" vbProcedure="false">#REF!</definedName>
    <definedName function="false" hidden="true" name="IQR6AD128" vbProcedure="false">#REF!</definedName>
    <definedName function="false" hidden="true" name="IQR6AE127" vbProcedure="false">#REF!</definedName>
    <definedName function="false" hidden="true" name="IQR6AE128" vbProcedure="false">#REF!</definedName>
    <definedName function="false" hidden="true" name="IQR6AP16" vbProcedure="false">#REF!</definedName>
    <definedName function="false" hidden="true" name="IQR6AQ16" vbProcedure="false">#REF!</definedName>
    <definedName function="false" hidden="true" name="IQR6AX16" vbProcedure="false">#REF!</definedName>
    <definedName function="false" hidden="true" name="IQR6AY16" vbProcedure="false">#REF!</definedName>
    <definedName function="false" hidden="true" name="IQR6V110" vbProcedure="false">#REF!</definedName>
    <definedName function="false" hidden="true" name="IQR6V111" vbProcedure="false">#REF!</definedName>
    <definedName function="false" hidden="true" name="IQR6V127" vbProcedure="false">#REF!</definedName>
    <definedName function="false" hidden="true" name="IQR6V128" vbProcedure="false">#REF!</definedName>
    <definedName function="false" hidden="true" name="IQR6W127" vbProcedure="false">#REF!</definedName>
    <definedName function="false" hidden="true" name="IQR6W128" vbProcedure="false">#REF!</definedName>
    <definedName function="false" hidden="true" name="IQR6X85" vbProcedure="false">#REF!</definedName>
    <definedName function="false" hidden="true" name="IQR7AD127" vbProcedure="false">#REF!</definedName>
    <definedName function="false" hidden="true" name="IQR7AD128" vbProcedure="false">#REF!</definedName>
    <definedName function="false" hidden="true" name="IQR7AE127" vbProcedure="false">#REF!</definedName>
    <definedName function="false" hidden="true" name="IQR7AE128" vbProcedure="false">#REF!</definedName>
    <definedName function="false" hidden="true" name="IQR7AP16" vbProcedure="false">#REF!</definedName>
    <definedName function="false" hidden="true" name="IQR7AQ16" vbProcedure="false">#REF!</definedName>
    <definedName function="false" hidden="true" name="IQR7AX16" vbProcedure="false">#REF!</definedName>
    <definedName function="false" hidden="true" name="IQR7AY16" vbProcedure="false">#REF!</definedName>
    <definedName function="false" hidden="true" name="IQR7V110" vbProcedure="false">#REF!</definedName>
    <definedName function="false" hidden="true" name="IQR7V111" vbProcedure="false">#REF!</definedName>
    <definedName function="false" hidden="true" name="IQR7V127" vbProcedure="false">#REF!</definedName>
    <definedName function="false" hidden="true" name="IQR7V128" vbProcedure="false">#REF!</definedName>
    <definedName function="false" hidden="true" name="IQR7W127" vbProcedure="false">#REF!</definedName>
    <definedName function="false" hidden="true" name="IQR7W128" vbProcedure="false">#REF!</definedName>
    <definedName function="false" hidden="true" name="IQR7X85" vbProcedure="false">#REF!</definedName>
    <definedName function="false" hidden="true" name="IQR8AD127" vbProcedure="false">#REF!</definedName>
    <definedName function="false" hidden="true" name="IQR8AD128" vbProcedure="false">#REF!</definedName>
    <definedName function="false" hidden="true" name="IQR8AE127" vbProcedure="false">#REF!</definedName>
    <definedName function="false" hidden="true" name="IQR8AE128" vbProcedure="false">#REF!</definedName>
    <definedName function="false" hidden="true" name="IQR8AP16" vbProcedure="false">#REF!</definedName>
    <definedName function="false" hidden="true" name="IQR8AQ16" vbProcedure="false">#REF!</definedName>
    <definedName function="false" hidden="true" name="IQR8AX16" vbProcedure="false">#REF!</definedName>
    <definedName function="false" hidden="true" name="IQR8AY16" vbProcedure="false">#REF!</definedName>
    <definedName function="false" hidden="true" name="IQR8V110" vbProcedure="false">#REF!</definedName>
    <definedName function="false" hidden="true" name="IQR8V111" vbProcedure="false">#REF!</definedName>
    <definedName function="false" hidden="true" name="IQR8V127" vbProcedure="false">#REF!</definedName>
    <definedName function="false" hidden="true" name="IQR8V128" vbProcedure="false">#REF!</definedName>
    <definedName function="false" hidden="true" name="IQR8W127" vbProcedure="false">#REF!</definedName>
    <definedName function="false" hidden="true" name="IQR8W128" vbProcedure="false">#REF!</definedName>
    <definedName function="false" hidden="true" name="IQR8X85" vbProcedure="false">#REF!</definedName>
    <definedName function="false" hidden="true" name="IQR9AD127" vbProcedure="false">#REF!</definedName>
    <definedName function="false" hidden="true" name="IQR9AE127" vbProcedure="false">#REF!</definedName>
    <definedName function="false" hidden="true" name="IQR9AP16" vbProcedure="false">#REF!</definedName>
    <definedName function="false" hidden="true" name="IQR9AQ16" vbProcedure="false">#REF!</definedName>
    <definedName function="false" hidden="true" name="IQR9AX16" vbProcedure="false">#REF!</definedName>
    <definedName function="false" hidden="true" name="IQR9AY16" vbProcedure="false">#REF!</definedName>
    <definedName function="false" hidden="true" name="IQR9V110" vbProcedure="false">#REF!</definedName>
    <definedName function="false" hidden="true" name="IQR9V127" vbProcedure="false">#REF!</definedName>
    <definedName function="false" hidden="true" name="IQR9W127" vbProcedure="false">#REF!</definedName>
    <definedName function="false" hidden="true" name="IQR9X85" vbProcedure="false">#REF!</definedName>
    <definedName function="false" hidden="true" name="IQRA10" vbProcedure="false">"$A$11:$A$262"</definedName>
    <definedName function="false" hidden="true" name="IQRA2AA8" vbProcedure="false">#REF!</definedName>
    <definedName function="false" hidden="true" name="IQRA2AP1" vbProcedure="false">#REF!</definedName>
    <definedName function="false" hidden="true" name="IQRA2AP16" vbProcedure="false">#REF!</definedName>
    <definedName function="false" hidden="true" name="IQRA2AQ1" vbProcedure="false">#REF!</definedName>
    <definedName function="false" hidden="true" name="IQRA2AQ16" vbProcedure="false">#REF!</definedName>
    <definedName function="false" hidden="true" name="IQRA2AX1" vbProcedure="false">#REF!</definedName>
    <definedName function="false" hidden="true" name="IQRA2AX16" vbProcedure="false">#REF!</definedName>
    <definedName function="false" hidden="true" name="IQRA2AY1" vbProcedure="false">#REF!</definedName>
    <definedName function="false" hidden="true" name="IQRA2AY16" vbProcedure="false">#REF!</definedName>
    <definedName function="false" hidden="true" name="IQRA2B82" vbProcedure="false">#REF!</definedName>
    <definedName function="false" hidden="true" name="IQRA2V82" vbProcedure="false">#REF!</definedName>
    <definedName function="false" hidden="true" name="IQRA2W6" vbProcedure="false">#REF!</definedName>
    <definedName function="false" hidden="true" name="IQRA2W8" vbProcedure="false">#REF!</definedName>
    <definedName function="false" hidden="true" name="IQRA2W82" vbProcedure="false">#REF!</definedName>
    <definedName function="false" hidden="true" name="IQRA2X10" vbProcedure="false">#REF!</definedName>
    <definedName function="false" hidden="true" name="IQRA2X11" vbProcedure="false">#REF!</definedName>
    <definedName function="false" hidden="true" name="IQRA2X12" vbProcedure="false">#REF!</definedName>
    <definedName function="false" hidden="true" name="IQRA2X13" vbProcedure="false">#REF!</definedName>
    <definedName function="false" hidden="true" name="IQRA2X14" vbProcedure="false">#REF!</definedName>
    <definedName function="false" hidden="true" name="IQRA2X15" vbProcedure="false">#REF!</definedName>
    <definedName function="false" hidden="true" name="IQRA2X16" vbProcedure="false">#REF!</definedName>
    <definedName function="false" hidden="true" name="IQRA2X17" vbProcedure="false">#REF!</definedName>
    <definedName function="false" hidden="true" name="IQRA2X18" vbProcedure="false">#REF!</definedName>
    <definedName function="false" hidden="true" name="IQRA2X19" vbProcedure="false">#REF!</definedName>
    <definedName function="false" hidden="true" name="IQRA2X20" vbProcedure="false">#REF!</definedName>
    <definedName function="false" hidden="true" name="IQRA2X21" vbProcedure="false">#REF!</definedName>
    <definedName function="false" hidden="true" name="IQRA2X23" vbProcedure="false">#REF!</definedName>
    <definedName function="false" hidden="true" name="IQRA2X24" vbProcedure="false">#REF!</definedName>
    <definedName function="false" hidden="true" name="IQRA2X25" vbProcedure="false">#REF!</definedName>
    <definedName function="false" hidden="true" name="IQRA2X26" vbProcedure="false">#REF!</definedName>
    <definedName function="false" hidden="true" name="IQRA2X6" vbProcedure="false">#REF!</definedName>
    <definedName function="false" hidden="true" name="IQRA2X7" vbProcedure="false">#REF!</definedName>
    <definedName function="false" hidden="true" name="IQRA2X8" vbProcedure="false">#REF!</definedName>
    <definedName function="false" hidden="true" name="IQRA2X82" vbProcedure="false">#REF!</definedName>
    <definedName function="false" hidden="true" name="IQRA2X83" vbProcedure="false">#REF!</definedName>
    <definedName function="false" hidden="true" name="IQRA2X85" vbProcedure="false">#REF!</definedName>
    <definedName function="false" hidden="true" name="IQRA2X9" vbProcedure="false">#REF!</definedName>
    <definedName function="false" hidden="true" name="IQRA2Y8" vbProcedure="false">#REF!</definedName>
    <definedName function="false" hidden="true" name="IQRA2Z8" vbProcedure="false">#REF!</definedName>
    <definedName function="false" hidden="true" name="IQRA3" vbProcedure="false">"$A$4:$A$23"</definedName>
    <definedName function="false" hidden="true" name="IQRA38" vbProcedure="false">"$A$39:$A$48"</definedName>
    <definedName function="false" hidden="true" name="IQRA3AP1" vbProcedure="false">#REF!</definedName>
    <definedName function="false" hidden="true" name="IQRA3AQ1" vbProcedure="false">#REF!</definedName>
    <definedName function="false" hidden="true" name="IQRA3X82" vbProcedure="false">#REF!</definedName>
    <definedName function="false" hidden="true" name="IQRA4AP1" vbProcedure="false">#REF!</definedName>
    <definedName function="false" hidden="true" name="IQRA4AQ1" vbProcedure="false">#REF!</definedName>
    <definedName function="false" hidden="true" name="IQRA4X82" vbProcedure="false">#REF!</definedName>
    <definedName function="false" hidden="true" name="IQRA5" vbProcedure="false">"$A$6:$A$20"</definedName>
    <definedName function="false" hidden="true" name="IQRA5AP1" vbProcedure="false">#REF!</definedName>
    <definedName function="false" hidden="true" name="IQRA5AQ1" vbProcedure="false">#REF!</definedName>
    <definedName function="false" hidden="true" name="IQRA5X82" vbProcedure="false">#REF!</definedName>
    <definedName function="false" hidden="true" name="IQRA6" vbProcedure="false">"$A$7:$A$21"</definedName>
    <definedName function="false" hidden="true" name="IQRA60" vbProcedure="false">"$A$61:$A$75"</definedName>
    <definedName function="false" hidden="true" name="IQRA7" vbProcedure="false">"$A$8:$A$21"</definedName>
    <definedName function="false" hidden="true" name="IQRA8" vbProcedure="false">"$A$9:$A$19"</definedName>
    <definedName function="false" hidden="true" name="IQRAAP1" vbProcedure="false">#REF!</definedName>
    <definedName function="false" hidden="true" name="IQRAAP16" vbProcedure="false">#REF!</definedName>
    <definedName function="false" hidden="true" name="IQRAAP2" vbProcedure="false">#REF!</definedName>
    <definedName function="false" hidden="true" name="IQRAAP3" vbProcedure="false">#REF!</definedName>
    <definedName function="false" hidden="true" name="IQRAAP4" vbProcedure="false">#REF!</definedName>
    <definedName function="false" hidden="true" name="IQRAAP5" vbProcedure="false">#REF!</definedName>
    <definedName function="false" hidden="true" name="IQRAAP6" vbProcedure="false">#REF!</definedName>
    <definedName function="false" hidden="true" name="IQRAAP7" vbProcedure="false">#REF!</definedName>
    <definedName function="false" hidden="true" name="IQRAAP8" vbProcedure="false">#REF!</definedName>
    <definedName function="false" hidden="true" name="IQRAAP9" vbProcedure="false">#REF!</definedName>
    <definedName function="false" hidden="true" name="IQRAAQ1" vbProcedure="false">#REF!</definedName>
    <definedName function="false" hidden="true" name="IQRAAQ16" vbProcedure="false">#REF!</definedName>
    <definedName function="false" hidden="true" name="IQRAAQ2" vbProcedure="false">#REF!</definedName>
    <definedName function="false" hidden="true" name="IQRAAQ3" vbProcedure="false">#REF!</definedName>
    <definedName function="false" hidden="true" name="IQRAAQ4" vbProcedure="false">#REF!</definedName>
    <definedName function="false" hidden="true" name="IQRAAQ5" vbProcedure="false">#REF!</definedName>
    <definedName function="false" hidden="true" name="IQRAAQ6" vbProcedure="false">#REF!</definedName>
    <definedName function="false" hidden="true" name="IQRAAQ7" vbProcedure="false">#REF!</definedName>
    <definedName function="false" hidden="true" name="IQRAAQ8" vbProcedure="false">#REF!</definedName>
    <definedName function="false" hidden="true" name="IQRAAQ9" vbProcedure="false">#REF!</definedName>
    <definedName function="false" hidden="true" name="IQRAAX1" vbProcedure="false">#REF!</definedName>
    <definedName function="false" hidden="true" name="IQRAAX16" vbProcedure="false">#REF!</definedName>
    <definedName function="false" hidden="true" name="IQRAAX2" vbProcedure="false">#REF!</definedName>
    <definedName function="false" hidden="true" name="IQRAAX3" vbProcedure="false">#REF!</definedName>
    <definedName function="false" hidden="true" name="IQRAAX4" vbProcedure="false">#REF!</definedName>
    <definedName function="false" hidden="true" name="IQRAAX5" vbProcedure="false">#REF!</definedName>
    <definedName function="false" hidden="true" name="IQRAAX6" vbProcedure="false">#REF!</definedName>
    <definedName function="false" hidden="true" name="IQRAAX7" vbProcedure="false">#REF!</definedName>
    <definedName function="false" hidden="true" name="IQRAAX8" vbProcedure="false">#REF!</definedName>
    <definedName function="false" hidden="true" name="IQRAAX9" vbProcedure="false">#REF!</definedName>
    <definedName function="false" hidden="true" name="IQRAAY1" vbProcedure="false">#REF!</definedName>
    <definedName function="false" hidden="true" name="IQRAAY16" vbProcedure="false">#REF!</definedName>
    <definedName function="false" hidden="true" name="IQRAAY2" vbProcedure="false">#REF!</definedName>
    <definedName function="false" hidden="true" name="IQRAAY3" vbProcedure="false">#REF!</definedName>
    <definedName function="false" hidden="true" name="IQRAAY4" vbProcedure="false">#REF!</definedName>
    <definedName function="false" hidden="true" name="IQRAAY5" vbProcedure="false">#REF!</definedName>
    <definedName function="false" hidden="true" name="IQRAAY6" vbProcedure="false">#REF!</definedName>
    <definedName function="false" hidden="true" name="IQRAAY7" vbProcedure="false">#REF!</definedName>
    <definedName function="false" hidden="true" name="IQRAAY8" vbProcedure="false">#REF!</definedName>
    <definedName function="false" hidden="true" name="IQRAAY9" vbProcedure="false">#REF!</definedName>
    <definedName function="false" hidden="true" name="IQRAD17" vbProcedure="false">"$AD$18:$AD$268"</definedName>
    <definedName function="false" hidden="true" name="IQRAecomS13" vbProcedure="false">#REF!</definedName>
    <definedName function="false" hidden="true" name="IQRAF17" vbProcedure="false">"$AF$18:$AF$269"</definedName>
    <definedName function="false" hidden="true" name="IQRAF53" vbProcedure="false">"$AF$54:$AF$60"</definedName>
    <definedName function="false" hidden="true" name="IQRAF96" vbProcedure="false">"$AF$97"</definedName>
    <definedName function="false" hidden="true" name="IQRAH53" vbProcedure="false">"$AH$54:$AH$60"</definedName>
    <definedName function="false" hidden="true" name="IQRAH96" vbProcedure="false">"$AH$97"</definedName>
    <definedName function="false" hidden="true" name="IQRAJ53" vbProcedure="false">"$AJ$54:$AJ$58"</definedName>
    <definedName function="false" hidden="true" name="IQRAK53" vbProcedure="false">"$AK$54:$AK$58"</definedName>
    <definedName function="false" hidden="true" name="IQRAK96" vbProcedure="false">"$AK$97"</definedName>
    <definedName function="false" hidden="true" name="IQRAnalyseducours2C15" vbProcedure="false">#REF!</definedName>
    <definedName function="false" hidden="true" name="IQRAnalyseducours2C18" vbProcedure="false">#REF!</definedName>
    <definedName function="false" hidden="true" name="IQRAnalyseducours2C19" vbProcedure="false">#REF!</definedName>
    <definedName function="false" hidden="true" name="IQRAnalyseducours2D15" vbProcedure="false">#REF!</definedName>
    <definedName function="false" hidden="true" name="IQRAnalyseducours2D18" vbProcedure="false">#REF!</definedName>
    <definedName function="false" hidden="true" name="IQRAnalyseducours2D19" vbProcedure="false">#REF!</definedName>
    <definedName function="false" hidden="true" name="IQRAnalyseducours2E15" vbProcedure="false">#REF!</definedName>
    <definedName function="false" hidden="true" name="IQRAnalyseducours2E18" vbProcedure="false">#REF!</definedName>
    <definedName function="false" hidden="true" name="IQRAnalyseducours2E19" vbProcedure="false">#REF!</definedName>
    <definedName function="false" hidden="true" name="IQRAnalyseducours2F19" vbProcedure="false">#REF!</definedName>
    <definedName function="false" hidden="true" name="IQRAnalyseducours2I19" vbProcedure="false">#REF!</definedName>
    <definedName function="false" hidden="true" name="IQRAnalyseducours2J20" vbProcedure="false">#REF!</definedName>
    <definedName function="false" hidden="true" name="IQRAnalyseducours2K20" vbProcedure="false">#REF!</definedName>
    <definedName function="false" hidden="true" name="IQRAnalyseducours2M20" vbProcedure="false">#REF!</definedName>
    <definedName function="false" hidden="true" name="IQRAnalyseducoursAA59" vbProcedure="false">#REF!</definedName>
    <definedName function="false" hidden="true" name="IQRAnalyseducoursAA60" vbProcedure="false">#REF!</definedName>
    <definedName function="false" hidden="true" name="IQRAnalyseducoursAB59" vbProcedure="false">#REF!</definedName>
    <definedName function="false" hidden="true" name="IQRAnalyseducoursAB60" vbProcedure="false">#REF!</definedName>
    <definedName function="false" hidden="true" name="IQRAnalyseducoursAC56" vbProcedure="false">#REF!</definedName>
    <definedName function="false" hidden="true" name="IQRAnalyseducoursAC57" vbProcedure="false">#REF!</definedName>
    <definedName function="false" hidden="true" name="IQRAnalyseducoursAC58" vbProcedure="false">#REF!</definedName>
    <definedName function="false" hidden="true" name="IQRAnalyseducoursAC59" vbProcedure="false">#REF!</definedName>
    <definedName function="false" hidden="true" name="IQRAnalyseducoursAC60" vbProcedure="false">#REF!</definedName>
    <definedName function="false" hidden="true" name="IQRAnalyseducoursAD56" vbProcedure="false">#REF!</definedName>
    <definedName function="false" hidden="true" name="IQRAnalyseducoursAD57" vbProcedure="false">#REF!</definedName>
    <definedName function="false" hidden="true" name="IQRAnalyseducoursAD58" vbProcedure="false">#REF!</definedName>
    <definedName function="false" hidden="true" name="IQRAnalyseducoursAD59" vbProcedure="false">#REF!</definedName>
    <definedName function="false" hidden="true" name="IQRAnalyseducoursAE56" vbProcedure="false">#REF!</definedName>
    <definedName function="false" hidden="true" name="IQRAnalyseducoursAE57" vbProcedure="false">#REF!</definedName>
    <definedName function="false" hidden="true" name="IQRAnalyseducoursAE58" vbProcedure="false">#REF!</definedName>
    <definedName function="false" hidden="true" name="IQRAnalyseducoursAE59" vbProcedure="false">#REF!</definedName>
    <definedName function="false" hidden="true" name="IQRAnalyseducoursAF59" vbProcedure="false">#REF!</definedName>
    <definedName function="false" hidden="true" name="IQRAnalyseducoursAF60" vbProcedure="false">#REF!</definedName>
    <definedName function="false" hidden="true" name="IQRAnalyseducoursAG59" vbProcedure="false">#REF!</definedName>
    <definedName function="false" hidden="true" name="IQRAnalyseducoursAG60" vbProcedure="false">#REF!</definedName>
    <definedName function="false" hidden="true" name="IQRAnalyseducoursAH59" vbProcedure="false">#REF!</definedName>
    <definedName function="false" hidden="true" name="IQRAnalyseducoursAH60" vbProcedure="false">#REF!</definedName>
    <definedName function="false" hidden="true" name="IQRAnalyseducoursAI59" vbProcedure="false">#REF!</definedName>
    <definedName function="false" hidden="true" name="IQRAnalyseducoursAI60" vbProcedure="false">#REF!</definedName>
    <definedName function="false" hidden="true" name="IQRAnalyseducoursAJ60" vbProcedure="false">#REF!</definedName>
    <definedName function="false" hidden="true" name="IQRAnalyseducoursC49" vbProcedure="false">#REF!</definedName>
    <definedName function="false" hidden="true" name="IQRAnalyseducoursD49" vbProcedure="false">#REF!</definedName>
    <definedName function="false" hidden="true" name="IQRAnalyseducoursE49" vbProcedure="false">#REF!</definedName>
    <definedName function="false" hidden="true" name="IQRAnalyseducoursH49" vbProcedure="false">#REF!</definedName>
    <definedName function="false" hidden="true" name="IQRAnalyseducoursI49" vbProcedure="false">#REF!</definedName>
    <definedName function="false" hidden="true" name="IQRAnalyseducoursJ49" vbProcedure="false">#REF!</definedName>
    <definedName function="false" hidden="true" name="IQRAnalyseducoursK53" vbProcedure="false">#REF!</definedName>
    <definedName function="false" hidden="true" name="IQRAnalyseducoursK56" vbProcedure="false">#REF!</definedName>
    <definedName function="false" hidden="true" name="IQRAnalyseducoursK57" vbProcedure="false">#REF!</definedName>
    <definedName function="false" hidden="true" name="IQRAnalyseducoursK58" vbProcedure="false">#REF!</definedName>
    <definedName function="false" hidden="true" name="IQRAnalyseducoursK59" vbProcedure="false">#REF!</definedName>
    <definedName function="false" hidden="true" name="IQRAnalyseducoursK60" vbProcedure="false">#REF!</definedName>
    <definedName function="false" hidden="true" name="IQRAnalyseducoursL53" vbProcedure="false">#REF!</definedName>
    <definedName function="false" hidden="true" name="IQRAnalyseducoursL56" vbProcedure="false">#REF!</definedName>
    <definedName function="false" hidden="true" name="IQRAnalyseducoursL57" vbProcedure="false">#REF!</definedName>
    <definedName function="false" hidden="true" name="IQRAnalyseducoursL58" vbProcedure="false">#REF!</definedName>
    <definedName function="false" hidden="true" name="IQRAnalyseducoursL59" vbProcedure="false">#REF!</definedName>
    <definedName function="false" hidden="true" name="IQRAnalyseducoursL60" vbProcedure="false">#REF!</definedName>
    <definedName function="false" hidden="true" name="IQRAnalyseducoursM53" vbProcedure="false">#REF!</definedName>
    <definedName function="false" hidden="true" name="IQRAnalyseducoursM56" vbProcedure="false">#REF!</definedName>
    <definedName function="false" hidden="true" name="IQRAnalyseducoursM57" vbProcedure="false">#REF!</definedName>
    <definedName function="false" hidden="true" name="IQRAnalyseducoursM58" vbProcedure="false">#REF!</definedName>
    <definedName function="false" hidden="true" name="IQRAnalyseducoursM59" vbProcedure="false">#REF!</definedName>
    <definedName function="false" hidden="true" name="IQRAnalyseducoursM60" vbProcedure="false">#REF!</definedName>
    <definedName function="false" hidden="true" name="IQRAnalyseducoursN59" vbProcedure="false">#REF!</definedName>
    <definedName function="false" hidden="true" name="IQRAnalyseducoursN60" vbProcedure="false">#REF!</definedName>
    <definedName function="false" hidden="true" name="IQRAnalyseducoursO60" vbProcedure="false">#REF!</definedName>
    <definedName function="false" hidden="true" name="IQRAnalyseducoursP56" vbProcedure="false">#REF!</definedName>
    <definedName function="false" hidden="true" name="IQRAnalyseducoursQ56" vbProcedure="false">#REF!</definedName>
    <definedName function="false" hidden="true" name="IQRAnalyseducoursQ57" vbProcedure="false">#REF!</definedName>
    <definedName function="false" hidden="true" name="IQRAnalyseducoursQ58" vbProcedure="false">#REF!</definedName>
    <definedName function="false" hidden="true" name="IQRAnalyseducoursQ59" vbProcedure="false">#REF!</definedName>
    <definedName function="false" hidden="true" name="IQRAnalyseducoursR56" vbProcedure="false">#REF!</definedName>
    <definedName function="false" hidden="true" name="IQRAnalyseducoursR57" vbProcedure="false">#REF!</definedName>
    <definedName function="false" hidden="true" name="IQRAnalyseducoursR58" vbProcedure="false">#REF!</definedName>
    <definedName function="false" hidden="true" name="IQRAnalyseducoursR59" vbProcedure="false">#REF!</definedName>
    <definedName function="false" hidden="true" name="IQRAnalyseducoursR60" vbProcedure="false">#REF!</definedName>
    <definedName function="false" hidden="true" name="IQRAnalyseducoursS56" vbProcedure="false">#REF!</definedName>
    <definedName function="false" hidden="true" name="IQRAnalyseducoursS57" vbProcedure="false">#REF!</definedName>
    <definedName function="false" hidden="true" name="IQRAnalyseducoursS58" vbProcedure="false">#REF!</definedName>
    <definedName function="false" hidden="true" name="IQRAnalyseducoursS59" vbProcedure="false">#REF!</definedName>
    <definedName function="false" hidden="true" name="IQRAnalyseducoursS60" vbProcedure="false">#REF!</definedName>
    <definedName function="false" hidden="true" name="IQRAnalyseducoursT59" vbProcedure="false">#REF!</definedName>
    <definedName function="false" hidden="true" name="IQRAnalyseducoursT60" vbProcedure="false">#REF!</definedName>
    <definedName function="false" hidden="true" name="IQRAnalyseducoursU59" vbProcedure="false">#REF!</definedName>
    <definedName function="false" hidden="true" name="IQRAnalyseducoursU60" vbProcedure="false">#REF!</definedName>
    <definedName function="false" hidden="true" name="IQRAnalyseducoursV60" vbProcedure="false">#REF!</definedName>
    <definedName function="false" hidden="true" name="IQRAnalyseducoursW56" vbProcedure="false">#REF!</definedName>
    <definedName function="false" hidden="true" name="IQRAnalyseducoursW57" vbProcedure="false">#REF!</definedName>
    <definedName function="false" hidden="true" name="IQRAnalyseducoursW58" vbProcedure="false">#REF!</definedName>
    <definedName function="false" hidden="true" name="IQRAnalyseducoursW59" vbProcedure="false">#REF!</definedName>
    <definedName function="false" hidden="true" name="IQRAnalyseducoursX56" vbProcedure="false">#REF!</definedName>
    <definedName function="false" hidden="true" name="IQRAnalyseducoursX57" vbProcedure="false">#REF!</definedName>
    <definedName function="false" hidden="true" name="IQRAnalyseducoursX58" vbProcedure="false">#REF!</definedName>
    <definedName function="false" hidden="true" name="IQRAnalyseducoursX59" vbProcedure="false">#REF!</definedName>
    <definedName function="false" hidden="true" name="IQRAnalyseducoursY56" vbProcedure="false">#REF!</definedName>
    <definedName function="false" hidden="true" name="IQRAnalyseducoursY57" vbProcedure="false">#REF!</definedName>
    <definedName function="false" hidden="true" name="IQRAnalyseducoursY58" vbProcedure="false">#REF!</definedName>
    <definedName function="false" hidden="true" name="IQRAnalyseducoursY59" vbProcedure="false">#REF!</definedName>
    <definedName function="false" hidden="true" name="IQRAnalyseducoursY60" vbProcedure="false">#REF!</definedName>
    <definedName function="false" hidden="true" name="IQRAnalyseducoursZ59" vbProcedure="false">#REF!</definedName>
    <definedName function="false" hidden="true" name="IQRAnalyseducoursZ60" vbProcedure="false">#REF!</definedName>
    <definedName function="false" hidden="true" name="IQRArcadisM13" vbProcedure="false">#REF!</definedName>
    <definedName function="false" hidden="true" name="IQRArcadisS13" vbProcedure="false">#REF!</definedName>
    <definedName function="false" hidden="true" name="IQRAssumptionsC49" vbProcedure="false">#REF!</definedName>
    <definedName function="false" hidden="true" name="IQRAT8" vbProcedure="false">#REF!</definedName>
    <definedName function="false" hidden="true" name="IQRAU8" vbProcedure="false">#REF!</definedName>
    <definedName function="false" hidden="true" name="IQRAX82" vbProcedure="false">#REF!</definedName>
    <definedName function="false" hidden="true" name="IQRAX83" vbProcedure="false">#REF!</definedName>
    <definedName function="false" hidden="true" name="IQRAX85" vbProcedure="false">#REF!</definedName>
    <definedName function="false" hidden="true" name="IQRB1" vbProcedure="false">"$B$2:$B$1023"</definedName>
    <definedName function="false" hidden="true" name="IQRB14" vbProcedure="false">"$B$15:$B$518"</definedName>
    <definedName function="false" hidden="true" name="IQRB15" vbProcedure="false">"$B$16:$B$17"</definedName>
    <definedName function="false" hidden="true" name="IQRB16" vbProcedure="false">"$B$17:$B$520"</definedName>
    <definedName function="false" hidden="true" name="IQRB17" vbProcedure="false">"$B$18:$B$22"</definedName>
    <definedName function="false" hidden="true" name="IQRB18" vbProcedure="false">"$B$19:$B$23"</definedName>
    <definedName function="false" hidden="true" name="IQRB19" vbProcedure="false">"$B$20:$B$24"</definedName>
    <definedName function="false" hidden="true" name="IQRB2" vbProcedure="false">"$B$3:$B$64"</definedName>
    <definedName function="false" hidden="true" name="IQRB20" vbProcedure="false">"$B$21:$B$25"</definedName>
    <definedName function="false" hidden="true" name="IQRB21" vbProcedure="false">"$B$22:$B$26"</definedName>
    <definedName function="false" hidden="true" name="IQRB22" vbProcedure="false">"$B$23:$B$27"</definedName>
    <definedName function="false" hidden="true" name="IQRB23" vbProcedure="false">"$B$24:$B$28"</definedName>
    <definedName function="false" hidden="true" name="IQRB24" vbProcedure="false">"$B$25:$B$29"</definedName>
    <definedName function="false" hidden="true" name="IQRB2AP1" vbProcedure="false">#REF!</definedName>
    <definedName function="false" hidden="true" name="IQRB2AQ1" vbProcedure="false">#REF!</definedName>
    <definedName function="false" hidden="true" name="IQRB2AX1" vbProcedure="false">#REF!</definedName>
    <definedName function="false" hidden="true" name="IQRB2AY1" vbProcedure="false">#REF!</definedName>
    <definedName function="false" hidden="true" name="IQRB2X83" vbProcedure="false">#REF!</definedName>
    <definedName function="false" hidden="true" name="IQRB32" vbProcedure="false">"$B$33:$B$37"</definedName>
    <definedName function="false" hidden="true" name="IQRB33" vbProcedure="false">"$B$34:$B$38"</definedName>
    <definedName function="false" hidden="true" name="IQRB34" vbProcedure="false">"$B$35:$B$39"</definedName>
    <definedName function="false" hidden="true" name="IQRB38" vbProcedure="false">"$B$39:$B$48"</definedName>
    <definedName function="false" hidden="true" name="IQRB39" vbProcedure="false">"$B$40:$B$61"</definedName>
    <definedName function="false" hidden="true" name="IQRB5" vbProcedure="false">"$B$6:$B$20"</definedName>
    <definedName function="false" hidden="true" name="IQRB6" vbProcedure="false">"$B$7:$B$21"</definedName>
    <definedName function="false" hidden="true" name="IQRB8" vbProcedure="false">"$B$9:$B$19"</definedName>
    <definedName function="false" hidden="true" name="IQRBAP1" vbProcedure="false">#REF!</definedName>
    <definedName function="false" hidden="true" name="IQRBAP16" vbProcedure="false">#REF!</definedName>
    <definedName function="false" hidden="true" name="IQRBAQ1" vbProcedure="false">#REF!</definedName>
    <definedName function="false" hidden="true" name="IQRBAQ16" vbProcedure="false">#REF!</definedName>
    <definedName function="false" hidden="true" name="IQRBAX1" vbProcedure="false">#REF!</definedName>
    <definedName function="false" hidden="true" name="IQRBAX16" vbProcedure="false">#REF!</definedName>
    <definedName function="false" hidden="true" name="IQRBAY1" vbProcedure="false">#REF!</definedName>
    <definedName function="false" hidden="true" name="IQRBAY16" vbProcedure="false">#REF!</definedName>
    <definedName function="false" hidden="true" name="IQRBB17" vbProcedure="false">"$BB$18:$BB$1299"</definedName>
    <definedName function="false" hidden="true" name="IQRBB40" vbProcedure="false">"$BB$41:$BB$45"</definedName>
    <definedName function="false" hidden="true" name="IQRBourse2B6" vbProcedure="false">#REF!</definedName>
    <definedName function="false" hidden="true" name="IQRBourseB6" vbProcedure="false">#REF!</definedName>
    <definedName function="false" hidden="true" name="IQRBourseC6" vbProcedure="false">#REF!</definedName>
    <definedName function="false" hidden="true" name="IQRBourseD6" vbProcedure="false">#REF!</definedName>
    <definedName function="false" hidden="true" name="IQRBX85" vbProcedure="false">#REF!</definedName>
    <definedName function="false" hidden="true" name="IQRC14" vbProcedure="false">"$C$15:$C$119"</definedName>
    <definedName function="false" hidden="true" name="IQRC15" vbProcedure="false">"$C$16:$C$20"</definedName>
    <definedName function="false" hidden="true" name="IQRC24" vbProcedure="false">"$C$25:$C$29"</definedName>
    <definedName function="false" hidden="true" name="IQRC30" vbProcedure="false">"$C$31:$C$50"</definedName>
    <definedName function="false" hidden="true" name="IQRC32" vbProcedure="false">"$C$33:$C$52"</definedName>
    <definedName function="false" hidden="true" name="IQRC5" vbProcedure="false">"$C$6:$C$20"</definedName>
    <definedName function="false" hidden="true" name="IQRC6" vbProcedure="false">"$C$7:$C$21"</definedName>
    <definedName function="false" hidden="true" name="IQRC60" vbProcedure="false">"$C$61:$C$69"</definedName>
    <definedName function="false" hidden="true" name="IQRC8" vbProcedure="false">"$C$9:$C$19"</definedName>
    <definedName function="false" hidden="true" name="IQRCAP16" vbProcedure="false">#REF!</definedName>
    <definedName function="false" hidden="true" name="IQRCAQ16" vbProcedure="false">#REF!</definedName>
    <definedName function="false" hidden="true" name="IQRCAX16" vbProcedure="false">#REF!</definedName>
    <definedName function="false" hidden="true" name="IQRCAY16" vbProcedure="false">#REF!</definedName>
    <definedName function="false" hidden="true" name="IQRCMPVjdb2C54" vbProcedure="false">#REF!</definedName>
    <definedName function="false" hidden="true" name="IQRCMPVjdb2G54" vbProcedure="false">#REF!</definedName>
    <definedName function="false" hidden="true" name="IQRCMPVjdb2K54" vbProcedure="false">#REF!</definedName>
    <definedName function="false" hidden="true" name="IQRCMPVjdb2O54" vbProcedure="false">#REF!</definedName>
    <definedName function="false" hidden="true" name="IQRCMPVjdnC54" vbProcedure="false">#REF!</definedName>
    <definedName function="false" hidden="true" name="IQRCMPVjdnG54" vbProcedure="false">#REF!</definedName>
    <definedName function="false" hidden="true" name="IQRCMPVjdnK54" vbProcedure="false">#REF!</definedName>
    <definedName function="false" hidden="true" name="IQRCMPVjdnO54" vbProcedure="false">#REF!</definedName>
    <definedName function="false" hidden="true" name="IQRCMPVMEDC54" vbProcedure="false">#REF!</definedName>
    <definedName function="false" hidden="true" name="IQRCMPVMEDG54" vbProcedure="false">#REF!</definedName>
    <definedName function="false" hidden="true" name="IQRCMPVMEDK54" vbProcedure="false">#REF!</definedName>
    <definedName function="false" hidden="true" name="IQRCMPVMEDO54" vbProcedure="false">#REF!</definedName>
    <definedName function="false" hidden="true" name="IQRCMPVngociationC66" vbProcedure="false">#REF!</definedName>
    <definedName function="false" hidden="true" name="IQRCMPVngociationG66" vbProcedure="false">#REF!</definedName>
    <definedName function="false" hidden="true" name="IQRCMPVngociationK66" vbProcedure="false">#REF!</definedName>
    <definedName function="false" hidden="true" name="IQRCMPVngociationO66" vbProcedure="false">#REF!</definedName>
    <definedName function="false" hidden="true" name="IQRCompAA5" vbProcedure="false">#REF!</definedName>
    <definedName function="false" hidden="true" name="IQRCompAB5" vbProcedure="false">#REF!</definedName>
    <definedName function="false" hidden="true" name="IQRCompAC5" vbProcedure="false">#REF!</definedName>
    <definedName function="false" hidden="true" name="IQRCompAD5" vbProcedure="false">#REF!</definedName>
    <definedName function="false" hidden="true" name="IQRCompAE5" vbProcedure="false">#REF!</definedName>
    <definedName function="false" hidden="true" name="IQRCompAF5" vbProcedure="false">#REF!</definedName>
    <definedName function="false" hidden="true" name="IQRCompAG5" vbProcedure="false">#REF!</definedName>
    <definedName function="false" hidden="true" name="IQRCompAH5" vbProcedure="false">#REF!</definedName>
    <definedName function="false" hidden="true" name="IQRCompAI5" vbProcedure="false">#REF!</definedName>
    <definedName function="false" hidden="true" name="IQRCompAJ5" vbProcedure="false">#REF!</definedName>
    <definedName function="false" hidden="true" name="IQRCompAK5" vbProcedure="false">#REF!</definedName>
    <definedName function="false" hidden="true" name="IQRCompAL5" vbProcedure="false">#REF!</definedName>
    <definedName function="false" hidden="true" name="IQRCompAM5" vbProcedure="false">#REF!</definedName>
    <definedName function="false" hidden="true" name="IQRCompAN5" vbProcedure="false">#REF!</definedName>
    <definedName function="false" hidden="true" name="IQRCompaniesH12" vbProcedure="false">#REF!</definedName>
    <definedName function="false" hidden="true" name="IQRCompaniesH13" vbProcedure="false">#REF!</definedName>
    <definedName function="false" hidden="true" name="IQRCompaniesH14" vbProcedure="false">#REF!</definedName>
    <definedName function="false" hidden="true" name="IQRCompaniesH15" vbProcedure="false">#REF!</definedName>
    <definedName function="false" hidden="true" name="IQRCompaniesH16" vbProcedure="false">#REF!</definedName>
    <definedName function="false" hidden="true" name="IQRCompaniesH17" vbProcedure="false">#REF!</definedName>
    <definedName function="false" hidden="true" name="IQRCompaniesH18" vbProcedure="false">#REF!</definedName>
    <definedName function="false" hidden="true" name="IQRCompaniesH19" vbProcedure="false">#REF!</definedName>
    <definedName function="false" hidden="true" name="IQRCompaniesN12" vbProcedure="false">#REF!</definedName>
    <definedName function="false" hidden="true" name="IQRCompaniesN13" vbProcedure="false">#REF!</definedName>
    <definedName function="false" hidden="true" name="IQRCompaniesN14" vbProcedure="false">#REF!</definedName>
    <definedName function="false" hidden="true" name="IQRCompaniesN15" vbProcedure="false">#REF!</definedName>
    <definedName function="false" hidden="true" name="IQRCompaniesN16" vbProcedure="false">#REF!</definedName>
    <definedName function="false" hidden="true" name="IQRCompaniesN17" vbProcedure="false">#REF!</definedName>
    <definedName function="false" hidden="true" name="IQRCompaniesN18" vbProcedure="false">#REF!</definedName>
    <definedName function="false" hidden="true" name="IQRCompaniesN19" vbProcedure="false">#REF!</definedName>
    <definedName function="false" hidden="true" name="IQRCompAO5" vbProcedure="false">#REF!</definedName>
    <definedName function="false" hidden="true" name="IQRCompAP5" vbProcedure="false">#REF!</definedName>
    <definedName function="false" hidden="true" name="IQRCompAQ5" vbProcedure="false">#REF!</definedName>
    <definedName function="false" hidden="true" name="IQRCompFAA5" vbProcedure="false">#REF!</definedName>
    <definedName function="false" hidden="true" name="IQRCompFAB5" vbProcedure="false">#REF!</definedName>
    <definedName function="false" hidden="true" name="IQRCompFAC5" vbProcedure="false">#REF!</definedName>
    <definedName function="false" hidden="true" name="IQRCompFAF5" vbProcedure="false">#REF!</definedName>
    <definedName function="false" hidden="true" name="IQRCompFAG5" vbProcedure="false">#REF!</definedName>
    <definedName function="false" hidden="true" name="IQRCompFAH5" vbProcedure="false">#REF!</definedName>
    <definedName function="false" hidden="true" name="IQRCompFAI5" vbProcedure="false">#REF!</definedName>
    <definedName function="false" hidden="true" name="IQRCompFAJ5" vbProcedure="false">#REF!</definedName>
    <definedName function="false" hidden="true" name="IQRCompFAK5" vbProcedure="false">#REF!</definedName>
    <definedName function="false" hidden="true" name="IQRCompFAL5" vbProcedure="false">#REF!</definedName>
    <definedName function="false" hidden="true" name="IQRCompFAM5" vbProcedure="false">#REF!</definedName>
    <definedName function="false" hidden="true" name="IQRCompFAN5" vbProcedure="false">#REF!</definedName>
    <definedName function="false" hidden="true" name="IQRCompFAO5" vbProcedure="false">#REF!</definedName>
    <definedName function="false" hidden="true" name="IQRCompFAP5" vbProcedure="false">#REF!</definedName>
    <definedName function="false" hidden="true" name="IQRCompFAQ5" vbProcedure="false">#REF!</definedName>
    <definedName function="false" hidden="true" name="IQRCompFAR5" vbProcedure="false">#REF!</definedName>
    <definedName function="false" hidden="true" name="IQRCompFAS5" vbProcedure="false">#REF!</definedName>
    <definedName function="false" hidden="true" name="IQRCompFF5" vbProcedure="false">#REF!</definedName>
    <definedName function="false" hidden="true" name="IQRCompFG5" vbProcedure="false">#REF!</definedName>
    <definedName function="false" hidden="true" name="IQRCompFH5" vbProcedure="false">#REF!</definedName>
    <definedName function="false" hidden="true" name="IQRCompFJ5" vbProcedure="false">#REF!</definedName>
    <definedName function="false" hidden="true" name="IQRCompFK5" vbProcedure="false">#REF!</definedName>
    <definedName function="false" hidden="true" name="IQRCompFL5" vbProcedure="false">#REF!</definedName>
    <definedName function="false" hidden="true" name="IQRCompFM5" vbProcedure="false">#REF!</definedName>
    <definedName function="false" hidden="true" name="IQRCompFN5" vbProcedure="false">#REF!</definedName>
    <definedName function="false" hidden="true" name="IQRCompFO5" vbProcedure="false">#REF!</definedName>
    <definedName function="false" hidden="true" name="IQRCompFP5" vbProcedure="false">#REF!</definedName>
    <definedName function="false" hidden="true" name="IQRCompFQ5" vbProcedure="false">#REF!</definedName>
    <definedName function="false" hidden="true" name="IQRCompFR5" vbProcedure="false">#REF!</definedName>
    <definedName function="false" hidden="true" name="IQRCompFS5" vbProcedure="false">#REF!</definedName>
    <definedName function="false" hidden="true" name="IQRCompFT5" vbProcedure="false">#REF!</definedName>
    <definedName function="false" hidden="true" name="IQRCompFU5" vbProcedure="false">#REF!</definedName>
    <definedName function="false" hidden="true" name="IQRCompFW5" vbProcedure="false">#REF!</definedName>
    <definedName function="false" hidden="true" name="IQRCompFX5" vbProcedure="false">#REF!</definedName>
    <definedName function="false" hidden="true" name="IQRCompFY5" vbProcedure="false">#REF!</definedName>
    <definedName function="false" hidden="true" name="IQRCompFZ5" vbProcedure="false">#REF!</definedName>
    <definedName function="false" hidden="true" name="IQRCompJ5" vbProcedure="false">#REF!</definedName>
    <definedName function="false" hidden="true" name="IQRCompL5" vbProcedure="false">#REF!</definedName>
    <definedName function="false" hidden="true" name="IQRCompM5" vbProcedure="false">#REF!</definedName>
    <definedName function="false" hidden="true" name="IQRCompN5" vbProcedure="false">#REF!</definedName>
    <definedName function="false" hidden="true" name="IQRCompO5" vbProcedure="false">#REF!</definedName>
    <definedName function="false" hidden="true" name="IQRCompP5" vbProcedure="false">#REF!</definedName>
    <definedName function="false" hidden="true" name="IQRCompQ5" vbProcedure="false">#REF!</definedName>
    <definedName function="false" hidden="true" name="IQRCompR5" vbProcedure="false">#REF!</definedName>
    <definedName function="false" hidden="true" name="IQRCompRAA5" vbProcedure="false">#REF!</definedName>
    <definedName function="false" hidden="true" name="IQRCompRAB5" vbProcedure="false">#REF!</definedName>
    <definedName function="false" hidden="true" name="IQRCompRAC5" vbProcedure="false">#REF!</definedName>
    <definedName function="false" hidden="true" name="IQRCompRAF5" vbProcedure="false">#REF!</definedName>
    <definedName function="false" hidden="true" name="IQRCompRAG5" vbProcedure="false">#REF!</definedName>
    <definedName function="false" hidden="true" name="IQRCompRAH5" vbProcedure="false">#REF!</definedName>
    <definedName function="false" hidden="true" name="IQRCompRAI5" vbProcedure="false">#REF!</definedName>
    <definedName function="false" hidden="true" name="IQRCompRAJ5" vbProcedure="false">#REF!</definedName>
    <definedName function="false" hidden="true" name="IQRCompRAK5" vbProcedure="false">#REF!</definedName>
    <definedName function="false" hidden="true" name="IQRCompRAL5" vbProcedure="false">#REF!</definedName>
    <definedName function="false" hidden="true" name="IQRCompRAM5" vbProcedure="false">#REF!</definedName>
    <definedName function="false" hidden="true" name="IQRCompRAN5" vbProcedure="false">#REF!</definedName>
    <definedName function="false" hidden="true" name="IQRCompRAO5" vbProcedure="false">#REF!</definedName>
    <definedName function="false" hidden="true" name="IQRCompRAP5" vbProcedure="false">#REF!</definedName>
    <definedName function="false" hidden="true" name="IQRCompRAQ5" vbProcedure="false">#REF!</definedName>
    <definedName function="false" hidden="true" name="IQRCompRAR5" vbProcedure="false">#REF!</definedName>
    <definedName function="false" hidden="true" name="IQRCompRAS5" vbProcedure="false">#REF!</definedName>
    <definedName function="false" hidden="true" name="IQRCompRF5" vbProcedure="false">#REF!</definedName>
    <definedName function="false" hidden="true" name="IQRCompRG5" vbProcedure="false">#REF!</definedName>
    <definedName function="false" hidden="true" name="IQRCompRH5" vbProcedure="false">#REF!</definedName>
    <definedName function="false" hidden="true" name="IQRCompRJ5" vbProcedure="false">#REF!</definedName>
    <definedName function="false" hidden="true" name="IQRCompRK5" vbProcedure="false">#REF!</definedName>
    <definedName function="false" hidden="true" name="IQRCompRL5" vbProcedure="false">#REF!</definedName>
    <definedName function="false" hidden="true" name="IQRCompRM5" vbProcedure="false">#REF!</definedName>
    <definedName function="false" hidden="true" name="IQRCompRN5" vbProcedure="false">#REF!</definedName>
    <definedName function="false" hidden="true" name="IQRCompRO5" vbProcedure="false">#REF!</definedName>
    <definedName function="false" hidden="true" name="IQRCompRP5" vbProcedure="false">#REF!</definedName>
    <definedName function="false" hidden="true" name="IQRCompRQ5" vbProcedure="false">#REF!</definedName>
    <definedName function="false" hidden="true" name="IQRCompRR5" vbProcedure="false">#REF!</definedName>
    <definedName function="false" hidden="true" name="IQRCompRS5" vbProcedure="false">#REF!</definedName>
    <definedName function="false" hidden="true" name="IQRCompRT5" vbProcedure="false">#REF!</definedName>
    <definedName function="false" hidden="true" name="IQRCompRU5" vbProcedure="false">#REF!</definedName>
    <definedName function="false" hidden="true" name="IQRCompRW5" vbProcedure="false">#REF!</definedName>
    <definedName function="false" hidden="true" name="IQRCompRX5" vbProcedure="false">#REF!</definedName>
    <definedName function="false" hidden="true" name="IQRCompRY5" vbProcedure="false">#REF!</definedName>
    <definedName function="false" hidden="true" name="IQRCompRZ5" vbProcedure="false">#REF!</definedName>
    <definedName function="false" hidden="true" name="IQRCompS5" vbProcedure="false">#REF!</definedName>
    <definedName function="false" hidden="true" name="IQRCompT5" vbProcedure="false">#REF!</definedName>
    <definedName function="false" hidden="true" name="IQRCompU5" vbProcedure="false">#REF!</definedName>
    <definedName function="false" hidden="true" name="IQRCompV5" vbProcedure="false">#REF!</definedName>
    <definedName function="false" hidden="true" name="IQRCompW5" vbProcedure="false">#REF!</definedName>
    <definedName function="false" hidden="true" name="IQRCompX5" vbProcedure="false">#REF!</definedName>
    <definedName function="false" hidden="true" name="IQRCompY5" vbProcedure="false">#REF!</definedName>
    <definedName function="false" hidden="true" name="IQRCompZ5" vbProcedure="false">#REF!</definedName>
    <definedName function="false" hidden="true" name="IQRCX85" vbProcedure="false">#REF!</definedName>
    <definedName function="false" hidden="true" name="IQRD14" vbProcedure="false">"$D$15:$D$38"</definedName>
    <definedName function="false" hidden="true" name="IQRD15" vbProcedure="false">"$D$16:$D$17"</definedName>
    <definedName function="false" hidden="true" name="IQRD2" vbProcedure="false">"$D$3:$D$126"</definedName>
    <definedName function="false" hidden="true" name="IQRD3" vbProcedure="false">"$D$4:$D$23"</definedName>
    <definedName function="false" hidden="true" name="IQRD39" vbProcedure="false">"$D$40:$D$61"</definedName>
    <definedName function="false" hidden="true" name="IQRD4" vbProcedure="false">"$D$5:$D$1262"</definedName>
    <definedName function="false" hidden="true" name="IQRD5" vbProcedure="false">"$D$6:$D$10"</definedName>
    <definedName function="false" hidden="true" name="IQRD6" vbProcedure="false">"$D$7:$D$10"</definedName>
    <definedName function="false" hidden="true" name="IQRD60" vbProcedure="false">"$D$61:$D$69"</definedName>
    <definedName function="false" hidden="true" name="IQRD8" vbProcedure="false">"$D$9:$D$19"</definedName>
    <definedName function="false" hidden="true" name="IQRD9" vbProcedure="false">"$E$9:$F$9"</definedName>
    <definedName function="false" hidden="true" name="IQRDAP16" vbProcedure="false">#REF!</definedName>
    <definedName function="false" hidden="true" name="IQRDAQ16" vbProcedure="false">#REF!</definedName>
    <definedName function="false" hidden="true" name="IQRDAX16" vbProcedure="false">#REF!</definedName>
    <definedName function="false" hidden="true" name="IQRDAY16" vbProcedure="false">#REF!</definedName>
    <definedName function="false" hidden="true" name="IQRDiv2C11" vbProcedure="false">#REF!</definedName>
    <definedName function="false" hidden="true" name="IQRDiv2D11" vbProcedure="false">#REF!</definedName>
    <definedName function="false" hidden="true" name="IQRDiv2E11" vbProcedure="false">#REF!</definedName>
    <definedName function="false" hidden="true" name="IQRDiv2F11" vbProcedure="false">#REF!</definedName>
    <definedName function="false" hidden="true" name="IQRDiv2G11" vbProcedure="false">#REF!</definedName>
    <definedName function="false" hidden="true" name="IQRDX85" vbProcedure="false">#REF!</definedName>
    <definedName function="false" hidden="true" name="IQRE2AP16" vbProcedure="false">#REF!</definedName>
    <definedName function="false" hidden="true" name="IQRE2AQ16" vbProcedure="false">#REF!</definedName>
    <definedName function="false" hidden="true" name="IQRE2AX16" vbProcedure="false">#REF!</definedName>
    <definedName function="false" hidden="true" name="IQRE2AY16" vbProcedure="false">#REF!</definedName>
    <definedName function="false" hidden="true" name="IQRE2X85" vbProcedure="false">#REF!</definedName>
    <definedName function="false" hidden="true" name="IQRE6" vbProcedure="false">"$E$7:$E$739"</definedName>
    <definedName function="false" hidden="true" name="IQRE8" vbProcedure="false">"$E$9:$E$19"</definedName>
    <definedName function="false" hidden="true" name="IQREAP16" vbProcedure="false">#REF!</definedName>
    <definedName function="false" hidden="true" name="IQREAQ16" vbProcedure="false">#REF!</definedName>
    <definedName function="false" hidden="true" name="IQREAX16" vbProcedure="false">#REF!</definedName>
    <definedName function="false" hidden="true" name="IQREAY16" vbProcedure="false">#REF!</definedName>
    <definedName function="false" hidden="true" name="IQREUC20" vbProcedure="false">#REF!</definedName>
    <definedName function="false" hidden="true" name="IQREVEBITDAtrailingM5" vbProcedure="false">#REF!</definedName>
    <definedName function="false" hidden="true" name="IQREVEBITDAtrailingN5" vbProcedure="false">#REF!</definedName>
    <definedName function="false" hidden="true" name="IQREVEBITDAtrailingO5" vbProcedure="false">#REF!</definedName>
    <definedName function="false" hidden="true" name="IQREVEBITDAtrailingP5" vbProcedure="false">#REF!</definedName>
    <definedName function="false" hidden="true" name="IQREVEBITDAtrailingQ5" vbProcedure="false">#REF!</definedName>
    <definedName function="false" hidden="true" name="IQREVEBITDAtrailingR5" vbProcedure="false">#REF!</definedName>
    <definedName function="false" hidden="true" name="IQREVEBITDAtrailingS5" vbProcedure="false">#REF!</definedName>
    <definedName function="false" hidden="true" name="IQREVEBITDAtrailingT5" vbProcedure="false">#REF!</definedName>
    <definedName function="false" hidden="true" name="IQREVEBITDAtrailingU5" vbProcedure="false">#REF!</definedName>
    <definedName function="false" hidden="true" name="IQREX85" vbProcedure="false">#REF!</definedName>
    <definedName function="false" hidden="true" name="IQRF23" vbProcedure="false">"$F$24:$F$87"</definedName>
    <definedName function="false" hidden="true" name="IQRF30" vbProcedure="false">"$F$31:$F$120"</definedName>
    <definedName function="false" hidden="true" name="IQRF34" vbProcedure="false">"$F$35:$F$126"</definedName>
    <definedName function="false" hidden="true" name="IQRF35" vbProcedure="false">"$F$36:$F$124"</definedName>
    <definedName function="false" hidden="true" name="IQRF39" vbProcedure="false">"$F$40:$F$61"</definedName>
    <definedName function="false" hidden="true" name="IQRF60" vbProcedure="false">"$F$61:$F$70"</definedName>
    <definedName function="false" hidden="true" name="IQRFAP16" vbProcedure="false">#REF!</definedName>
    <definedName function="false" hidden="true" name="IQRFAQ16" vbProcedure="false">#REF!</definedName>
    <definedName function="false" hidden="true" name="IQRFAX16" vbProcedure="false">#REF!</definedName>
    <definedName function="false" hidden="true" name="IQRFAY16" vbProcedure="false">#REF!</definedName>
    <definedName function="false" hidden="true" name="IQRFeuil1C6" vbProcedure="false">#REF!</definedName>
    <definedName function="false" hidden="true" name="IQRFeuil1C7" vbProcedure="false">#REF!</definedName>
    <definedName function="false" hidden="true" name="IQRFeuil1C8" vbProcedure="false">#REF!</definedName>
    <definedName function="false" hidden="true" name="IQRFeuil1I6" vbProcedure="false">#REF!</definedName>
    <definedName function="false" hidden="true" name="IQRFeuil1J6" vbProcedure="false">#REF!</definedName>
    <definedName function="false" hidden="true" name="IQRFeuil1K6" vbProcedure="false">#REF!</definedName>
    <definedName function="false" hidden="true" name="IQRFeuil1L6" vbProcedure="false">#REF!</definedName>
    <definedName function="false" hidden="true" name="IQRFeuil2AA5" vbProcedure="false">#REF!</definedName>
    <definedName function="false" hidden="true" name="IQRFeuil2AB5" vbProcedure="false">#REF!</definedName>
    <definedName function="false" hidden="true" name="IQRFeuil2AC5" vbProcedure="false">#REF!</definedName>
    <definedName function="false" hidden="true" name="IQRFeuil2AD5" vbProcedure="false">#REF!</definedName>
    <definedName function="false" hidden="true" name="IQRFeuil2AE5" vbProcedure="false">#REF!</definedName>
    <definedName function="false" hidden="true" name="IQRFeuil2AF5" vbProcedure="false">#REF!</definedName>
    <definedName function="false" hidden="true" name="IQRFeuil2AG5" vbProcedure="false">#REF!</definedName>
    <definedName function="false" hidden="true" name="IQRFeuil2AH5" vbProcedure="false">#REF!</definedName>
    <definedName function="false" hidden="true" name="IQRFeuil2AI5" vbProcedure="false">#REF!</definedName>
    <definedName function="false" hidden="true" name="IQRFeuil2AJ5" vbProcedure="false">#REF!</definedName>
    <definedName function="false" hidden="true" name="IQRFeuil2AK5" vbProcedure="false">#REF!</definedName>
    <definedName function="false" hidden="true" name="IQRFeuil2AL5" vbProcedure="false">#REF!</definedName>
    <definedName function="false" hidden="true" name="IQRFeuil2AM5" vbProcedure="false">#REF!</definedName>
    <definedName function="false" hidden="true" name="IQRFeuil2AN5" vbProcedure="false">#REF!</definedName>
    <definedName function="false" hidden="true" name="IQRFeuil2AO5" vbProcedure="false">#REF!</definedName>
    <definedName function="false" hidden="true" name="IQRFeuil2AP5" vbProcedure="false">#REF!</definedName>
    <definedName function="false" hidden="true" name="IQRFeuil2AQ5" vbProcedure="false">#REF!</definedName>
    <definedName function="false" hidden="true" name="IQRFeuil2K5" vbProcedure="false">#REF!</definedName>
    <definedName function="false" hidden="true" name="IQRFeuil2L5" vbProcedure="false">#REF!</definedName>
    <definedName function="false" hidden="true" name="IQRFeuil2M5" vbProcedure="false">#REF!</definedName>
    <definedName function="false" hidden="true" name="IQRFeuil2N5" vbProcedure="false">#REF!</definedName>
    <definedName function="false" hidden="true" name="IQRFeuil2O5" vbProcedure="false">#REF!</definedName>
    <definedName function="false" hidden="true" name="IQRFeuil2P5" vbProcedure="false">#REF!</definedName>
    <definedName function="false" hidden="true" name="IQRFeuil2Q5" vbProcedure="false">#REF!</definedName>
    <definedName function="false" hidden="true" name="IQRFeuil2R5" vbProcedure="false">#REF!</definedName>
    <definedName function="false" hidden="true" name="IQRFeuil2S5" vbProcedure="false">#REF!</definedName>
    <definedName function="false" hidden="true" name="IQRFeuil2T5" vbProcedure="false">#REF!</definedName>
    <definedName function="false" hidden="true" name="IQRFeuil2U5" vbProcedure="false">#REF!</definedName>
    <definedName function="false" hidden="true" name="IQRFeuil2V5" vbProcedure="false">#REF!</definedName>
    <definedName function="false" hidden="true" name="IQRFeuil2W5" vbProcedure="false">#REF!</definedName>
    <definedName function="false" hidden="true" name="IQRFeuil2X5" vbProcedure="false">#REF!</definedName>
    <definedName function="false" hidden="true" name="IQRFeuil2Y5" vbProcedure="false">#REF!</definedName>
    <definedName function="false" hidden="true" name="IQRFeuil2Z5" vbProcedure="false">#REF!</definedName>
    <definedName function="false" hidden="true" name="IQRFX85" vbProcedure="false">#REF!</definedName>
    <definedName function="false" hidden="true" name="IQRG2AP16" vbProcedure="false">#REF!</definedName>
    <definedName function="false" hidden="true" name="IQRG2AQ16" vbProcedure="false">#REF!</definedName>
    <definedName function="false" hidden="true" name="IQRG2AX16" vbProcedure="false">#REF!</definedName>
    <definedName function="false" hidden="true" name="IQRG2AY16" vbProcedure="false">#REF!</definedName>
    <definedName function="false" hidden="true" name="IQRG2X85" vbProcedure="false">#REF!</definedName>
    <definedName function="false" hidden="true" name="IQRG37" vbProcedure="false">"$G$38:$G$45"</definedName>
    <definedName function="false" hidden="true" name="IQRG60" vbProcedure="false">"$G$61:$G$70"</definedName>
    <definedName function="false" hidden="true" name="IQRGAP16" vbProcedure="false">#REF!</definedName>
    <definedName function="false" hidden="true" name="IQRGAQ16" vbProcedure="false">#REF!</definedName>
    <definedName function="false" hidden="true" name="IQRGAX16" vbProcedure="false">#REF!</definedName>
    <definedName function="false" hidden="true" name="IQRGAY16" vbProcedure="false">#REF!</definedName>
    <definedName function="false" hidden="true" name="IQRGrontmijM13" vbProcedure="false">#REF!</definedName>
    <definedName function="false" hidden="true" name="IQRGrontmijS13" vbProcedure="false">#REF!</definedName>
    <definedName function="false" hidden="true" name="IQRGSKH20" vbProcedure="false">#REF!</definedName>
    <definedName function="false" hidden="true" name="IQRGX85" vbProcedure="false">#REF!</definedName>
    <definedName function="false" hidden="true" name="IQRH12" vbProcedure="false">"$H$13"</definedName>
    <definedName function="false" hidden="true" name="IQRH14" vbProcedure="false">"$H$15"</definedName>
    <definedName function="false" hidden="true" name="IQRH18" vbProcedure="false">"$H$19"</definedName>
    <definedName function="false" hidden="true" name="IQRH28" vbProcedure="false">"$H$29"</definedName>
    <definedName function="false" hidden="true" name="IQRH2AP16" vbProcedure="false">#REF!</definedName>
    <definedName function="false" hidden="true" name="IQRH2AQ16" vbProcedure="false">#REF!</definedName>
    <definedName function="false" hidden="true" name="IQRH2AX16" vbProcedure="false">#REF!</definedName>
    <definedName function="false" hidden="true" name="IQRH2AY16" vbProcedure="false">#REF!</definedName>
    <definedName function="false" hidden="true" name="IQRH2X85" vbProcedure="false">#REF!</definedName>
    <definedName function="false" hidden="true" name="IQRH30" vbProcedure="false">"$H$31"</definedName>
    <definedName function="false" hidden="true" name="IQRH33" vbProcedure="false">"$H$34:$H$123"</definedName>
    <definedName function="false" hidden="true" name="IQRH59" vbProcedure="false">"$H$60"</definedName>
    <definedName function="false" hidden="true" name="IQRH6" vbProcedure="false">"$H$7:$H$112"</definedName>
    <definedName function="false" hidden="true" name="IQRH64" vbProcedure="false">"$H$65"</definedName>
    <definedName function="false" hidden="true" name="IQRH8" vbProcedure="false">"$H$9"</definedName>
    <definedName function="false" hidden="true" name="IQRHAP16" vbProcedure="false">#REF!</definedName>
    <definedName function="false" hidden="true" name="IQRHAQ16" vbProcedure="false">#REF!</definedName>
    <definedName function="false" hidden="true" name="IQRHAX16" vbProcedure="false">#REF!</definedName>
    <definedName function="false" hidden="true" name="IQRHAY16" vbProcedure="false">#REF!</definedName>
    <definedName function="false" hidden="true" name="IQRHX85" vbProcedure="false">#REF!</definedName>
    <definedName function="false" hidden="true" name="IQRHyderconsultingM13" vbProcedure="false">#REF!</definedName>
    <definedName function="false" hidden="true" name="IQRHyderconsultingS13" vbProcedure="false">#REF!</definedName>
    <definedName function="false" hidden="true" name="IQRI10" vbProcedure="false">"$I$11:$I$14"</definedName>
    <definedName function="false" hidden="true" name="IQRI2" vbProcedure="false">"$I$3:$I$66"</definedName>
    <definedName function="false" hidden="true" name="IQRI39" vbProcedure="false">"$I$40:$I$61"</definedName>
    <definedName function="false" hidden="true" name="IQRI47" vbProcedure="false">"$I$48:$I$52"</definedName>
    <definedName function="false" hidden="true" name="IQRI6" vbProcedure="false">"$I$7:$I$112"</definedName>
    <definedName function="false" hidden="true" name="IQRI60" vbProcedure="false">"$I$61:$I$80"</definedName>
    <definedName function="false" hidden="true" name="IQRI8" vbProcedure="false">"$I$9:$I$13"</definedName>
    <definedName function="false" hidden="true" name="IQRIAP16" vbProcedure="false">#REF!</definedName>
    <definedName function="false" hidden="true" name="IQRIAQ16" vbProcedure="false">#REF!</definedName>
    <definedName function="false" hidden="true" name="IQRIAX16" vbProcedure="false">#REF!</definedName>
    <definedName function="false" hidden="true" name="IQRIAY16" vbProcedure="false">#REF!</definedName>
    <definedName function="false" hidden="true" name="IQRIHSM13" vbProcedure="false">#REF!</definedName>
    <definedName function="false" hidden="true" name="IQRIHSS13" vbProcedure="false">#REF!</definedName>
    <definedName function="false" hidden="true" name="IQRIntertekM13" vbProcedure="false">#REF!</definedName>
    <definedName function="false" hidden="true" name="IQRIntertekS13" vbProcedure="false">#REF!</definedName>
    <definedName function="false" hidden="true" name="IQRIX85" vbProcedure="false">#REF!</definedName>
    <definedName function="false" hidden="true" name="IQRJ3" vbProcedure="false">"$J$4:$J$67"</definedName>
    <definedName function="false" hidden="true" name="IQRJ47" vbProcedure="false">"$J$48:$J$52"</definedName>
    <definedName function="false" hidden="true" name="IQRJ59" vbProcedure="false">"$J$60:$J$79"</definedName>
    <definedName function="false" hidden="true" name="IQRJ6" vbProcedure="false">"$J$7:$J$112"</definedName>
    <definedName function="false" hidden="true" name="IQRJacobsS13" vbProcedure="false">#REF!</definedName>
    <definedName function="false" hidden="true" name="IQRJAP16" vbProcedure="false">#REF!</definedName>
    <definedName function="false" hidden="true" name="IQRJAQ16" vbProcedure="false">#REF!</definedName>
    <definedName function="false" hidden="true" name="IQRJAX16" vbProcedure="false">#REF!</definedName>
    <definedName function="false" hidden="true" name="IQRJAY16" vbProcedure="false">#REF!</definedName>
    <definedName function="false" hidden="true" name="IQRJX85" vbProcedure="false">#REF!</definedName>
    <definedName function="false" hidden="true" name="IQRK2AP16" vbProcedure="false">#REF!</definedName>
    <definedName function="false" hidden="true" name="IQRK2AQ16" vbProcedure="false">#REF!</definedName>
    <definedName function="false" hidden="true" name="IQRK2AX16" vbProcedure="false">#REF!</definedName>
    <definedName function="false" hidden="true" name="IQRK2AY16" vbProcedure="false">#REF!</definedName>
    <definedName function="false" hidden="true" name="IQRK2X85" vbProcedure="false">#REF!</definedName>
    <definedName function="false" hidden="true" name="IQRKAP16" vbProcedure="false">#REF!</definedName>
    <definedName function="false" hidden="true" name="IQRKAQ16" vbProcedure="false">#REF!</definedName>
    <definedName function="false" hidden="true" name="IQRKAX16" vbProcedure="false">#REF!</definedName>
    <definedName function="false" hidden="true" name="IQRKAY16" vbProcedure="false">#REF!</definedName>
    <definedName function="false" hidden="true" name="IQRKBCM13" vbProcedure="false">#REF!</definedName>
    <definedName function="false" hidden="true" name="IQRKBCS13" vbProcedure="false">#REF!</definedName>
    <definedName function="false" hidden="true" name="IQRKX85" vbProcedure="false">#REF!</definedName>
    <definedName function="false" hidden="true" name="IQRL16" vbProcedure="false">"$L$17:$L$21"</definedName>
    <definedName function="false" hidden="true" name="IQRL2AP16" vbProcedure="false">#REF!</definedName>
    <definedName function="false" hidden="true" name="IQRL2AQ16" vbProcedure="false">#REF!</definedName>
    <definedName function="false" hidden="true" name="IQRL2AX16" vbProcedure="false">#REF!</definedName>
    <definedName function="false" hidden="true" name="IQRL2AY16" vbProcedure="false">#REF!</definedName>
    <definedName function="false" hidden="true" name="IQRL2X85" vbProcedure="false">#REF!</definedName>
    <definedName function="false" hidden="true" name="IQRL39" vbProcedure="false">"$L$40:$L$61"</definedName>
    <definedName function="false" hidden="true" name="IQRL59" vbProcedure="false">"$L$60:$L$66"</definedName>
    <definedName function="false" hidden="true" name="IQRLAP16" vbProcedure="false">#REF!</definedName>
    <definedName function="false" hidden="true" name="IQRLAQ16" vbProcedure="false">#REF!</definedName>
    <definedName function="false" hidden="true" name="IQRLatchwaysM13" vbProcedure="false">#REF!</definedName>
    <definedName function="false" hidden="true" name="IQRLatchwaysS13" vbProcedure="false">#REF!</definedName>
    <definedName function="false" hidden="true" name="IQRLAX16" vbProcedure="false">#REF!</definedName>
    <definedName function="false" hidden="true" name="IQRLAY16" vbProcedure="false">#REF!</definedName>
    <definedName function="false" hidden="true" name="IQRListofdealsC7" vbProcedure="false">#REF!</definedName>
    <definedName function="false" hidden="true" name="IQRListofdealsE7" vbProcedure="false">#REF!</definedName>
    <definedName function="false" hidden="true" name="IQRLX85" vbProcedure="false">#REF!</definedName>
    <definedName function="false" hidden="true" name="IQRM106" vbProcedure="false">"$M$107:$M$357"</definedName>
    <definedName function="false" hidden="true" name="IQRM107" vbProcedure="false">"$M$108:$M$358"</definedName>
    <definedName function="false" hidden="true" name="IQRM108" vbProcedure="false">"$M$109:$M$359"</definedName>
    <definedName function="false" hidden="true" name="IQRM109" vbProcedure="false">"$M$110:$M$359"</definedName>
    <definedName function="false" hidden="true" name="IQRM110" vbProcedure="false">"$M$111:$M$361"</definedName>
    <definedName function="false" hidden="true" name="IQRM111" vbProcedure="false">"$M$112:$M$362"</definedName>
    <definedName function="false" hidden="true" name="IQRM112" vbProcedure="false">"$M$113:$M$363"</definedName>
    <definedName function="false" hidden="true" name="IQRM113" vbProcedure="false">"$M$114:$M$364"</definedName>
    <definedName function="false" hidden="true" name="IQRM15" vbProcedure="false">"$M$16"</definedName>
    <definedName function="false" hidden="true" name="IQRM16" vbProcedure="false">"$N$16"</definedName>
    <definedName function="false" hidden="true" name="IQRM17" vbProcedure="false">"$M$18:$M$22"</definedName>
    <definedName function="false" hidden="true" name="IQRM2AP16" vbProcedure="false">#REF!</definedName>
    <definedName function="false" hidden="true" name="IQRM2AQ16" vbProcedure="false">#REF!</definedName>
    <definedName function="false" hidden="true" name="IQRM2AX16" vbProcedure="false">#REF!</definedName>
    <definedName function="false" hidden="true" name="IQRM2AY16" vbProcedure="false">#REF!</definedName>
    <definedName function="false" hidden="true" name="IQRM2X85" vbProcedure="false">#REF!</definedName>
    <definedName function="false" hidden="true" name="IQRM39" vbProcedure="false">"$M$40:$M$61"</definedName>
    <definedName function="false" hidden="true" name="IQRM59" vbProcedure="false">"$M$60:$M$66"</definedName>
    <definedName function="false" hidden="true" name="IQRMAP16" vbProcedure="false">#REF!</definedName>
    <definedName function="false" hidden="true" name="IQRMAQ16" vbProcedure="false">#REF!</definedName>
    <definedName function="false" hidden="true" name="IQRMAX16" vbProcedure="false">#REF!</definedName>
    <definedName function="false" hidden="true" name="IQRMAY16" vbProcedure="false">#REF!</definedName>
    <definedName function="false" hidden="true" name="IQRMSASafetyM13" vbProcedure="false">#REF!</definedName>
    <definedName function="false" hidden="true" name="IQRMSASafetyS13" vbProcedure="false">#REF!</definedName>
    <definedName function="false" hidden="true" name="IQRMultiplesbourB31" vbProcedure="false">#REF!</definedName>
    <definedName function="false" hidden="true" name="IQRMultiplesbourC31" vbProcedure="false">#REF!</definedName>
    <definedName function="false" hidden="true" name="IQRMultiplesD7" vbProcedure="false">#REF!</definedName>
    <definedName function="false" hidden="true" name="IQRN33" vbProcedure="false">"$N$34:$N$123"</definedName>
    <definedName function="false" hidden="true" name="IQRN34" vbProcedure="false">"$N$35:$N$36"</definedName>
    <definedName function="false" hidden="true" name="IQRN35" vbProcedure="false">"$N$36:$N$124"</definedName>
    <definedName function="false" hidden="true" name="IQRNAP16" vbProcedure="false">#REF!</definedName>
    <definedName function="false" hidden="true" name="IQRNAQ16" vbProcedure="false">#REF!</definedName>
    <definedName function="false" hidden="true" name="IQRNAX16" vbProcedure="false">#REF!</definedName>
    <definedName function="false" hidden="true" name="IQRNAY16" vbProcedure="false">#REF!</definedName>
    <definedName function="false" hidden="true" name="IQRNVGNH20" vbProcedure="false">#REF!</definedName>
    <definedName function="false" hidden="true" name="IQRNYSESYKH20" vbProcedure="false">#REF!</definedName>
    <definedName function="false" hidden="true" name="IQRO39" vbProcedure="false">"$O$40:$O$61"</definedName>
    <definedName function="false" hidden="true" name="IQRO59" vbProcedure="false">"$O$60:$O$68"</definedName>
    <definedName function="false" hidden="true" name="IQROAP16" vbProcedure="false">#REF!</definedName>
    <definedName function="false" hidden="true" name="IQROAQ16" vbProcedure="false">#REF!</definedName>
    <definedName function="false" hidden="true" name="IQROAX16" vbProcedure="false">#REF!</definedName>
    <definedName function="false" hidden="true" name="IQROAY16" vbProcedure="false">#REF!</definedName>
    <definedName function="false" hidden="true" name="IQROranjewoudM13" vbProcedure="false">#REF!</definedName>
    <definedName function="false" hidden="true" name="IQROranjewoudS13" vbProcedure="false">#REF!</definedName>
    <definedName function="false" hidden="true" name="IQROX85" vbProcedure="false">#REF!</definedName>
    <definedName function="false" hidden="true" name="IQRP39" vbProcedure="false">"$P$40:$P$61"</definedName>
    <definedName function="false" hidden="true" name="IQRP59" vbProcedure="false">"$P$60:$P$68"</definedName>
    <definedName function="false" hidden="true" name="IQRPeopleH12" vbProcedure="false">#REF!</definedName>
    <definedName function="false" hidden="true" name="IQRPeopleH13" vbProcedure="false">#REF!</definedName>
    <definedName function="false" hidden="true" name="IQRPeopleH14" vbProcedure="false">#REF!</definedName>
    <definedName function="false" hidden="true" name="IQRPeopleH15" vbProcedure="false">#REF!</definedName>
    <definedName function="false" hidden="true" name="IQRPeopleN12" vbProcedure="false">#REF!</definedName>
    <definedName function="false" hidden="true" name="IQRPeopleN13" vbProcedure="false">#REF!</definedName>
    <definedName function="false" hidden="true" name="IQRPeopleN14" vbProcedure="false">#REF!</definedName>
    <definedName function="false" hidden="true" name="IQRPeopleN15" vbProcedure="false">#REF!</definedName>
    <definedName function="false" hidden="true" name="IQRPoyryS13" vbProcedure="false">#REF!</definedName>
    <definedName function="false" hidden="true" name="IQRPrimesC26" vbProcedure="false">#REF!</definedName>
    <definedName function="false" hidden="true" name="IQRPrimesC37" vbProcedure="false">#REF!</definedName>
    <definedName function="false" hidden="true" name="IQRPrimesC38" vbProcedure="false">#REF!</definedName>
    <definedName function="false" hidden="true" name="IQRPrimesC46" vbProcedure="false">#REF!</definedName>
    <definedName function="false" hidden="true" name="IQRPrimesG26" vbProcedure="false">#REF!</definedName>
    <definedName function="false" hidden="true" name="IQRPrimesG37" vbProcedure="false">#REF!</definedName>
    <definedName function="false" hidden="true" name="IQRPrimesG38" vbProcedure="false">#REF!</definedName>
    <definedName function="false" hidden="true" name="IQRPrimesK26" vbProcedure="false">#REF!</definedName>
    <definedName function="false" hidden="true" name="IQRPrimesK37" vbProcedure="false">#REF!</definedName>
    <definedName function="false" hidden="true" name="IQRPrimesK38" vbProcedure="false">#REF!</definedName>
    <definedName function="false" hidden="true" name="IQRPrimesO26" vbProcedure="false">#REF!</definedName>
    <definedName function="false" hidden="true" name="IQRPrimesO37" vbProcedure="false">#REF!</definedName>
    <definedName function="false" hidden="true" name="IQRPrimesO38" vbProcedure="false">#REF!</definedName>
    <definedName function="false" hidden="true" name="IQRPSBBKK2C13" vbProcedure="false">#REF!</definedName>
    <definedName function="false" hidden="true" name="IQRR5" vbProcedure="false">"$R$6:$R$147"</definedName>
    <definedName function="false" hidden="true" name="IQRR59" vbProcedure="false">"$R$60:$R$79"</definedName>
    <definedName function="false" hidden="true" name="IQRS59" vbProcedure="false">"$S$60:$S$79"</definedName>
    <definedName function="false" hidden="true" name="IQRS6" vbProcedure="false">"$S$7:$S$259"</definedName>
    <definedName function="false" hidden="true" name="IQRSNClavalinM13" vbProcedure="false">#REF!</definedName>
    <definedName function="false" hidden="true" name="IQRSNClavalinS13" vbProcedure="false">#REF!</definedName>
    <definedName function="false" hidden="true" name="IQRSPPAA52" vbProcedure="false">#REF!</definedName>
    <definedName function="false" hidden="true" name="IQRSPPAA54" vbProcedure="false">#REF!</definedName>
    <definedName function="false" hidden="true" name="IQRSPPAA59" vbProcedure="false">#REF!</definedName>
    <definedName function="false" hidden="true" name="IQRSPPAA60" vbProcedure="false">#REF!</definedName>
    <definedName function="false" hidden="true" name="IQRSPPAB52" vbProcedure="false">#REF!</definedName>
    <definedName function="false" hidden="true" name="IQRSPPAB54" vbProcedure="false">#REF!</definedName>
    <definedName function="false" hidden="true" name="IQRSPPAB59" vbProcedure="false">#REF!</definedName>
    <definedName function="false" hidden="true" name="IQRSPPAB60" vbProcedure="false">#REF!</definedName>
    <definedName function="false" hidden="true" name="IQRSPPAC52" vbProcedure="false">#REF!</definedName>
    <definedName function="false" hidden="true" name="IQRSPPAC59" vbProcedure="false">#REF!</definedName>
    <definedName function="false" hidden="true" name="IQRSPPAC60" vbProcedure="false">#REF!</definedName>
    <definedName function="false" hidden="true" name="IQRSPPAG59" vbProcedure="false">#REF!</definedName>
    <definedName function="false" hidden="true" name="IQRSPPAG60" vbProcedure="false">#REF!</definedName>
    <definedName function="false" hidden="true" name="IQRSPPAH59" vbProcedure="false">#REF!</definedName>
    <definedName function="false" hidden="true" name="IQRSPPAH60" vbProcedure="false">#REF!</definedName>
    <definedName function="false" hidden="true" name="IQRSPPAI59" vbProcedure="false">#REF!</definedName>
    <definedName function="false" hidden="true" name="IQRSPPAI60" vbProcedure="false">#REF!</definedName>
    <definedName function="false" hidden="true" name="IQRSPPAJ59" vbProcedure="false">#REF!</definedName>
    <definedName function="false" hidden="true" name="IQRSPPAJ60" vbProcedure="false">#REF!</definedName>
    <definedName function="false" hidden="true" name="IQRSPPC26" vbProcedure="false">#REF!</definedName>
    <definedName function="false" hidden="true" name="IQRSPPC27" vbProcedure="false">#REF!</definedName>
    <definedName function="false" hidden="true" name="IQRSPPC29" vbProcedure="false">#REF!</definedName>
    <definedName function="false" hidden="true" name="IQRSPPC40" vbProcedure="false">#REF!</definedName>
    <definedName function="false" hidden="true" name="IQRSPPC48" vbProcedure="false">#REF!</definedName>
    <definedName function="false" hidden="true" name="IQRSPPC49" vbProcedure="false">#REF!</definedName>
    <definedName function="false" hidden="true" name="IQRSPPC52" vbProcedure="false">#REF!</definedName>
    <definedName function="false" hidden="true" name="IQRSPPC54" vbProcedure="false">#REF!</definedName>
    <definedName function="false" hidden="true" name="IQRSPPC60" vbProcedure="false">#REF!</definedName>
    <definedName function="false" hidden="true" name="IQRSPPD27" vbProcedure="false">#REF!</definedName>
    <definedName function="false" hidden="true" name="IQRSPPD29" vbProcedure="false">#REF!</definedName>
    <definedName function="false" hidden="true" name="IQRSPPD48" vbProcedure="false">#REF!</definedName>
    <definedName function="false" hidden="true" name="IQRSPPD52" vbProcedure="false">#REF!</definedName>
    <definedName function="false" hidden="true" name="IQRSPPD54" vbProcedure="false">#REF!</definedName>
    <definedName function="false" hidden="true" name="IQRSPPD60" vbProcedure="false">#REF!</definedName>
    <definedName function="false" hidden="true" name="IQRSPPE17" vbProcedure="false">#REF!</definedName>
    <definedName function="false" hidden="true" name="IQRSPPE27" vbProcedure="false">#REF!</definedName>
    <definedName function="false" hidden="true" name="IQRSPPE29" vbProcedure="false">#REF!</definedName>
    <definedName function="false" hidden="true" name="IQRSPPE48" vbProcedure="false">#REF!</definedName>
    <definedName function="false" hidden="true" name="IQRSPPE52" vbProcedure="false">#REF!</definedName>
    <definedName function="false" hidden="true" name="IQRSPPE54" vbProcedure="false">#REF!</definedName>
    <definedName function="false" hidden="true" name="IQRSPPE60" vbProcedure="false">#REF!</definedName>
    <definedName function="false" hidden="true" name="IQRSPPF52" vbProcedure="false">#REF!</definedName>
    <definedName function="false" hidden="true" name="IQRSPPF54" vbProcedure="false">#REF!</definedName>
    <definedName function="false" hidden="true" name="IQRSPPF60" vbProcedure="false">#REF!</definedName>
    <definedName function="false" hidden="true" name="IQRSPPG26" vbProcedure="false">#REF!</definedName>
    <definedName function="false" hidden="true" name="IQRSPPG27" vbProcedure="false">#REF!</definedName>
    <definedName function="false" hidden="true" name="IQRSPPG60" vbProcedure="false">#REF!</definedName>
    <definedName function="false" hidden="true" name="IQRSPPH27" vbProcedure="false">#REF!</definedName>
    <definedName function="false" hidden="true" name="IQRSPPI27" vbProcedure="false">#REF!</definedName>
    <definedName function="false" hidden="true" name="IQRSPPJ60" vbProcedure="false">#REF!</definedName>
    <definedName function="false" hidden="true" name="IQRSPPK154" vbProcedure="false">#REF!</definedName>
    <definedName function="false" hidden="true" name="IQRSPPK26" vbProcedure="false">#REF!</definedName>
    <definedName function="false" hidden="true" name="IQRSPPK27" vbProcedure="false">#REF!</definedName>
    <definedName function="false" hidden="true" name="IQRSPPK52" vbProcedure="false">#REF!</definedName>
    <definedName function="false" hidden="true" name="IQRSPPK54" vbProcedure="false">#REF!</definedName>
    <definedName function="false" hidden="true" name="IQRSPPK60" vbProcedure="false">#REF!</definedName>
    <definedName function="false" hidden="true" name="IQRSPPL148" vbProcedure="false">#REF!</definedName>
    <definedName function="false" hidden="true" name="IQRSPPL27" vbProcedure="false">#REF!</definedName>
    <definedName function="false" hidden="true" name="IQRSPPL52" vbProcedure="false">#REF!</definedName>
    <definedName function="false" hidden="true" name="IQRSPPL54" vbProcedure="false">#REF!</definedName>
    <definedName function="false" hidden="true" name="IQRSPPL59" vbProcedure="false">#REF!</definedName>
    <definedName function="false" hidden="true" name="IQRSPPL60" vbProcedure="false">#REF!</definedName>
    <definedName function="false" hidden="true" name="IQRSPPM27" vbProcedure="false">#REF!</definedName>
    <definedName function="false" hidden="true" name="IQRSPPM52" vbProcedure="false">#REF!</definedName>
    <definedName function="false" hidden="true" name="IQRSPPM54" vbProcedure="false">#REF!</definedName>
    <definedName function="false" hidden="true" name="IQRSPPM59" vbProcedure="false">#REF!</definedName>
    <definedName function="false" hidden="true" name="IQRSPPM60" vbProcedure="false">#REF!</definedName>
    <definedName function="false" hidden="true" name="IQRSPPN52" vbProcedure="false">#REF!</definedName>
    <definedName function="false" hidden="true" name="IQRSPPN54" vbProcedure="false">#REF!</definedName>
    <definedName function="false" hidden="true" name="IQRSPPN59" vbProcedure="false">#REF!</definedName>
    <definedName function="false" hidden="true" name="IQRSPPN60" vbProcedure="false">#REF!</definedName>
    <definedName function="false" hidden="true" name="IQRSPPO26" vbProcedure="false">#REF!</definedName>
    <definedName function="false" hidden="true" name="IQRSPPO27" vbProcedure="false">#REF!</definedName>
    <definedName function="false" hidden="true" name="IQRSPPO52" vbProcedure="false">#REF!</definedName>
    <definedName function="false" hidden="true" name="IQRSPPO59" vbProcedure="false">#REF!</definedName>
    <definedName function="false" hidden="true" name="IQRSPPO60" vbProcedure="false">#REF!</definedName>
    <definedName function="false" hidden="true" name="IQRSPPP154" vbProcedure="false">#REF!</definedName>
    <definedName function="false" hidden="true" name="IQRSPPP27" vbProcedure="false">#REF!</definedName>
    <definedName function="false" hidden="true" name="IQRSPPQ27" vbProcedure="false">#REF!</definedName>
    <definedName function="false" hidden="true" name="IQRSPPQ60" vbProcedure="false">#REF!</definedName>
    <definedName function="false" hidden="true" name="IQRSPPR52" vbProcedure="false">#REF!</definedName>
    <definedName function="false" hidden="true" name="IQRSPPR54" vbProcedure="false">#REF!</definedName>
    <definedName function="false" hidden="true" name="IQRSPPR60" vbProcedure="false">#REF!</definedName>
    <definedName function="false" hidden="true" name="IQRSPPS52" vbProcedure="false">#REF!</definedName>
    <definedName function="false" hidden="true" name="IQRSPPS54" vbProcedure="false">#REF!</definedName>
    <definedName function="false" hidden="true" name="IQRSPPS59" vbProcedure="false">#REF!</definedName>
    <definedName function="false" hidden="true" name="IQRSPPS60" vbProcedure="false">#REF!</definedName>
    <definedName function="false" hidden="true" name="IQRSPPT52" vbProcedure="false">#REF!</definedName>
    <definedName function="false" hidden="true" name="IQRSPPT54" vbProcedure="false">#REF!</definedName>
    <definedName function="false" hidden="true" name="IQRSPPT59" vbProcedure="false">#REF!</definedName>
    <definedName function="false" hidden="true" name="IQRSPPT60" vbProcedure="false">#REF!</definedName>
    <definedName function="false" hidden="true" name="IQRSPPU52" vbProcedure="false">#REF!</definedName>
    <definedName function="false" hidden="true" name="IQRSPPU54" vbProcedure="false">#REF!</definedName>
    <definedName function="false" hidden="true" name="IQRSPPU59" vbProcedure="false">#REF!</definedName>
    <definedName function="false" hidden="true" name="IQRSPPU60" vbProcedure="false">#REF!</definedName>
    <definedName function="false" hidden="true" name="IQRSPPV52" vbProcedure="false">#REF!</definedName>
    <definedName function="false" hidden="true" name="IQRSPPV59" vbProcedure="false">#REF!</definedName>
    <definedName function="false" hidden="true" name="IQRSPPV60" vbProcedure="false">#REF!</definedName>
    <definedName function="false" hidden="true" name="IQRSPPX60" vbProcedure="false">#REF!</definedName>
    <definedName function="false" hidden="true" name="IQRSPPY52" vbProcedure="false">#REF!</definedName>
    <definedName function="false" hidden="true" name="IQRSPPY54" vbProcedure="false">#REF!</definedName>
    <definedName function="false" hidden="true" name="IQRSPPY60" vbProcedure="false">#REF!</definedName>
    <definedName function="false" hidden="true" name="IQRSPPZ52" vbProcedure="false">#REF!</definedName>
    <definedName function="false" hidden="true" name="IQRSPPZ54" vbProcedure="false">#REF!</definedName>
    <definedName function="false" hidden="true" name="IQRSPPZ59" vbProcedure="false">#REF!</definedName>
    <definedName function="false" hidden="true" name="IQRSPPZ60" vbProcedure="false">#REF!</definedName>
    <definedName function="false" hidden="true" name="IQRSwecoS13" vbProcedure="false">#REF!</definedName>
    <definedName function="false" hidden="true" name="IQRTabC11" vbProcedure="false">#REF!</definedName>
    <definedName function="false" hidden="true" name="IQRTabD11" vbProcedure="false">#REF!</definedName>
    <definedName function="false" hidden="true" name="IQRTabE11" vbProcedure="false">#REF!</definedName>
    <definedName function="false" hidden="true" name="IQRTabF11" vbProcedure="false">#REF!</definedName>
    <definedName function="false" hidden="true" name="IQRTabG11" vbProcedure="false">#REF!</definedName>
    <definedName function="false" hidden="true" name="IQRTAC20" vbProcedure="false">#REF!</definedName>
    <definedName function="false" hidden="true" name="IQRTemplateM13" vbProcedure="false">#REF!</definedName>
    <definedName function="false" hidden="true" name="IQRTemplateS13" vbProcedure="false">#REF!</definedName>
    <definedName function="false" hidden="true" name="IQRTradingF47" vbProcedure="false">#REF!</definedName>
    <definedName function="false" hidden="true" name="IQRTradingH33" vbProcedure="false">#REF!</definedName>
    <definedName function="false" hidden="true" name="IQRTradingH35" vbProcedure="false">#REF!</definedName>
    <definedName function="false" hidden="true" name="IQRU11" vbProcedure="false">"$U$12:$U$264"</definedName>
    <definedName function="false" hidden="true" name="IQRU14" vbProcedure="false">"$U$15:$U$266"</definedName>
    <definedName function="false" hidden="true" name="IQRU59" vbProcedure="false">"$U$60:$U$68"</definedName>
    <definedName function="false" hidden="true" name="IQRURSM13" vbProcedure="false">#REF!</definedName>
    <definedName function="false" hidden="true" name="IQRURSS13" vbProcedure="false">#REF!</definedName>
    <definedName function="false" hidden="true" name="IQRUS2C20" vbProcedure="false">#REF!</definedName>
    <definedName function="false" hidden="true" name="IQRV11" vbProcedure="false">"$V$12:$V$264"</definedName>
    <definedName function="false" hidden="true" name="IQRV59" vbProcedure="false">"$V$60:$V$68"</definedName>
    <definedName function="false" hidden="true" name="IQRValorisationK28" vbProcedure="false">#REF!</definedName>
    <definedName function="false" hidden="true" name="IQRValorisationL28" vbProcedure="false">#REF!</definedName>
    <definedName function="false" hidden="true" name="IQRValorisationL29" vbProcedure="false">#REF!</definedName>
    <definedName function="false" hidden="true" name="IQRValorisationL34" vbProcedure="false">#REF!</definedName>
    <definedName function="false" hidden="true" name="IQRValorisationL39" vbProcedure="false">#REF!</definedName>
    <definedName function="false" hidden="true" name="IQRValorisationL44" vbProcedure="false">#REF!</definedName>
    <definedName function="false" hidden="true" name="IQRValorisationL48" vbProcedure="false">#REF!</definedName>
    <definedName function="false" hidden="true" name="IQRValorisationL51" vbProcedure="false">#REF!</definedName>
    <definedName function="false" hidden="true" name="IQRValorisationL52" vbProcedure="false">#REF!</definedName>
    <definedName function="false" hidden="true" name="IQRValorisationM28" vbProcedure="false">#REF!</definedName>
    <definedName function="false" hidden="true" name="IQRValorisationM29" vbProcedure="false">#REF!</definedName>
    <definedName function="false" hidden="true" name="IQRValorisationM34" vbProcedure="false">#REF!</definedName>
    <definedName function="false" hidden="true" name="IQRValorisationM39" vbProcedure="false">#REF!</definedName>
    <definedName function="false" hidden="true" name="IQRValorisationM44" vbProcedure="false">#REF!</definedName>
    <definedName function="false" hidden="true" name="IQRValorisationM48" vbProcedure="false">#REF!</definedName>
    <definedName function="false" hidden="true" name="IQRValorisationM51" vbProcedure="false">#REF!</definedName>
    <definedName function="false" hidden="true" name="IQRValorisationM52" vbProcedure="false">#REF!</definedName>
    <definedName function="false" hidden="true" name="IQRValorisationQ29" vbProcedure="false">#REF!</definedName>
    <definedName function="false" hidden="true" name="IQRValorisationQ30" vbProcedure="false">#REF!</definedName>
    <definedName function="false" hidden="true" name="IQRValorisationQ34" vbProcedure="false">#REF!</definedName>
    <definedName function="false" hidden="true" name="IQRValorisationQ39" vbProcedure="false">#REF!</definedName>
    <definedName function="false" hidden="true" name="IQRValorisationQ44" vbProcedure="false">#REF!</definedName>
    <definedName function="false" hidden="true" name="IQRValorisationQ48" vbProcedure="false">#REF!</definedName>
    <definedName function="false" hidden="true" name="IQRValorisationQ51" vbProcedure="false">#REF!</definedName>
    <definedName function="false" hidden="true" name="IQRValorisationQ52" vbProcedure="false">#REF!</definedName>
    <definedName function="false" hidden="true" name="IQRValorisationY6" vbProcedure="false">#REF!</definedName>
    <definedName function="false" hidden="true" name="IQRValorisationZ6" vbProcedure="false">#REF!</definedName>
    <definedName function="false" hidden="true" name="IQRVide2AP16" vbProcedure="false">#REF!</definedName>
    <definedName function="false" hidden="true" name="IQRVide2AQ16" vbProcedure="false">#REF!</definedName>
    <definedName function="false" hidden="true" name="IQRVide2AX16" vbProcedure="false">#REF!</definedName>
    <definedName function="false" hidden="true" name="IQRVide2AY16" vbProcedure="false">#REF!</definedName>
    <definedName function="false" hidden="true" name="IQRVide2X85" vbProcedure="false">#REF!</definedName>
    <definedName function="false" hidden="true" name="IQRVideAP16" vbProcedure="false">#REF!</definedName>
    <definedName function="false" hidden="true" name="IQRVideAQ16" vbProcedure="false">#REF!</definedName>
    <definedName function="false" hidden="true" name="IQRVideAX16" vbProcedure="false">#REF!</definedName>
    <definedName function="false" hidden="true" name="IQRVideAY16" vbProcedure="false">#REF!</definedName>
    <definedName function="false" hidden="true" name="IQRVideX85" vbProcedure="false">#REF!</definedName>
    <definedName function="false" hidden="true" name="IQRWatermanS13" vbProcedure="false">#REF!</definedName>
    <definedName function="false" hidden="true" name="IQRWSAtkinsM13" vbProcedure="false">#REF!</definedName>
    <definedName function="false" hidden="true" name="IQRWSAtkinsS13" vbProcedure="false">#REF!</definedName>
    <definedName function="false" hidden="true" name="IQRWSPGlobalM13" vbProcedure="false">#REF!</definedName>
    <definedName function="false" hidden="true" name="IQRWSPGlobalS13" vbProcedure="false">#REF!</definedName>
    <definedName function="false" hidden="true" name="IQRWYGM13" vbProcedure="false">#REF!</definedName>
    <definedName function="false" hidden="true" name="IQRWYGS13" vbProcedure="false">#REF!</definedName>
    <definedName function="false" hidden="true" name="IQRX53" vbProcedure="false">"$X$54:$X$63"</definedName>
    <definedName function="false" hidden="true" name="IQRX96" vbProcedure="false">"$X$97"</definedName>
    <definedName function="false" hidden="true" name="IQRZ53" vbProcedure="false">"$Z$54:$Z$63"</definedName>
    <definedName function="false" hidden="true" name="IQRZ96" vbProcedure="false">"$Z$97"</definedName>
    <definedName function="false" hidden="true" name="iQShowHideColumns" vbProcedure="false">"iQShowAll"</definedName>
    <definedName function="false" hidden="true" name="IQSTransactionsC16" vbProcedure="false">#REF!</definedName>
    <definedName function="false" hidden="true" name="IQ_" vbProcedure="false">"c59"</definedName>
    <definedName function="false" hidden="true" name="IQ_1_4_FAMILY_JUNIOR_LIENS_CHARGE_OFFS_FDIC" vbProcedure="false">"c6605"</definedName>
    <definedName function="false" hidden="true" name="IQ_1_4_FAMILY_JUNIOR_LIENS_NET_CHARGE_OFFS_FDIC" vbProcedure="false">"c6643"</definedName>
    <definedName function="false" hidden="true" name="IQ_1_4_FAMILY_JUNIOR_LIENS_RECOVERIES_FDIC" vbProcedure="false">"c6624"</definedName>
    <definedName function="false" hidden="true" name="IQ_1_4_FAMILY_SENIOR_LIENS_CHARGE_OFFS_FDIC" vbProcedure="false">"c6604"</definedName>
    <definedName function="false" hidden="true" name="IQ_1_4_FAMILY_SENIOR_LIENS_NET_CHARGE_OFFS_FDIC" vbProcedure="false">"c6642"</definedName>
    <definedName function="false" hidden="true" name="IQ_1_4_FAMILY_SENIOR_LIENS_RECOVERIES_FDIC" vbProcedure="false">"c6623"</definedName>
    <definedName function="false" hidden="true" name="IQ_1_4_HOME_EQUITY_NET_LOANS_FDIC" vbProcedure="false">"c6441"</definedName>
    <definedName function="false" hidden="true" name="IQ_1_4_RESIDENTIAL_FIRST_LIENS_NET_LOANS_FDIC" vbProcedure="false">"c6439"</definedName>
    <definedName function="false" hidden="true" name="IQ_1_4_RESIDENTIAL_JUNIOR_LIENS_NET_LOANS_FDIC" vbProcedure="false">"c6440"</definedName>
    <definedName function="false" hidden="true" name="IQ_1_4_RESIDENTIAL_LOANS_FDIC" vbProcedure="false">"c6310"</definedName>
    <definedName function="false" hidden="true" name="IQ_ACQUIRED_BY_REPORTING_BANK_FDIC" vbProcedure="false">"c6535"</definedName>
    <definedName function="false" hidden="true" name="IQ_ADDIN" vbProcedure="false">"AUTO"</definedName>
    <definedName function="false" hidden="true" name="IQ_ADDITIONAL_NON_INT_INC_FDIC" vbProcedure="false">"c6574"</definedName>
    <definedName function="false" hidden="true" name="IQ_ADJUSTABLE_RATE_LOANS_FDIC" vbProcedure="false">"c6375"</definedName>
    <definedName function="false" hidden="true" name="IQ_AE_BR" vbProcedure="false">"c10"</definedName>
    <definedName function="false" hidden="true" name="IQ_AFTER_TAX_INCOME_FDIC" vbProcedure="false">"c6583"</definedName>
    <definedName function="false" hidden="true" name="IQ_AGRICULTURAL_PRODUCTION_CHARGE_OFFS_FDIC" vbProcedure="false">"c6597"</definedName>
    <definedName function="false" hidden="true" name="IQ_AGRICULTURAL_PRODUCTION_CHARGE_OFFS_LESS_THAN_300M_FDIC" vbProcedure="false">"c6655"</definedName>
    <definedName function="false" hidden="true" name="IQ_AGRICULTURAL_PRODUCTION_NET_CHARGE_OFFS_FDIC" vbProcedure="false">"c6635"</definedName>
    <definedName function="false" hidden="true" name="IQ_AGRICULTURAL_PRODUCTION_NET_CHARGE_OFFS_LESS_THAN_300M_FDIC" vbProcedure="false">"c6657"</definedName>
    <definedName function="false" hidden="true" name="IQ_AGRICULTURAL_PRODUCTION_RECOVERIES_FDIC" vbProcedure="false">"c6616"</definedName>
    <definedName function="false" hidden="true" name="IQ_AGRICULTURAL_PRODUCTION_RECOVERIES_LESS_THAN_300M_FDIC" vbProcedure="false">"c6656"</definedName>
    <definedName function="false" hidden="true" name="IQ_AMENDED_BALANCE_PREVIOUS_YR_FDIC" vbProcedure="false">"c6499"</definedName>
    <definedName function="false" hidden="true" name="IQ_AMORTIZED_COST_FDIC" vbProcedure="false">"c6426"</definedName>
    <definedName function="false" hidden="true" name="IQ_AMORT_EXPENSE_FDIC" vbProcedure="false">"c6677"</definedName>
    <definedName function="false" hidden="true" name="IQ_ANNUAL_DIVIDEND" vbProcedure="false">"c229"</definedName>
    <definedName function="false" hidden="true" name="IQ_AP_BR" vbProcedure="false">"c34"</definedName>
    <definedName function="false" hidden="true" name="IQ_AR_BR" vbProcedure="false">"c41"</definedName>
    <definedName function="false" hidden="true" name="IQ_ASSETS_HELD_FDIC" vbProcedure="false">"c6305"</definedName>
    <definedName function="false" hidden="true" name="IQ_ASSETS_PER_EMPLOYEE_FDIC" vbProcedure="false">"c6737"</definedName>
    <definedName function="false" hidden="true" name="IQ_ASSETS_SOLD_1_4_FAMILY_LOANS_FDIC" vbProcedure="false">"c6686"</definedName>
    <definedName function="false" hidden="true" name="IQ_ASSETS_SOLD_AUTO_LOANS_FDIC" vbProcedure="false">"c6680"</definedName>
    <definedName function="false" hidden="true" name="IQ_ASSETS_SOLD_CL_LOANS_FDIC" vbProcedure="false">"c6681"</definedName>
    <definedName function="false" hidden="true" name="IQ_ASSETS_SOLD_CREDIT_CARDS_RECEIVABLES_FDIC" vbProcedure="false">"c6683"</definedName>
    <definedName function="false" hidden="true" name="IQ_ASSETS_SOLD_HOME_EQUITY_LINES_FDIC" vbProcedure="false">"c6684"</definedName>
    <definedName function="false" hidden="true" name="IQ_ASSETS_SOLD_OTHER_CONSUMER_LOANS_FDIC" vbProcedure="false">"c6682"</definedName>
    <definedName function="false" hidden="true" name="IQ_ASSETS_SOLD_OTHER_LOANS_FDIC" vbProcedure="false">"c6685"</definedName>
    <definedName function="false" hidden="true" name="IQ_ASSET_BACKED_FDIC" vbProcedure="false">"c6301"</definedName>
    <definedName function="false" hidden="true" name="IQ_ASSET_WRITEDOWN_BR" vbProcedure="false">"c50"</definedName>
    <definedName function="false" hidden="true" name="IQ_ASSET_WRITEDOWN_CF_BR" vbProcedure="false">"c53"</definedName>
    <definedName function="false" hidden="true" name="IQ_AVAILABLE_FOR_SALE_FDIC" vbProcedure="false">"c6409"</definedName>
    <definedName function="false" hidden="true" name="IQ_AVERAGE_ASSETS_FDIC" vbProcedure="false">"c6362"</definedName>
    <definedName function="false" hidden="true" name="IQ_AVERAGE_ASSETS_QUART_FDIC" vbProcedure="false">"c6363"</definedName>
    <definedName function="false" hidden="true" name="IQ_AVERAGE_EARNING_ASSETS_FDIC" vbProcedure="false">"c6748"</definedName>
    <definedName function="false" hidden="true" name="IQ_AVERAGE_EQUITY_FDIC" vbProcedure="false">"c6749"</definedName>
    <definedName function="false" hidden="true" name="IQ_AVERAGE_LOANS_FDIC" vbProcedure="false">"c6750"</definedName>
    <definedName function="false" hidden="true" name="IQ_AVG_BROKER_REC_NO_REUT" vbProcedure="false">"c5315"</definedName>
    <definedName function="false" hidden="true" name="IQ_AVG_BROKER_REC_REUT" vbProcedure="false">"c3630"</definedName>
    <definedName function="false" hidden="true" name="IQ_AVG_PRICE_TARGET" vbProcedure="false">"c82"</definedName>
    <definedName function="false" hidden="true" name="IQ_BALANCES_DUE_DEPOSITORY_INSTITUTIONS_FDIC" vbProcedure="false">"c6389"</definedName>
    <definedName function="false" hidden="true" name="IQ_BALANCES_DUE_FOREIGN_FDIC" vbProcedure="false">"c6391"</definedName>
    <definedName function="false" hidden="true" name="IQ_BALANCES_DUE_FRB_FDIC" vbProcedure="false">"c6393"</definedName>
    <definedName function="false" hidden="true" name="IQ_BALANCE_GOODS_APR_FC_UNUSED_UNUSED_UNUSED" vbProcedure="false">"c8353"</definedName>
    <definedName function="false" hidden="true" name="IQ_BALANCE_GOODS_APR_UNUSED_UNUSED_UNUSED" vbProcedure="false">"c7473"</definedName>
    <definedName function="false" hidden="true" name="IQ_BALANCE_GOODS_FC_UNUSED_UNUSED_UNUSED" vbProcedure="false">"c7693"</definedName>
    <definedName function="false" hidden="true" name="IQ_BALANCE_GOODS_POP_FC_UNUSED_UNUSED_UNUSED" vbProcedure="false">"c7913"</definedName>
    <definedName function="false" hidden="true" name="IQ_BALANCE_GOODS_POP_UNUSED_UNUSED_UNUSED" vbProcedure="false">"c7033"</definedName>
    <definedName function="false" hidden="true" name="IQ_BALANCE_GOODS_UNUSED_UNUSED_UNUSED" vbProcedure="false">"c6813"</definedName>
    <definedName function="false" hidden="true" name="IQ_BALANCE_GOODS_YOY_FC_UNUSED_UNUSED_UNUSED" vbProcedure="false">"c8133"</definedName>
    <definedName function="false" hidden="true" name="IQ_BALANCE_GOODS_YOY_UNUSED_UNUSED_UNUSED" vbProcedure="false">"c7253"</definedName>
    <definedName function="false" hidden="true" name="IQ_BALANCE_SERV_APR_FC_UNUSED_UNUSED_UNUSED" vbProcedure="false">"c8355"</definedName>
    <definedName function="false" hidden="true" name="IQ_BALANCE_SERV_APR_UNUSED_UNUSED_UNUSED" vbProcedure="false">"c7475"</definedName>
    <definedName function="false" hidden="true" name="IQ_BALANCE_SERV_FC_UNUSED_UNUSED_UNUSED" vbProcedure="false">"c7695"</definedName>
    <definedName function="false" hidden="true" name="IQ_BALANCE_SERV_POP_FC_UNUSED_UNUSED_UNUSED" vbProcedure="false">"c7915"</definedName>
    <definedName function="false" hidden="true" name="IQ_BALANCE_SERV_POP_UNUSED_UNUSED_UNUSED" vbProcedure="false">"c7035"</definedName>
    <definedName function="false" hidden="true" name="IQ_BALANCE_SERV_UNUSED_UNUSED_UNUSED" vbProcedure="false">"c6815"</definedName>
    <definedName function="false" hidden="true" name="IQ_BALANCE_SERV_YOY_FC_UNUSED_UNUSED_UNUSED" vbProcedure="false">"c8135"</definedName>
    <definedName function="false" hidden="true" name="IQ_BALANCE_SERV_YOY_UNUSED_UNUSED_UNUSED" vbProcedure="false">"c7255"</definedName>
    <definedName function="false" hidden="true" name="IQ_BALANCE_TRADE_APR_FC_UNUSED_UNUSED_UNUSED" vbProcedure="false">"c8357"</definedName>
    <definedName function="false" hidden="true" name="IQ_BALANCE_TRADE_APR_UNUSED_UNUSED_UNUSED" vbProcedure="false">"c7477"</definedName>
    <definedName function="false" hidden="true" name="IQ_BALANCE_TRADE_FC_UNUSED_UNUSED_UNUSED" vbProcedure="false">"c7697"</definedName>
    <definedName function="false" hidden="true" name="IQ_BALANCE_TRADE_POP_FC_UNUSED_UNUSED_UNUSED" vbProcedure="false">"c7917"</definedName>
    <definedName function="false" hidden="true" name="IQ_BALANCE_TRADE_POP_UNUSED_UNUSED_UNUSED" vbProcedure="false">"c7037"</definedName>
    <definedName function="false" hidden="true" name="IQ_BALANCE_TRADE_UNUSED_UNUSED_UNUSED" vbProcedure="false">"c6817"</definedName>
    <definedName function="false" hidden="true" name="IQ_BALANCE_TRADE_YOY_FC_UNUSED_UNUSED_UNUSED" vbProcedure="false">"c8137"</definedName>
    <definedName function="false" hidden="true" name="IQ_BALANCE_TRADE_YOY_UNUSED_UNUSED_UNUSED" vbProcedure="false">"c7257"</definedName>
    <definedName function="false" hidden="true" name="IQ_BANKS_FOREIGN_COUNTRIES_TOTAL_DEPOSITS_FDIC" vbProcedure="false">"c6475"</definedName>
    <definedName function="false" hidden="true" name="IQ_BANK_BENEFICIARY_FDIC" vbProcedure="false">"c6505"</definedName>
    <definedName function="false" hidden="true" name="IQ_BANK_GUARANTOR_FDIC" vbProcedure="false">"c6506"</definedName>
    <definedName function="false" hidden="true" name="IQ_BANK_PREMISES_FDIC" vbProcedure="false">"c6329"</definedName>
    <definedName function="false" hidden="true" name="IQ_BANK_SECURITIZATION_1_4_FAMILY_LOANS_FDIC" vbProcedure="false">"c6721"</definedName>
    <definedName function="false" hidden="true" name="IQ_BANK_SECURITIZATION_AUTO_LOANS_FDIC" vbProcedure="false">"c6715"</definedName>
    <definedName function="false" hidden="true" name="IQ_BANK_SECURITIZATION_CL_LOANS_FDIC" vbProcedure="false">"c6716"</definedName>
    <definedName function="false" hidden="true" name="IQ_BANK_SECURITIZATION_CREDIT_CARDS_RECEIVABLES_FDIC" vbProcedure="false">"c6718"</definedName>
    <definedName function="false" hidden="true" name="IQ_BANK_SECURITIZATION_HOME_EQUITY_LINES_FDIC" vbProcedure="false">"c6719"</definedName>
    <definedName function="false" hidden="true" name="IQ_BANK_SECURITIZATION_OTHER_CONSUMER_LOANS_FDIC" vbProcedure="false">"c6717"</definedName>
    <definedName function="false" hidden="true" name="IQ_BANK_SECURITIZATION_OTHER_LOANS_FDIC" vbProcedure="false">"c6720"</definedName>
    <definedName function="false" hidden="true" name="IQ_BIZ_SEG_ASSETS" vbProcedure="false">"c90"</definedName>
    <definedName function="false" hidden="true" name="IQ_BIZ_SEG_EBT" vbProcedure="false">"c91"</definedName>
    <definedName function="false" hidden="true" name="IQ_BIZ_SEG_GP" vbProcedure="false">"c92"</definedName>
    <definedName function="false" hidden="true" name="IQ_BIZ_SEG_NI" vbProcedure="false">"c93"</definedName>
    <definedName function="false" hidden="true" name="IQ_BIZ_SEG_OPER_INC" vbProcedure="false">"c94"</definedName>
    <definedName function="false" hidden="true" name="IQ_BIZ_SEG_REV" vbProcedure="false">"c95"</definedName>
    <definedName function="false" hidden="true" name="IQ_BOARD_MEMBER_FAX" vbProcedure="false">"c2100"</definedName>
    <definedName function="false" hidden="true" name="IQ_BOARD_MEMBER_OFFICE" vbProcedure="false">"c2098"</definedName>
    <definedName function="false" hidden="true" name="IQ_BOARD_MEMBER_PHONE" vbProcedure="false">"c2099"</definedName>
    <definedName function="false" hidden="true" name="IQ_BONDRATING_FITCH" vbProcedure="false">"c223"</definedName>
    <definedName function="false" hidden="true" name="IQ_BONDRATING_FITCH_DATE" vbProcedure="false">"c241"</definedName>
    <definedName function="false" hidden="true" name="IQ_BONDRATING_MOODYS" vbProcedure="false">"IQ_BONDRATING_MOODYS"</definedName>
    <definedName function="false" hidden="true" name="IQ_BONDRATING_SP" vbProcedure="false">"c224"</definedName>
    <definedName function="false" hidden="true" name="IQ_BONDRATING_SP_DATE" vbProcedure="false">"c242"</definedName>
    <definedName function="false" hidden="true" name="IQ_BOOK_VALUE" vbProcedure="false">"c68"</definedName>
    <definedName function="false" hidden="true" name="IQ_BROKERED_DEPOSITS_FDIC" vbProcedure="false">"c6486"</definedName>
    <definedName function="false" hidden="true" name="IQ_BUDGET_BALANCE_APR_FC_UNUSED_UNUSED_UNUSED" vbProcedure="false">"c8359"</definedName>
    <definedName function="false" hidden="true" name="IQ_BUDGET_BALANCE_APR_UNUSED_UNUSED_UNUSED" vbProcedure="false">"c7479"</definedName>
    <definedName function="false" hidden="true" name="IQ_BUDGET_BALANCE_FC_UNUSED_UNUSED_UNUSED" vbProcedure="false">"c7699"</definedName>
    <definedName function="false" hidden="true" name="IQ_BUDGET_BALANCE_POP_FC_UNUSED_UNUSED_UNUSED" vbProcedure="false">"c7919"</definedName>
    <definedName function="false" hidden="true" name="IQ_BUDGET_BALANCE_POP_UNUSED_UNUSED_UNUSED" vbProcedure="false">"c7039"</definedName>
    <definedName function="false" hidden="true" name="IQ_BUDGET_BALANCE_UNUSED_UNUSED_UNUSED" vbProcedure="false">"c6819"</definedName>
    <definedName function="false" hidden="true" name="IQ_BUDGET_BALANCE_YOY_FC_UNUSED_UNUSED_UNUSED" vbProcedure="false">"c8139"</definedName>
    <definedName function="false" hidden="true" name="IQ_BUDGET_BALANCE_YOY_UNUSED_UNUSED_UNUSED" vbProcedure="false">"c7259"</definedName>
    <definedName function="false" hidden="true" name="IQ_BUDGET_RECEIPTS_APR_FC_UNUSED_UNUSED_UNUSED" vbProcedure="false">"c8361"</definedName>
    <definedName function="false" hidden="true" name="IQ_BUDGET_RECEIPTS_APR_UNUSED_UNUSED_UNUSED" vbProcedure="false">"c7481"</definedName>
    <definedName function="false" hidden="true" name="IQ_BUDGET_RECEIPTS_FC_UNUSED_UNUSED_UNUSED" vbProcedure="false">"c7701"</definedName>
    <definedName function="false" hidden="true" name="IQ_BUDGET_RECEIPTS_POP_FC_UNUSED_UNUSED_UNUSED" vbProcedure="false">"c7921"</definedName>
    <definedName function="false" hidden="true" name="IQ_BUDGET_RECEIPTS_POP_UNUSED_UNUSED_UNUSED" vbProcedure="false">"c7041"</definedName>
    <definedName function="false" hidden="true" name="IQ_BUDGET_RECEIPTS_UNUSED_UNUSED_UNUSED" vbProcedure="false">"c6821"</definedName>
    <definedName function="false" hidden="true" name="IQ_BUDGET_RECEIPTS_YOY_FC_UNUSED_UNUSED_UNUSED" vbProcedure="false">"c8141"</definedName>
    <definedName function="false" hidden="true" name="IQ_BUDGET_RECEIPTS_YOY_UNUSED_UNUSED_UNUSED" vbProcedure="false">"c7261"</definedName>
    <definedName function="false" hidden="true" name="IQ_BUS_SEG_PRIMARY_GIC" vbProcedure="false">"c15584"</definedName>
    <definedName function="false" hidden="true" name="IQ_BUS_SEG_PRIMARY_GIC_ABS" vbProcedure="false">"c15572"</definedName>
    <definedName function="false" hidden="true" name="IQ_BUS_SEG_SECONDARY_GIC" vbProcedure="false">"c15585"</definedName>
    <definedName function="false" hidden="true" name="IQ_BUS_SEG_SECONDARY_GIC_ABS" vbProcedure="false">"c15573"</definedName>
    <definedName function="false" hidden="true" name="IQ_BV_ACT_OR_EST_REUT" vbProcedure="false">"c5471"</definedName>
    <definedName function="false" hidden="true" name="IQ_BV_ACT_OR_EST_THOM" vbProcedure="false">"c5308"</definedName>
    <definedName function="false" hidden="true" name="IQ_BV_EST_REUT" vbProcedure="false">"c5403"</definedName>
    <definedName function="false" hidden="true" name="IQ_BV_EST_THOM" vbProcedure="false">"c5147"</definedName>
    <definedName function="false" hidden="true" name="IQ_BV_HIGH_EST_REUT" vbProcedure="false">"c5405"</definedName>
    <definedName function="false" hidden="true" name="IQ_BV_HIGH_EST_THOM" vbProcedure="false">"c5149"</definedName>
    <definedName function="false" hidden="true" name="IQ_BV_LOW_EST_REUT" vbProcedure="false">"c5406"</definedName>
    <definedName function="false" hidden="true" name="IQ_BV_LOW_EST_THOM" vbProcedure="false">"c5150"</definedName>
    <definedName function="false" hidden="true" name="IQ_BV_MEDIAN_EST_REUT" vbProcedure="false">"c5404"</definedName>
    <definedName function="false" hidden="true" name="IQ_BV_MEDIAN_EST_THOM" vbProcedure="false">"c5148"</definedName>
    <definedName function="false" hidden="true" name="IQ_BV_NUM_EST_REUT" vbProcedure="false">"c5407"</definedName>
    <definedName function="false" hidden="true" name="IQ_BV_NUM_EST_THOM" vbProcedure="false">"c5151"</definedName>
    <definedName function="false" hidden="true" name="IQ_BV_SHARE_ACT_OR_EST_REUT" vbProcedure="false">"c5477"</definedName>
    <definedName function="false" hidden="true" name="IQ_BV_SHARE_EST_REUT" vbProcedure="false">"c5439"</definedName>
    <definedName function="false" hidden="true" name="IQ_BV_SHARE_HIGH_EST_REUT" vbProcedure="false">"c5441"</definedName>
    <definedName function="false" hidden="true" name="IQ_BV_SHARE_LOW_EST_REUT" vbProcedure="false">"c5442"</definedName>
    <definedName function="false" hidden="true" name="IQ_BV_SHARE_MEDIAN_EST_REUT" vbProcedure="false">"c5440"</definedName>
    <definedName function="false" hidden="true" name="IQ_BV_SHARE_NUM_EST_REUT" vbProcedure="false">"c5443"</definedName>
    <definedName function="false" hidden="true" name="IQ_BV_SHARE_STDDEV_EST_REUT" vbProcedure="false">"c5444"</definedName>
    <definedName function="false" hidden="true" name="IQ_BV_STDDEV_EST_REUT" vbProcedure="false">"c5408"</definedName>
    <definedName function="false" hidden="true" name="IQ_BV_STDDEV_EST_THOM" vbProcedure="false">"c5152"</definedName>
    <definedName function="false" hidden="true" name="IQ_CAL_Q_EST_REUT" vbProcedure="false">"c6800"</definedName>
    <definedName function="false" hidden="true" name="IQ_CAL_Y_EST_REUT" vbProcedure="false">"c6801"</definedName>
    <definedName function="false" hidden="true" name="IQ_CAPEX_ACT_OR_EST_REUT" vbProcedure="false">"c5474"</definedName>
    <definedName function="false" hidden="true" name="IQ_CAPEX_BR" vbProcedure="false">"c111"</definedName>
    <definedName function="false" hidden="true" name="IQ_CAPEX_EST_REUT" vbProcedure="false">"c3969"</definedName>
    <definedName function="false" hidden="true" name="IQ_CAPEX_HIGH_EST_REUT" vbProcedure="false">"c3971"</definedName>
    <definedName function="false" hidden="true" name="IQ_CAPEX_LOW_EST_REUT" vbProcedure="false">"c3972"</definedName>
    <definedName function="false" hidden="true" name="IQ_CAPEX_MEDIAN_EST_REUT" vbProcedure="false">"c3970"</definedName>
    <definedName function="false" hidden="true" name="IQ_CAPEX_NUM_EST_REUT" vbProcedure="false">"c3973"</definedName>
    <definedName function="false" hidden="true" name="IQ_CAPEX_STDDEV_EST_REUT" vbProcedure="false">"c3974"</definedName>
    <definedName function="false" hidden="true" name="IQ_CAP_INT" vbProcedure="false">"c3460"</definedName>
    <definedName function="false" hidden="true" name="IQ_CASH2" vbProcedure="false">"c116"</definedName>
    <definedName function="false" hidden="true" name="IQ_CASH_DIVIDENDS_NET_INCOME_FDIC" vbProcedure="false">"c6738"</definedName>
    <definedName function="false" hidden="true" name="IQ_CASH_IN_PROCESS_FDIC" vbProcedure="false">"c6386"</definedName>
    <definedName function="false" hidden="true" name="IQ_CCE_FDIC" vbProcedure="false">"c6296"</definedName>
    <definedName function="false" hidden="true" name="IQ_CFPS_ACT_OR_EST_REUT" vbProcedure="false">"c5463"</definedName>
    <definedName function="false" hidden="true" name="IQ_CFPS_EST_REUT" vbProcedure="false">"c3844"</definedName>
    <definedName function="false" hidden="true" name="IQ_CFPS_HIGH_EST_REUT" vbProcedure="false">"c3846"</definedName>
    <definedName function="false" hidden="true" name="IQ_CFPS_LOW_EST_REUT" vbProcedure="false">"c3847"</definedName>
    <definedName function="false" hidden="true" name="IQ_CFPS_MEDIAN_EST_REUT" vbProcedure="false">"c3845"</definedName>
    <definedName function="false" hidden="true" name="IQ_CFPS_NUM_EST_REUT" vbProcedure="false">"c3848"</definedName>
    <definedName function="false" hidden="true" name="IQ_CFPS_STDDEV_EST_REUT" vbProcedure="false">"c3849"</definedName>
    <definedName function="false" hidden="false" name="IQ_CH" vbProcedure="false">110000</definedName>
    <definedName function="false" hidden="true" name="IQ_CHANGE_AP_BR" vbProcedure="false">"c135"</definedName>
    <definedName function="false" hidden="true" name="IQ_CHANGE_AR_BR" vbProcedure="false">"c142"</definedName>
    <definedName function="false" hidden="true" name="IQ_CHANGE_INVENT_REAL_APR_FC_UNUSED_UNUSED_UNUSED" vbProcedure="false">"c8500"</definedName>
    <definedName function="false" hidden="true" name="IQ_CHANGE_INVENT_REAL_APR_UNUSED_UNUSED_UNUSED" vbProcedure="false">"c7620"</definedName>
    <definedName function="false" hidden="true" name="IQ_CHANGE_INVENT_REAL_FC_UNUSED_UNUSED_UNUSED" vbProcedure="false">"c7840"</definedName>
    <definedName function="false" hidden="true" name="IQ_CHANGE_INVENT_REAL_POP_FC_UNUSED_UNUSED_UNUSED" vbProcedure="false">"c8060"</definedName>
    <definedName function="false" hidden="true" name="IQ_CHANGE_INVENT_REAL_POP_UNUSED_UNUSED_UNUSED" vbProcedure="false">"c7180"</definedName>
    <definedName function="false" hidden="true" name="IQ_CHANGE_INVENT_REAL_UNUSED_UNUSED_UNUSED" vbProcedure="false">"c6960"</definedName>
    <definedName function="false" hidden="true" name="IQ_CHANGE_INVENT_REAL_YOY_FC_UNUSED_UNUSED_UNUSED" vbProcedure="false">"c8280"</definedName>
    <definedName function="false" hidden="true" name="IQ_CHANGE_INVENT_REAL_YOY_UNUSED_UNUSED_UNUSED" vbProcedure="false">"c7400"</definedName>
    <definedName function="false" hidden="true" name="IQ_CHANGE_OTHER_NET_OPER_ASSETS_BR" vbProcedure="false">"c3595"</definedName>
    <definedName function="false" hidden="true" name="IQ_CHANGE_OTHER_WORK_CAP_BR" vbProcedure="false">"c154"</definedName>
    <definedName function="false" hidden="true" name="IQ_CHARGE_OFFS_1_4_FAMILY_FDIC" vbProcedure="false">"c6756"</definedName>
    <definedName function="false" hidden="true" name="IQ_CHARGE_OFFS_1_4_FAMILY_LOANS_FDIC" vbProcedure="false">"c6714"</definedName>
    <definedName function="false" hidden="true" name="IQ_CHARGE_OFFS_AUTO_LOANS_FDIC" vbProcedure="false">"c6708"</definedName>
    <definedName function="false" hidden="true" name="IQ_CHARGE_OFFS_CL_LOANS_FDIC" vbProcedure="false">"c6709"</definedName>
    <definedName function="false" hidden="true" name="IQ_CHARGE_OFFS_COMMERCIAL_INDUSTRIAL_FDIC" vbProcedure="false">"c6759"</definedName>
    <definedName function="false" hidden="true" name="IQ_CHARGE_OFFS_COMMERCIAL_RE_FDIC" vbProcedure="false">"c6754"</definedName>
    <definedName function="false" hidden="true" name="IQ_CHARGE_OFFS_COMMERCIAL_RE_NOT_SECURED_FDIC" vbProcedure="false">"c6764"</definedName>
    <definedName function="false" hidden="true" name="IQ_CHARGE_OFFS_CONSTRUCTION_DEVELOPMENT_FDIC" vbProcedure="false">"c6753"</definedName>
    <definedName function="false" hidden="true" name="IQ_CHARGE_OFFS_CREDIT_CARDS_FDIC" vbProcedure="false">"c6761"</definedName>
    <definedName function="false" hidden="true" name="IQ_CHARGE_OFFS_CREDIT_CARDS_RECEIVABLES_FDIC" vbProcedure="false">"c6711"</definedName>
    <definedName function="false" hidden="true" name="IQ_CHARGE_OFFS_HOME_EQUITY_FDIC" vbProcedure="false">"c6757"</definedName>
    <definedName function="false" hidden="true" name="IQ_CHARGE_OFFS_HOME_EQUITY_LINES_FDIC" vbProcedure="false">"c6712"</definedName>
    <definedName function="false" hidden="true" name="IQ_CHARGE_OFFS_INDIVIDUALS_FDIC" vbProcedure="false">"c6760"</definedName>
    <definedName function="false" hidden="true" name="IQ_CHARGE_OFFS_MULTI_FAMILY_FDIC" vbProcedure="false">"c6755"</definedName>
    <definedName function="false" hidden="true" name="IQ_CHARGE_OFFS_OTHER_1_4_FAMILY_FDIC" vbProcedure="false">"c6758"</definedName>
    <definedName function="false" hidden="true" name="IQ_CHARGE_OFFS_OTHER_CONSUMER_LOANS_FDIC" vbProcedure="false">"c6710"</definedName>
    <definedName function="false" hidden="true" name="IQ_CHARGE_OFFS_OTHER_INDIVIDUAL_FDIC" vbProcedure="false">"c6762"</definedName>
    <definedName function="false" hidden="true" name="IQ_CHARGE_OFFS_OTHER_LOANS_FDIC" vbProcedure="false">"c6763"</definedName>
    <definedName function="false" hidden="true" name="IQ_CHARGE_OFFS_OTHER_LOANS_OTHER_FDIC" vbProcedure="false">"c6713"</definedName>
    <definedName function="false" hidden="true" name="IQ_CHARGE_OFFS_RE_LOANS_FDIC" vbProcedure="false">"c6752"</definedName>
    <definedName function="false" hidden="true" name="IQ_CLASSB_OUTSTANDING_BS_DATE" vbProcedure="false">"c1972"</definedName>
    <definedName function="false" hidden="true" name="IQ_CLASSB_OUTSTANDING_FILING_DATE" vbProcedure="false">"c1974"</definedName>
    <definedName function="false" hidden="true" name="IQ_CMO_FDIC" vbProcedure="false">"c6406"</definedName>
    <definedName function="false" hidden="true" name="IQ_COLLECTION_DOMESTIC_FDIC" vbProcedure="false">"c6387"</definedName>
    <definedName function="false" hidden="true" name="IQ_COMMERCIAL_BANKS_DEPOSITS_FOREIGN_FDIC" vbProcedure="false">"c6480"</definedName>
    <definedName function="false" hidden="true" name="IQ_COMMERCIAL_BANKS_LOANS_FDIC" vbProcedure="false">"c6434"</definedName>
    <definedName function="false" hidden="true" name="IQ_COMMERCIAL_BANKS_NONTRANSACTION_ACCOUNTS_FDIC" vbProcedure="false">"c6548"</definedName>
    <definedName function="false" hidden="true" name="IQ_COMMERCIAL_BANKS_TOTAL_DEPOSITS_FDIC" vbProcedure="false">"c6474"</definedName>
    <definedName function="false" hidden="true" name="IQ_COMMERCIAL_BANKS_TOTAL_LOANS_FOREIGN_FDIC" vbProcedure="false">"c6444"</definedName>
    <definedName function="false" hidden="true" name="IQ_COMMERCIAL_BANKS_TRANSACTION_ACCOUNTS_FDIC" vbProcedure="false">"c6540"</definedName>
    <definedName function="false" hidden="true" name="IQ_COMMERCIAL_DOM" vbProcedure="false">"c177"</definedName>
    <definedName function="false" hidden="true" name="IQ_COMMERCIAL_INDUSTRIAL_CHARGE_OFFS_FDIC" vbProcedure="false">"c6598"</definedName>
    <definedName function="false" hidden="true" name="IQ_COMMERCIAL_INDUSTRIAL_LOANS_NET_FDIC" vbProcedure="false">"c6317"</definedName>
    <definedName function="false" hidden="true" name="IQ_COMMERCIAL_INDUSTRIAL_NET_CHARGE_OFFS_FDIC" vbProcedure="false">"c6636"</definedName>
    <definedName function="false" hidden="true" name="IQ_COMMERCIAL_INDUSTRIAL_RECOVERIES_FDIC" vbProcedure="false">"c6617"</definedName>
    <definedName function="false" hidden="true" name="IQ_COMMERCIAL_INDUSTRIAL_TOTAL_LOANS_FOREIGN_FDIC" vbProcedure="false">"c6451"</definedName>
    <definedName function="false" hidden="true" name="IQ_COMMERCIAL_MORT" vbProcedure="false">"c179"</definedName>
    <definedName function="false" hidden="true" name="IQ_COMMERCIAL_RE_CONSTRUCTION_LAND_DEV_FDIC" vbProcedure="false">"c6526"</definedName>
    <definedName function="false" hidden="true" name="IQ_COMMERCIAL_RE_LOANS_FDIC" vbProcedure="false">"c6312"</definedName>
    <definedName function="false" hidden="true" name="IQ_COMMITMENTS_MATURITY_EXCEEDING_1YR_FDIC" vbProcedure="false">"c6531"</definedName>
    <definedName function="false" hidden="true" name="IQ_COMMITMENTS_NOT_SECURED_RE_FDIC" vbProcedure="false">"c6528"</definedName>
    <definedName function="false" hidden="true" name="IQ_COMMITMENTS_SECURED_RE_FDIC" vbProcedure="false">"c6527"</definedName>
    <definedName function="false" hidden="true" name="IQ_COMMODITY_EXPOSURES_FDIC" vbProcedure="false">"c6665"</definedName>
    <definedName function="false" hidden="true" name="IQ_COMMON_APIC_BR" vbProcedure="false">"c185"</definedName>
    <definedName function="false" hidden="true" name="IQ_COMMON_FDIC" vbProcedure="false">"c6350"</definedName>
    <definedName function="false" hidden="true" name="IQ_COMMON_ISSUED_BR" vbProcedure="false">"c199"</definedName>
    <definedName function="false" hidden="true" name="IQ_COMMON_REP_BR" vbProcedure="false">"c208"</definedName>
    <definedName function="false" hidden="true" name="IQ_CONSTRUCTION_DEV_LOANS_FDIC" vbProcedure="false">"c6313"</definedName>
    <definedName function="false" hidden="true" name="IQ_CONSTRUCTION_LAND_DEVELOPMENT_CHARGE_OFFS_FDIC" vbProcedure="false">"c6594"</definedName>
    <definedName function="false" hidden="true" name="IQ_CONSTRUCTION_LAND_DEVELOPMENT_NET_CHARGE_OFFS_FDIC" vbProcedure="false">"c6632"</definedName>
    <definedName function="false" hidden="true" name="IQ_CONSTRUCTION_LAND_DEVELOPMENT_RECOVERIES_FDIC" vbProcedure="false">"c6613"</definedName>
    <definedName function="false" hidden="true" name="IQ_CONTRACTS_OTHER_COMMODITIES_EQUITIES._FDIC" vbProcedure="false">"c6522"</definedName>
    <definedName function="false" hidden="true" name="IQ_CONTRACTS_OTHER_COMMODITIES_EQUITIES_FDIC" vbProcedure="false">"c6522"</definedName>
    <definedName function="false" hidden="true" name="IQ_CONVERT_DEBT" vbProcedure="false">"c224"</definedName>
    <definedName function="false" hidden="true" name="IQ_CONVEYED_TO_OTHERS_FDIC" vbProcedure="false">"c6534"</definedName>
    <definedName function="false" hidden="true" name="IQ_CONV_RATE" vbProcedure="false">"c2192"</definedName>
    <definedName function="false" hidden="true" name="IQ_CORE_CAPITAL_RATIO_FDIC" vbProcedure="false">"c6745"</definedName>
    <definedName function="false" hidden="true" name="IQ_CORP_GOODS_PRICE_INDEX_APR_FC_UNUSED_UNUSED_UNUSED" vbProcedure="false">"c8381"</definedName>
    <definedName function="false" hidden="true" name="IQ_CORP_GOODS_PRICE_INDEX_APR_UNUSED_UNUSED_UNUSED" vbProcedure="false">"c7501"</definedName>
    <definedName function="false" hidden="true" name="IQ_CORP_GOODS_PRICE_INDEX_FC_UNUSED_UNUSED_UNUSED" vbProcedure="false">"c7721"</definedName>
    <definedName function="false" hidden="true" name="IQ_CORP_GOODS_PRICE_INDEX_POP_FC_UNUSED_UNUSED_UNUSED" vbProcedure="false">"c7941"</definedName>
    <definedName function="false" hidden="true" name="IQ_CORP_GOODS_PRICE_INDEX_POP_UNUSED_UNUSED_UNUSED" vbProcedure="false">"c7061"</definedName>
    <definedName function="false" hidden="true" name="IQ_CORP_GOODS_PRICE_INDEX_UNUSED_UNUSED_UNUSED" vbProcedure="false">"c6841"</definedName>
    <definedName function="false" hidden="true" name="IQ_CORP_GOODS_PRICE_INDEX_YOY_FC_UNUSED_UNUSED_UNUSED" vbProcedure="false">"c8161"</definedName>
    <definedName function="false" hidden="true" name="IQ_CORP_GOODS_PRICE_INDEX_YOY_UNUSED_UNUSED_UNUSED" vbProcedure="false">"c7281"</definedName>
    <definedName function="false" hidden="true" name="IQ_COST_OF_FUNDING_ASSETS_FDIC" vbProcedure="false">"c6725"</definedName>
    <definedName function="false" hidden="false" name="IQ_CQ" vbProcedure="false">5000</definedName>
    <definedName function="false" hidden="true" name="IQ_CREDIT_CARD_CHARGE_OFFS_FDIC" vbProcedure="false">"c6652"</definedName>
    <definedName function="false" hidden="true" name="IQ_CREDIT_CARD_FEE" vbProcedure="false">"c231"</definedName>
    <definedName function="false" hidden="true" name="IQ_CREDIT_CARD_LINES_FDIC" vbProcedure="false">"c6525"</definedName>
    <definedName function="false" hidden="true" name="IQ_CREDIT_CARD_LOANS_FDIC" vbProcedure="false">"c6319"</definedName>
    <definedName function="false" hidden="true" name="IQ_CREDIT_CARD_NET_CHARGE_OFFS_FDIC" vbProcedure="false">"c6654"</definedName>
    <definedName function="false" hidden="true" name="IQ_CREDIT_CARD_RECOVERIES_FDIC" vbProcedure="false">"c6653"</definedName>
    <definedName function="false" hidden="true" name="IQ_CREDIT_LOSS_PROVISION_NET_CHARGE_OFFS_FDIC" vbProcedure="false">"c6734"</definedName>
    <definedName function="false" hidden="true" name="IQ_CURRENCY_COIN_DOMESTIC_FDIC" vbProcedure="false">"c6388"</definedName>
    <definedName function="false" hidden="true" name="IQ_CURRENCY_GAIN_BR" vbProcedure="false">"c236"</definedName>
    <definedName function="false" hidden="true" name="IQ_CURRENT_PORT_DEBT_BR" vbProcedure="false">"c1567"</definedName>
    <definedName function="false" hidden="true" name="IQ_CURR_ACCT_BALANCE_APR_FC_UNUSED_UNUSED_UNUSED" vbProcedure="false">"c8387"</definedName>
    <definedName function="false" hidden="true" name="IQ_CURR_ACCT_BALANCE_APR_UNUSED_UNUSED_UNUSED" vbProcedure="false">"c7507"</definedName>
    <definedName function="false" hidden="true" name="IQ_CURR_ACCT_BALANCE_FC_UNUSED_UNUSED_UNUSED" vbProcedure="false">"c7727"</definedName>
    <definedName function="false" hidden="true" name="IQ_CURR_ACCT_BALANCE_POP_FC_UNUSED_UNUSED_UNUSED" vbProcedure="false">"c7947"</definedName>
    <definedName function="false" hidden="true" name="IQ_CURR_ACCT_BALANCE_POP_UNUSED_UNUSED_UNUSED" vbProcedure="false">"c7067"</definedName>
    <definedName function="false" hidden="true" name="IQ_CURR_ACCT_BALANCE_UNUSED_UNUSED_UNUSED" vbProcedure="false">"c6847"</definedName>
    <definedName function="false" hidden="true" name="IQ_CURR_ACCT_BALANCE_YOY_FC_UNUSED_UNUSED_UNUSED" vbProcedure="false">"c8167"</definedName>
    <definedName function="false" hidden="true" name="IQ_CURR_ACCT_BALANCE_YOY_UNUSED_UNUSED_UNUSED" vbProcedure="false">"c7287"</definedName>
    <definedName function="false" hidden="false" name="IQ_CY" vbProcedure="false">10000</definedName>
    <definedName function="false" hidden="false" name="IQ_DAILY" vbProcedure="false">500000</definedName>
    <definedName function="false" hidden="true" name="IQ_DA_BR" vbProcedure="false">"c248"</definedName>
    <definedName function="false" hidden="true" name="IQ_DA_CF_BR" vbProcedure="false">"c251"</definedName>
    <definedName function="false" hidden="true" name="IQ_DA_SUPPL_BR" vbProcedure="false">"c260"</definedName>
    <definedName function="false" hidden="true" name="IQ_DA_SUPPL_CF_BR" vbProcedure="false">"c263"</definedName>
    <definedName function="false" hidden="true" name="IQ_DEF_AMORT_BR" vbProcedure="false">"c278"</definedName>
    <definedName function="false" hidden="true" name="IQ_DEF_CHARGES_BR" vbProcedure="false">"c288"</definedName>
    <definedName function="false" hidden="true" name="IQ_DEF_CHARGES_LT_BR" vbProcedure="false">"c294"</definedName>
    <definedName function="false" hidden="true" name="IQ_DEF_TAX_ASSET_LT_BR" vbProcedure="false">"c304"</definedName>
    <definedName function="false" hidden="true" name="IQ_DEF_TAX_LIAB_LT_BR" vbProcedure="false">"c315"</definedName>
    <definedName function="false" hidden="true" name="IQ_DEMAND_DEPOSITS_FDIC" vbProcedure="false">"c6489"</definedName>
    <definedName function="false" hidden="true" name="IQ_DEPOSITORY_INSTITUTIONS_CHARGE_OFFS_FDIC" vbProcedure="false">"c6596"</definedName>
    <definedName function="false" hidden="true" name="IQ_DEPOSITORY_INSTITUTIONS_NET_CHARGE_OFFS_FDIC" vbProcedure="false">"c6634"</definedName>
    <definedName function="false" hidden="true" name="IQ_DEPOSITORY_INSTITUTIONS_RECOVERIES_FDIC" vbProcedure="false">"c6615"</definedName>
    <definedName function="false" hidden="true" name="IQ_DEPOSITS_HELD_DOMESTIC_FDIC" vbProcedure="false">"c6340"</definedName>
    <definedName function="false" hidden="true" name="IQ_DEPOSITS_HELD_FOREIGN_FDIC" vbProcedure="false">"c6341"</definedName>
    <definedName function="false" hidden="true" name="IQ_DEPOSITS_LESS_THAN_100K_AFTER_THREE_YEARS_FDIC" vbProcedure="false">"c6464"</definedName>
    <definedName function="false" hidden="true" name="IQ_DEPOSITS_LESS_THAN_100K_THREE_MONTHS_FDIC" vbProcedure="false">"c6461"</definedName>
    <definedName function="false" hidden="true" name="IQ_DEPOSITS_LESS_THAN_100K_THREE_YEARS_FDIC" vbProcedure="false">"c6463"</definedName>
    <definedName function="false" hidden="true" name="IQ_DEPOSITS_LESS_THAN_100K_TWELVE_MONTHS_FDIC" vbProcedure="false">"c6462"</definedName>
    <definedName function="false" hidden="true" name="IQ_DEPOSITS_MORE_THAN_100K_AFTER_THREE_YEARS_FDIC" vbProcedure="false">"c6469"</definedName>
    <definedName function="false" hidden="true" name="IQ_DEPOSITS_MORE_THAN_100K_THREE_MONTHS_FDIC" vbProcedure="false">"c6466"</definedName>
    <definedName function="false" hidden="true" name="IQ_DEPOSITS_MORE_THAN_100K_THREE_YEARS_FDIC" vbProcedure="false">"c6468"</definedName>
    <definedName function="false" hidden="true" name="IQ_DEPOSITS_MORE_THAN_100K_TWELVE_MONTHS_FDIC" vbProcedure="false">"c6467"</definedName>
    <definedName function="false" hidden="true" name="IQ_DEPOSIT_ACCOUNTS_LESS_THAN_100K_FDIC" vbProcedure="false">"c6494"</definedName>
    <definedName function="false" hidden="true" name="IQ_DEPOSIT_ACCOUNTS_MORE_THAN_100K_FDIC" vbProcedure="false">"c6492"</definedName>
    <definedName function="false" hidden="true" name="IQ_DERIVATIVES_FDIC" vbProcedure="false">"c6523"</definedName>
    <definedName function="false" hidden="true" name="IQ_DIFF_LASTCLOSE_TARGET_PRICE_REUT" vbProcedure="false">"c5436"</definedName>
    <definedName function="false" hidden="true" name="IQ_DISTRIBUTABLE_CASH_EST_CIQ" vbProcedure="false">"c4802"</definedName>
    <definedName function="false" hidden="true" name="IQ_DISTRIBUTABLE_CASH_HIGH_EST_CIQ" vbProcedure="false">"c4805"</definedName>
    <definedName function="false" hidden="true" name="IQ_DISTRIBUTABLE_CASH_LOW_EST_CIQ" vbProcedure="false">"c4806"</definedName>
    <definedName function="false" hidden="true" name="IQ_DISTRIBUTABLE_CASH_MEDIAN_EST_CIQ" vbProcedure="false">"c4807"</definedName>
    <definedName function="false" hidden="true" name="IQ_DISTRIBUTABLE_CASH_NUM_EST_CIQ" vbProcedure="false">"c4808"</definedName>
    <definedName function="false" hidden="true" name="IQ_DISTRIBUTABLE_CASH_SHARE_EST_CIQ" vbProcedure="false">"c4810"</definedName>
    <definedName function="false" hidden="true" name="IQ_DISTRIBUTABLE_CASH_SHARE_HIGH_EST_CIQ" vbProcedure="false">"c4813"</definedName>
    <definedName function="false" hidden="true" name="IQ_DISTRIBUTABLE_CASH_SHARE_LOW_EST_CIQ" vbProcedure="false">"c4814"</definedName>
    <definedName function="false" hidden="true" name="IQ_DISTRIBUTABLE_CASH_SHARE_MEDIAN_EST_CIQ" vbProcedure="false">"c4815"</definedName>
    <definedName function="false" hidden="true" name="IQ_DISTRIBUTABLE_CASH_SHARE_NUM_EST_CIQ" vbProcedure="false">"c4816"</definedName>
    <definedName function="false" hidden="true" name="IQ_DISTRIBUTABLE_CASH_SHARE_STDDEV_EST_CIQ" vbProcedure="false">"c4817"</definedName>
    <definedName function="false" hidden="true" name="IQ_DISTRIBUTABLE_CASH_STDDEV_EST_CIQ" vbProcedure="false">"c4819"</definedName>
    <definedName function="false" hidden="true" name="IQ_DIVIDENDS_DECLARED_COMMON_FDIC" vbProcedure="false">"c6659"</definedName>
    <definedName function="false" hidden="true" name="IQ_DIVIDENDS_DECLARED_PREFERRED_FDIC" vbProcedure="false">"c6658"</definedName>
    <definedName function="false" hidden="true" name="IQ_DIVIDENDS_FDIC" vbProcedure="false">"c6660"</definedName>
    <definedName function="false" hidden="true" name="IQ_DNTM" vbProcedure="false">700000</definedName>
    <definedName function="false" hidden="true" name="IQ_DPAC" vbProcedure="false">"c2801"</definedName>
    <definedName function="false" hidden="true" name="IQ_DPS_ACT_OR_EST_REUT" vbProcedure="false">"c5464"</definedName>
    <definedName function="false" hidden="true" name="IQ_DPS_EST_BOTTOM_UP_REUT" vbProcedure="false">"c5501"</definedName>
    <definedName function="false" hidden="true" name="IQ_DPS_EST_REUT" vbProcedure="false">"c3851"</definedName>
    <definedName function="false" hidden="true" name="IQ_DPS_HIGH_EST_REUT" vbProcedure="false">"c3853"</definedName>
    <definedName function="false" hidden="true" name="IQ_DPS_LOW_EST_REUT" vbProcedure="false">"c3854"</definedName>
    <definedName function="false" hidden="true" name="IQ_DPS_MEDIAN_EST_REUT" vbProcedure="false">"c3852"</definedName>
    <definedName function="false" hidden="true" name="IQ_DPS_NUM_EST_REUT" vbProcedure="false">"c3855"</definedName>
    <definedName function="false" hidden="true" name="IQ_DPS_STDDEV_EST_REUT" vbProcedure="false">"c3856"</definedName>
    <definedName function="false" hidden="true" name="IQ_EARNINGS_ANNOUNCE_DATE_REUT" vbProcedure="false">"c5314"</definedName>
    <definedName function="false" hidden="true" name="IQ_EARNINGS_COVERAGE_NET_CHARGE_OFFS_FDIC" vbProcedure="false">"c6735"</definedName>
    <definedName function="false" hidden="true" name="IQ_EARNING_ASSETS_FDIC" vbProcedure="false">"c6360"</definedName>
    <definedName function="false" hidden="true" name="IQ_EARNING_ASSETS_YIELD_FDIC" vbProcedure="false">"c6724"</definedName>
    <definedName function="false" hidden="true" name="IQ_EBITDA_10K" vbProcedure="false">"IQ_EBITDA_10K"</definedName>
    <definedName function="false" hidden="true" name="IQ_EBITDA_10Q" vbProcedure="false">"IQ_EBITDA_10Q"</definedName>
    <definedName function="false" hidden="true" name="IQ_EBITDA_10Q1" vbProcedure="false">"IQ_EBITDA_10Q1"</definedName>
    <definedName function="false" hidden="true" name="IQ_EBITDA_ACT_OR_EST_REUT" vbProcedure="false">"c5462"</definedName>
    <definedName function="false" hidden="true" name="IQ_EBITDA_CAPEX_NET_INT" vbProcedure="false">"c368"</definedName>
    <definedName function="false" hidden="true" name="IQ_EBITDA_EST_REUT" vbProcedure="false">"c3640"</definedName>
    <definedName function="false" hidden="true" name="IQ_EBITDA_GROWTH_1" vbProcedure="false">"c156"</definedName>
    <definedName function="false" hidden="true" name="IQ_EBITDA_GROWTH_2" vbProcedure="false">"c160"</definedName>
    <definedName function="false" hidden="true" name="IQ_EBITDA_HIGH_EST_REUT" vbProcedure="false">"c3642"</definedName>
    <definedName function="false" hidden="true" name="IQ_EBITDA_LOW_EST_REUT" vbProcedure="false">"c3643"</definedName>
    <definedName function="false" hidden="true" name="IQ_EBITDA_MEDIAN_EST_REUT" vbProcedure="false">"c3641"</definedName>
    <definedName function="false" hidden="true" name="IQ_EBITDA_NET_INT" vbProcedure="false">"c373"</definedName>
    <definedName function="false" hidden="true" name="IQ_EBITDA_NO_EST" vbProcedure="false">"c267"</definedName>
    <definedName function="false" hidden="true" name="IQ_EBITDA_NUM_EST_REUT" vbProcedure="false">"c3644"</definedName>
    <definedName function="false" hidden="true" name="IQ_EBITDA_STDDEV_EST_REUT" vbProcedure="false">"c3645"</definedName>
    <definedName function="false" hidden="true" name="IQ_EBIT_10K" vbProcedure="false">"IQ_EBIT_10K"</definedName>
    <definedName function="false" hidden="true" name="IQ_EBIT_10Q" vbProcedure="false">"IQ_EBIT_10Q"</definedName>
    <definedName function="false" hidden="true" name="IQ_EBIT_10Q1" vbProcedure="false">"IQ_EBIT_10Q1"</definedName>
    <definedName function="false" hidden="true" name="IQ_EBIT_ACT_OR_EST_REUT" vbProcedure="false">"c5465"</definedName>
    <definedName function="false" hidden="true" name="IQ_EBIT_EST_REUT" vbProcedure="false">"c5333"</definedName>
    <definedName function="false" hidden="true" name="IQ_EBIT_GROWTH_1" vbProcedure="false">"c157"</definedName>
    <definedName function="false" hidden="true" name="IQ_EBIT_GROWTH_2" vbProcedure="false">"c161"</definedName>
    <definedName function="false" hidden="true" name="IQ_EBIT_HIGH_EST_REUT" vbProcedure="false">"c5335"</definedName>
    <definedName function="false" hidden="true" name="IQ_EBIT_LOW_EST_REUT" vbProcedure="false">"c5336"</definedName>
    <definedName function="false" hidden="true" name="IQ_EBIT_MEDIAN_EST_REUT" vbProcedure="false">"c5334"</definedName>
    <definedName function="false" hidden="true" name="IQ_EBIT_NET_INT" vbProcedure="false">"c360"</definedName>
    <definedName function="false" hidden="true" name="IQ_EBIT_NUM_EST_REUT" vbProcedure="false">"c5337"</definedName>
    <definedName function="false" hidden="true" name="IQ_EBIT_STDDEV_EST_REUT" vbProcedure="false">"c5338"</definedName>
    <definedName function="false" hidden="true" name="IQ_EBT_BR" vbProcedure="false">"c378"</definedName>
    <definedName function="false" hidden="true" name="IQ_EBT_EXCL_BR" vbProcedure="false">"c381"</definedName>
    <definedName function="false" hidden="true" name="IQ_ECO_METRIC_6825_UNUSED_UNUSED_UNUSED" vbProcedure="false">"c6825"</definedName>
    <definedName function="false" hidden="true" name="IQ_ECO_METRIC_6839_UNUSED_UNUSED_UNUSED" vbProcedure="false">"c6839"</definedName>
    <definedName function="false" hidden="true" name="IQ_ECO_METRIC_6896_UNUSED_UNUSED_UNUSED" vbProcedure="false">"c6896"</definedName>
    <definedName function="false" hidden="true" name="IQ_ECO_METRIC_6897_UNUSED_UNUSED_UNUSED" vbProcedure="false">"c6897"</definedName>
    <definedName function="false" hidden="true" name="IQ_ECO_METRIC_6988_UNUSED_UNUSED_UNUSED" vbProcedure="false">"c6988"</definedName>
    <definedName function="false" hidden="true" name="IQ_ECO_METRIC_7045_UNUSED_UNUSED_UNUSED" vbProcedure="false">"c7045"</definedName>
    <definedName function="false" hidden="true" name="IQ_ECO_METRIC_7059_UNUSED_UNUSED_UNUSED" vbProcedure="false">"c7059"</definedName>
    <definedName function="false" hidden="true" name="IQ_ECO_METRIC_7116_UNUSED_UNUSED_UNUSED" vbProcedure="false">"c7116"</definedName>
    <definedName function="false" hidden="true" name="IQ_ECO_METRIC_7117_UNUSED_UNUSED_UNUSED" vbProcedure="false">"c7117"</definedName>
    <definedName function="false" hidden="true" name="IQ_ECO_METRIC_7208_UNUSED_UNUSED_UNUSED" vbProcedure="false">"c7208"</definedName>
    <definedName function="false" hidden="true" name="IQ_ECO_METRIC_7265_UNUSED_UNUSED_UNUSED" vbProcedure="false">"c7265"</definedName>
    <definedName function="false" hidden="true" name="IQ_ECO_METRIC_7279_UNUSED_UNUSED_UNUSED" vbProcedure="false">"c7279"</definedName>
    <definedName function="false" hidden="true" name="IQ_ECO_METRIC_7336_UNUSED_UNUSED_UNUSED" vbProcedure="false">"c7336"</definedName>
    <definedName function="false" hidden="true" name="IQ_ECO_METRIC_7337_UNUSED_UNUSED_UNUSED" vbProcedure="false">"c7337"</definedName>
    <definedName function="false" hidden="true" name="IQ_ECO_METRIC_7428_UNUSED_UNUSED_UNUSED" vbProcedure="false">"c7428"</definedName>
    <definedName function="false" hidden="true" name="IQ_ECO_METRIC_7556_UNUSED_UNUSED_UNUSED" vbProcedure="false">"c7556"</definedName>
    <definedName function="false" hidden="true" name="IQ_ECO_METRIC_7557_UNUSED_UNUSED_UNUSED" vbProcedure="false">"c7557"</definedName>
    <definedName function="false" hidden="true" name="IQ_ECO_METRIC_7648_UNUSED_UNUSED_UNUSED" vbProcedure="false">"c7648"</definedName>
    <definedName function="false" hidden="true" name="IQ_ECO_METRIC_7705_UNUSED_UNUSED_UNUSED" vbProcedure="false">"c7705"</definedName>
    <definedName function="false" hidden="true" name="IQ_ECO_METRIC_7719_UNUSED_UNUSED_UNUSED" vbProcedure="false">"c7719"</definedName>
    <definedName function="false" hidden="true" name="IQ_ECO_METRIC_7776_UNUSED_UNUSED_UNUSED" vbProcedure="false">"c7776"</definedName>
    <definedName function="false" hidden="true" name="IQ_ECO_METRIC_7777_UNUSED_UNUSED_UNUSED" vbProcedure="false">"c7777"</definedName>
    <definedName function="false" hidden="true" name="IQ_ECO_METRIC_7868_UNUSED_UNUSED_UNUSED" vbProcedure="false">"c7868"</definedName>
    <definedName function="false" hidden="true" name="IQ_ECO_METRIC_7925_UNUSED_UNUSED_UNUSED" vbProcedure="false">"c7925"</definedName>
    <definedName function="false" hidden="true" name="IQ_ECO_METRIC_7939_UNUSED_UNUSED_UNUSED" vbProcedure="false">"c7939"</definedName>
    <definedName function="false" hidden="true" name="IQ_ECO_METRIC_7996_UNUSED_UNUSED_UNUSED" vbProcedure="false">"c7996"</definedName>
    <definedName function="false" hidden="true" name="IQ_ECO_METRIC_7997_UNUSED_UNUSED_UNUSED" vbProcedure="false">"c7997"</definedName>
    <definedName function="false" hidden="true" name="IQ_ECO_METRIC_8088_UNUSED_UNUSED_UNUSED" vbProcedure="false">"c8088"</definedName>
    <definedName function="false" hidden="true" name="IQ_ECO_METRIC_8145_UNUSED_UNUSED_UNUSED" vbProcedure="false">"c8145"</definedName>
    <definedName function="false" hidden="true" name="IQ_ECO_METRIC_8159_UNUSED_UNUSED_UNUSED" vbProcedure="false">"c8159"</definedName>
    <definedName function="false" hidden="true" name="IQ_ECO_METRIC_8216_UNUSED_UNUSED_UNUSED" vbProcedure="false">"c8216"</definedName>
    <definedName function="false" hidden="true" name="IQ_ECO_METRIC_8217_UNUSED_UNUSED_UNUSED" vbProcedure="false">"c8217"</definedName>
    <definedName function="false" hidden="true" name="IQ_ECO_METRIC_8308_UNUSED_UNUSED_UNUSED" vbProcedure="false">"c8308"</definedName>
    <definedName function="false" hidden="true" name="IQ_ECO_METRIC_8436_UNUSED_UNUSED_UNUSED" vbProcedure="false">"c8436"</definedName>
    <definedName function="false" hidden="true" name="IQ_ECO_METRIC_8437_UNUSED_UNUSED_UNUSED" vbProcedure="false">"c8437"</definedName>
    <definedName function="false" hidden="true" name="IQ_ECO_METRIC_8528_UNUSED_UNUSED_UNUSED" vbProcedure="false">"c8528"</definedName>
    <definedName function="false" hidden="true" name="IQ_EFFICIENCY_RATIO_FDIC" vbProcedure="false">"c6736"</definedName>
    <definedName function="false" hidden="true" name="IQ_EPS" vbProcedure="false">"IQ_EPS"</definedName>
    <definedName function="false" hidden="true" name="IQ_EPS_10K" vbProcedure="false">"IQ_EPS_10K"</definedName>
    <definedName function="false" hidden="true" name="IQ_EPS_10Q" vbProcedure="false">"IQ_EPS_10Q"</definedName>
    <definedName function="false" hidden="true" name="IQ_EPS_10Q1" vbProcedure="false">"IQ_EPS_10Q1"</definedName>
    <definedName function="false" hidden="true" name="IQ_EPS_ACT_OR_EST_REUT" vbProcedure="false">"c5460"</definedName>
    <definedName function="false" hidden="true" name="IQ_EPS_EST_1" vbProcedure="false">"c189"</definedName>
    <definedName function="false" hidden="true" name="IQ_EPS_EST_BOTTOM_UP_REUT" vbProcedure="false">"c5497"</definedName>
    <definedName function="false" hidden="true" name="IQ_EPS_EST_REUT" vbProcedure="false">"c5453"</definedName>
    <definedName function="false" hidden="true" name="IQ_EPS_GW_ACT_OR_EST_REUT" vbProcedure="false">"c5469"</definedName>
    <definedName function="false" hidden="true" name="IQ_EPS_GW_EST_BOTTOM_UP_REUT" vbProcedure="false">"c5499"</definedName>
    <definedName function="false" hidden="true" name="IQ_EPS_GW_EST_REUT" vbProcedure="false">"c5389"</definedName>
    <definedName function="false" hidden="true" name="IQ_EPS_GW_HIGH_EST_REUT" vbProcedure="false">"c5391"</definedName>
    <definedName function="false" hidden="true" name="IQ_EPS_GW_LOW_EST_REUT" vbProcedure="false">"c5392"</definedName>
    <definedName function="false" hidden="true" name="IQ_EPS_GW_MEDIAN_EST_REUT" vbProcedure="false">"c5390"</definedName>
    <definedName function="false" hidden="true" name="IQ_EPS_GW_NUM_EST_REUT" vbProcedure="false">"c5393"</definedName>
    <definedName function="false" hidden="true" name="IQ_EPS_GW_STDDEV_EST_REUT" vbProcedure="false">"c5394"</definedName>
    <definedName function="false" hidden="true" name="IQ_EPS_HIGH_EST_REUT" vbProcedure="false">"c5454"</definedName>
    <definedName function="false" hidden="true" name="IQ_EPS_LOW_EST_REUT" vbProcedure="false">"c5455"</definedName>
    <definedName function="false" hidden="true" name="IQ_EPS_MEDIAN_EST_REUT" vbProcedure="false">"c5456"</definedName>
    <definedName function="false" hidden="true" name="IQ_EPS_NORM_EST_BOTTOM_UP_REUT" vbProcedure="false">"c5498"</definedName>
    <definedName function="false" hidden="true" name="IQ_EPS_NORM_EST_REUT" vbProcedure="false">"c5326"</definedName>
    <definedName function="false" hidden="true" name="IQ_EPS_NORM_HIGH_EST_REUT" vbProcedure="false">"c5328"</definedName>
    <definedName function="false" hidden="true" name="IQ_EPS_NORM_LOW_EST_REUT" vbProcedure="false">"c5329"</definedName>
    <definedName function="false" hidden="true" name="IQ_EPS_NORM_MEDIAN_EST_REUT" vbProcedure="false">"c5327"</definedName>
    <definedName function="false" hidden="true" name="IQ_EPS_NORM_NUM_EST_REUT" vbProcedure="false">"c5330"</definedName>
    <definedName function="false" hidden="true" name="IQ_EPS_NORM_STDDEV_EST_REUT" vbProcedure="false">"c5331"</definedName>
    <definedName function="false" hidden="true" name="IQ_EPS_NO_EST" vbProcedure="false">"c271"</definedName>
    <definedName function="false" hidden="true" name="IQ_EPS_NUM_EST_REUT" vbProcedure="false">"c5451"</definedName>
    <definedName function="false" hidden="true" name="IQ_EPS_PRIMARY_EST" vbProcedure="false">"c2226"</definedName>
    <definedName function="false" hidden="true" name="IQ_EPS_PRIMARY_HIGH_EST" vbProcedure="false">"c2228"</definedName>
    <definedName function="false" hidden="true" name="IQ_EPS_PRIMARY_LOW_EST" vbProcedure="false">"c2229"</definedName>
    <definedName function="false" hidden="true" name="IQ_EPS_PRIMARY_MEDIAN_EST" vbProcedure="false">"c2227"</definedName>
    <definedName function="false" hidden="true" name="IQ_EPS_PRIMARY_NUM_EST" vbProcedure="false">"c2230"</definedName>
    <definedName function="false" hidden="true" name="IQ_EPS_PRIMARY_STDDEV_EST" vbProcedure="false">"c2231"</definedName>
    <definedName function="false" hidden="true" name="IQ_EPS_REPORTED_EST_BOTTOM_UP_REUT" vbProcedure="false">"c5500"</definedName>
    <definedName function="false" hidden="true" name="IQ_EPS_REPORTED_EST_REUT" vbProcedure="false">"c5396"</definedName>
    <definedName function="false" hidden="true" name="IQ_EPS_REPORTED_HIGH_EST_REUT" vbProcedure="false">"c5398"</definedName>
    <definedName function="false" hidden="true" name="IQ_EPS_REPORTED_LOW_EST_REUT" vbProcedure="false">"c5399"</definedName>
    <definedName function="false" hidden="true" name="IQ_EPS_REPORTED_MEDIAN_EST_REUT" vbProcedure="false">"c5397"</definedName>
    <definedName function="false" hidden="true" name="IQ_EPS_REPORTED_NUM_EST_REUT" vbProcedure="false">"c5400"</definedName>
    <definedName function="false" hidden="true" name="IQ_EPS_REPORTED_STDDEV_EST_REUT" vbProcedure="false">"c5401"</definedName>
    <definedName function="false" hidden="true" name="IQ_EPS_REPORT_ACT_OR_EST_REUT" vbProcedure="false">"c5470"</definedName>
    <definedName function="false" hidden="true" name="IQ_EPS_STDDEV_EST_REUT" vbProcedure="false">"c5452"</definedName>
    <definedName function="false" hidden="true" name="IQ_EQUITY_CAPITAL_ASSETS_FDIC" vbProcedure="false">"c6744"</definedName>
    <definedName function="false" hidden="true" name="IQ_EQUITY_FDIC" vbProcedure="false">"c6353"</definedName>
    <definedName function="false" hidden="true" name="IQ_EQUITY_SECURITIES_FDIC" vbProcedure="false">"c6304"</definedName>
    <definedName function="false" hidden="true" name="IQ_EQUITY_SECURITY_EXPOSURES_FDIC" vbProcedure="false">"c6664"</definedName>
    <definedName function="false" hidden="true" name="IQ_ESTIMATED_ASSESSABLE_DEPOSITS_FDIC" vbProcedure="false">"c6490"</definedName>
    <definedName function="false" hidden="true" name="IQ_ESTIMATED_INSURED_DEPOSITS_FDIC" vbProcedure="false">"c6491"</definedName>
    <definedName function="false" hidden="true" name="IQ_EST_ACT_BV_REUT" vbProcedure="false">"c5409"</definedName>
    <definedName function="false" hidden="true" name="IQ_EST_ACT_BV_SHARE_REUT" vbProcedure="false">"c5445"</definedName>
    <definedName function="false" hidden="true" name="IQ_EST_ACT_BV_THOM" vbProcedure="false">"c5153"</definedName>
    <definedName function="false" hidden="true" name="IQ_EST_ACT_CAPEX_REUT" vbProcedure="false">"c3975"</definedName>
    <definedName function="false" hidden="true" name="IQ_EST_ACT_CFPS_REUT" vbProcedure="false">"c3850"</definedName>
    <definedName function="false" hidden="true" name="IQ_EST_ACT_DPS_REUT" vbProcedure="false">"c3857"</definedName>
    <definedName function="false" hidden="true" name="IQ_EST_ACT_EBITDA_REUT" vbProcedure="false">"c3836"</definedName>
    <definedName function="false" hidden="true" name="IQ_EST_ACT_EBIT_REUT" vbProcedure="false">"c5339"</definedName>
    <definedName function="false" hidden="true" name="IQ_EST_ACT_EPS_GW_REUT" vbProcedure="false">"c5395"</definedName>
    <definedName function="false" hidden="true" name="IQ_EST_ACT_EPS_NORM_REUT" vbProcedure="false">"c5332"</definedName>
    <definedName function="false" hidden="true" name="IQ_EST_ACT_EPS_PRIMARY" vbProcedure="false">"c2232"</definedName>
    <definedName function="false" hidden="true" name="IQ_EST_ACT_EPS_REPORTED_REUT" vbProcedure="false">"c5402"</definedName>
    <definedName function="false" hidden="true" name="IQ_EST_ACT_EPS_REUT" vbProcedure="false">"c5457"</definedName>
    <definedName function="false" hidden="true" name="IQ_EST_ACT_FFO_REUT" vbProcedure="false">"c3843"</definedName>
    <definedName function="false" hidden="true" name="IQ_EST_ACT_FFO_SHARE_SHARE_REUT" vbProcedure="false">"c3843"</definedName>
    <definedName function="false" hidden="true" name="IQ_EST_ACT_FFO_SHARE_SHARE_THOM" vbProcedure="false">"c4005"</definedName>
    <definedName function="false" hidden="true" name="IQ_EST_ACT_FFO_THOM" vbProcedure="false">"c4005"</definedName>
    <definedName function="false" hidden="true" name="IQ_EST_ACT_NAV_SHARE_REUT" vbProcedure="false">"c5616"</definedName>
    <definedName function="false" hidden="true" name="IQ_EST_ACT_NET_DEBT_REUT" vbProcedure="false">"c5446"</definedName>
    <definedName function="false" hidden="true" name="IQ_EST_ACT_NI_GW_REUT" vbProcedure="false">"c5381"</definedName>
    <definedName function="false" hidden="true" name="IQ_EST_ACT_NI_GW_THOM" vbProcedure="false">"c5139"</definedName>
    <definedName function="false" hidden="true" name="IQ_EST_ACT_NI_REPORTED_REUT" vbProcedure="false">"c5388"</definedName>
    <definedName function="false" hidden="true" name="IQ_EST_ACT_NI_REUT" vbProcedure="false">"c5374"</definedName>
    <definedName function="false" hidden="true" name="IQ_EST_ACT_OPER_INC_REUT" vbProcedure="false">"c5346"</definedName>
    <definedName function="false" hidden="true" name="IQ_EST_ACT_PRETAX_GW_INC_REUT" vbProcedure="false">"c5360"</definedName>
    <definedName function="false" hidden="true" name="IQ_EST_ACT_PRETAX_INC_REUT" vbProcedure="false">"c5353"</definedName>
    <definedName function="false" hidden="true" name="IQ_EST_ACT_PRETAX_REPORT_INC_REUT" vbProcedure="false">"c5367"</definedName>
    <definedName function="false" hidden="true" name="IQ_EST_ACT_RETURN_ASSETS_REUT" vbProcedure="false">"c3996"</definedName>
    <definedName function="false" hidden="true" name="IQ_EST_ACT_RETURN_EQUITY_REUT" vbProcedure="false">"c3989"</definedName>
    <definedName function="false" hidden="true" name="IQ_EST_ACT_REV_REUT" vbProcedure="false">"c3835"</definedName>
    <definedName function="false" hidden="true" name="IQ_EST_BV_DIFF_REUT" vbProcedure="false">"c5433"</definedName>
    <definedName function="false" hidden="true" name="IQ_EST_BV_DIFF_THOM" vbProcedure="false">"c5204"</definedName>
    <definedName function="false" hidden="true" name="IQ_EST_BV_SURPRISE_PERCENT_REUT" vbProcedure="false">"c5434"</definedName>
    <definedName function="false" hidden="true" name="IQ_EST_BV_SURPRISE_PERCENT_THOM" vbProcedure="false">"c5205"</definedName>
    <definedName function="false" hidden="true" name="IQ_EST_CAPEX_GROWTH_1YR_REUT" vbProcedure="false">"c5447"</definedName>
    <definedName function="false" hidden="true" name="IQ_EST_CAPEX_GROWTH_2YR_REUT" vbProcedure="false">"c5448"</definedName>
    <definedName function="false" hidden="true" name="IQ_EST_CAPEX_GROWTH_Q_1YR_REUT" vbProcedure="false">"c5449"</definedName>
    <definedName function="false" hidden="true" name="IQ_EST_CAPEX_SEQ_GROWTH_Q_REUT" vbProcedure="false">"c5450"</definedName>
    <definedName function="false" hidden="true" name="IQ_EST_CFPS_DIFF_REUT" vbProcedure="false">"c3892"</definedName>
    <definedName function="false" hidden="true" name="IQ_EST_CFPS_GROWTH_1YR_REUT" vbProcedure="false">"c3878"</definedName>
    <definedName function="false" hidden="true" name="IQ_EST_CFPS_GROWTH_2YR_REUT" vbProcedure="false">"c3879"</definedName>
    <definedName function="false" hidden="true" name="IQ_EST_CFPS_GROWTH_Q_1YR_REUT" vbProcedure="false">"c3880"</definedName>
    <definedName function="false" hidden="true" name="IQ_EST_CFPS_SEQ_GROWTH_Q_REUT" vbProcedure="false">"c3881"</definedName>
    <definedName function="false" hidden="true" name="IQ_EST_CFPS_SURPRISE_PERCENT_REUT" vbProcedure="false">"c3893"</definedName>
    <definedName function="false" hidden="true" name="IQ_EST_CURRENCY_REUT" vbProcedure="false">"c5437"</definedName>
    <definedName function="false" hidden="true" name="IQ_EST_DATE_REUT" vbProcedure="false">"c5438"</definedName>
    <definedName function="false" hidden="true" name="IQ_EST_DPS_DIFF_REUT" vbProcedure="false">"c3894"</definedName>
    <definedName function="false" hidden="true" name="IQ_EST_DPS_GROWTH_1YR_REUT" vbProcedure="false">"c3882"</definedName>
    <definedName function="false" hidden="true" name="IQ_EST_DPS_GROWTH_2YR_REUT" vbProcedure="false">"c3883"</definedName>
    <definedName function="false" hidden="true" name="IQ_EST_DPS_GROWTH_Q_1YR_REUT" vbProcedure="false">"c3884"</definedName>
    <definedName function="false" hidden="true" name="IQ_EST_DPS_SEQ_GROWTH_Q_REUT" vbProcedure="false">"c3885"</definedName>
    <definedName function="false" hidden="true" name="IQ_EST_DPS_SURPRISE_PERCENT_REUT" vbProcedure="false">"c3895"</definedName>
    <definedName function="false" hidden="true" name="IQ_EST_EBITDA_DIFF_REUT" vbProcedure="false">"c3888"</definedName>
    <definedName function="false" hidden="true" name="IQ_EST_EBITDA_GROWTH_1YR_REUT" vbProcedure="false">"c3864"</definedName>
    <definedName function="false" hidden="true" name="IQ_EST_EBITDA_GROWTH_2YR_REUT" vbProcedure="false">"c3865"</definedName>
    <definedName function="false" hidden="true" name="IQ_EST_EBITDA_GROWTH_Q_1YR_REUT" vbProcedure="false">"c3866"</definedName>
    <definedName function="false" hidden="true" name="IQ_EST_EBITDA_SEQ_GROWTH_Q_REUT" vbProcedure="false">"c3867"</definedName>
    <definedName function="false" hidden="true" name="IQ_EST_EBITDA_SURPRISE_PERCENT_REUT" vbProcedure="false">"c3889"</definedName>
    <definedName function="false" hidden="true" name="IQ_EST_EBIT_DIFF_REUT" vbProcedure="false">"c5413"</definedName>
    <definedName function="false" hidden="true" name="IQ_EST_EBIT_SURPRISE_PERCENT_REUT" vbProcedure="false">"c5414"</definedName>
    <definedName function="false" hidden="true" name="IQ_EST_EPS_DIFF_REUT" vbProcedure="false">"c5458"</definedName>
    <definedName function="false" hidden="true" name="IQ_EST_EPS_GROWTH_1YR_REUT" vbProcedure="false">"c3646"</definedName>
    <definedName function="false" hidden="true" name="IQ_EST_EPS_GROWTH_2YR_REUT" vbProcedure="false">"c3858"</definedName>
    <definedName function="false" hidden="true" name="IQ_EST_EPS_GROWTH_5YR_BOTTOM_UP_REUT" vbProcedure="false">"c5495"</definedName>
    <definedName function="false" hidden="true" name="IQ_EST_EPS_GROWTH_5YR_HIGH_REUT" vbProcedure="false">"c5322"</definedName>
    <definedName function="false" hidden="true" name="IQ_EST_EPS_GROWTH_5YR_LOW_REUT" vbProcedure="false">"c5323"</definedName>
    <definedName function="false" hidden="true" name="IQ_EST_EPS_GROWTH_5YR_MEDIAN_REUT" vbProcedure="false">"c5321"</definedName>
    <definedName function="false" hidden="true" name="IQ_EST_EPS_GROWTH_5YR_NUM_REUT" vbProcedure="false">"c5324"</definedName>
    <definedName function="false" hidden="true" name="IQ_EST_EPS_GROWTH_5YR_REUT" vbProcedure="false">"c3633"</definedName>
    <definedName function="false" hidden="true" name="IQ_EST_EPS_GROWTH_5YR_STDDEV_REUT" vbProcedure="false">"c5325"</definedName>
    <definedName function="false" hidden="true" name="IQ_EST_EPS_GROWTH_Q_1YR_REUT" vbProcedure="false">"c5410"</definedName>
    <definedName function="false" hidden="true" name="IQ_EST_EPS_GW_DIFF_REUT" vbProcedure="false">"c5429"</definedName>
    <definedName function="false" hidden="true" name="IQ_EST_EPS_GW_SURPRISE_PERCENT_REUT" vbProcedure="false">"c5430"</definedName>
    <definedName function="false" hidden="true" name="IQ_EST_EPS_NORM_DIFF_REUT" vbProcedure="false">"c5411"</definedName>
    <definedName function="false" hidden="true" name="IQ_EST_EPS_NORM_SURPRISE_PERCENT_REUT" vbProcedure="false">"c5412"</definedName>
    <definedName function="false" hidden="true" name="IQ_EST_EPS_REPORT_DIFF_REUT" vbProcedure="false">"c5431"</definedName>
    <definedName function="false" hidden="true" name="IQ_EST_EPS_REPORT_SURPRISE_PERCENT_REUT" vbProcedure="false">"c5432"</definedName>
    <definedName function="false" hidden="true" name="IQ_EST_EPS_SEQ_GROWTH_Q_REUT" vbProcedure="false">"c3859"</definedName>
    <definedName function="false" hidden="true" name="IQ_EST_EPS_SURPRISE" vbProcedure="false">"c1635"</definedName>
    <definedName function="false" hidden="true" name="IQ_EST_EPS_SURPRISE_PERCENT_REUT" vbProcedure="false">"c5459"</definedName>
    <definedName function="false" hidden="true" name="IQ_EST_FFO_DIFF_REUT" vbProcedure="false">"c3890"</definedName>
    <definedName function="false" hidden="true" name="IQ_EST_FFO_DIFF_THOM" vbProcedure="false">"c5186"</definedName>
    <definedName function="false" hidden="true" name="IQ_EST_FFO_GROWTH_1YR_REUT" vbProcedure="false">"c3874"</definedName>
    <definedName function="false" hidden="true" name="IQ_EST_FFO_GROWTH_2YR_REUT" vbProcedure="false">"c3875"</definedName>
    <definedName function="false" hidden="true" name="IQ_EST_FFO_GROWTH_Q_1YR_REUT" vbProcedure="false">"c3876"</definedName>
    <definedName function="false" hidden="true" name="IQ_EST_FFO_SEQ_GROWTH_Q_REUT" vbProcedure="false">"c3877"</definedName>
    <definedName function="false" hidden="true" name="IQ_EST_FFO_SHARE_SHARE_DIFF_REUT" vbProcedure="false">"c3890"</definedName>
    <definedName function="false" hidden="true" name="IQ_EST_FFO_SHARE_SHARE_DIFF_THOM" vbProcedure="false">"c5186"</definedName>
    <definedName function="false" hidden="true" name="IQ_EST_FFO_SHARE_SHARE_SURPRISE_PERCENT_REUT" vbProcedure="false">"c3891"</definedName>
    <definedName function="false" hidden="true" name="IQ_EST_FFO_SHARE_SHARE_SURPRISE_PERCENT_THOM" vbProcedure="false">"c5187"</definedName>
    <definedName function="false" hidden="true" name="IQ_EST_FFO_SURPRISE_PERCENT_REUT" vbProcedure="false">"c3891"</definedName>
    <definedName function="false" hidden="true" name="IQ_EST_FFO_SURPRISE_PERCENT_THOM" vbProcedure="false">"c5187"</definedName>
    <definedName function="false" hidden="true" name="IQ_EST_FOOTNOTE_REUT" vbProcedure="false">"c5478"</definedName>
    <definedName function="false" hidden="true" name="IQ_EST_NI_DIFF_REUT" vbProcedure="false">"c5423"</definedName>
    <definedName function="false" hidden="true" name="IQ_EST_NI_GW_DIFF_REUT" vbProcedure="false">"c5425"</definedName>
    <definedName function="false" hidden="true" name="IQ_EST_NI_GW_DIFF_THOM" vbProcedure="false">"c5200"</definedName>
    <definedName function="false" hidden="true" name="IQ_EST_NI_GW_SURPRISE_PERCENT_REUT" vbProcedure="false">"c5426"</definedName>
    <definedName function="false" hidden="true" name="IQ_EST_NI_GW_SURPRISE_PERCENT_THOM" vbProcedure="false">"c5201"</definedName>
    <definedName function="false" hidden="true" name="IQ_EST_NI_REPORT_DIFF_REUT" vbProcedure="false">"c5427"</definedName>
    <definedName function="false" hidden="true" name="IQ_EST_NI_REPORT_SURPRISE_PERCENT_REUT" vbProcedure="false">"c5428"</definedName>
    <definedName function="false" hidden="true" name="IQ_EST_NI_SURPRISE_PERCENT_REUT" vbProcedure="false">"c5424"</definedName>
    <definedName function="false" hidden="true" name="IQ_EST_NUM_BUY_CIQ" vbProcedure="false">"c3700"</definedName>
    <definedName function="false" hidden="true" name="IQ_EST_NUM_BUY_REUT" vbProcedure="false">"c3869"</definedName>
    <definedName function="false" hidden="true" name="IQ_EST_NUM_BUY_THOM" vbProcedure="false">"c5165"</definedName>
    <definedName function="false" hidden="true" name="IQ_EST_NUM_HIGHEST_REC_REUT" vbProcedure="false">"c3869"</definedName>
    <definedName function="false" hidden="true" name="IQ_EST_NUM_HIGH_REC_REUT" vbProcedure="false">"c3870"</definedName>
    <definedName function="false" hidden="true" name="IQ_EST_NUM_HOLD_CIQ" vbProcedure="false">"c3702"</definedName>
    <definedName function="false" hidden="true" name="IQ_EST_NUM_HOLD_REUT" vbProcedure="false">"c3871"</definedName>
    <definedName function="false" hidden="true" name="IQ_EST_NUM_HOLD_THOM" vbProcedure="false">"c5167"</definedName>
    <definedName function="false" hidden="true" name="IQ_EST_NUM_LOWEST_REC_REUT" vbProcedure="false">"c3873"</definedName>
    <definedName function="false" hidden="true" name="IQ_EST_NUM_LOW_REC_REUT" vbProcedure="false">"c3872"</definedName>
    <definedName function="false" hidden="true" name="IQ_EST_NUM_NEUTRAL_REC_REUT" vbProcedure="false">"c3871"</definedName>
    <definedName function="false" hidden="true" name="IQ_EST_NUM_NO_OPINION_REUT" vbProcedure="false">"c3868"</definedName>
    <definedName function="false" hidden="true" name="IQ_EST_NUM_OUTPERFORM_CIQ" vbProcedure="false">"c3701"</definedName>
    <definedName function="false" hidden="true" name="IQ_EST_NUM_OUTPERFORM_REUT" vbProcedure="false">"c3870"</definedName>
    <definedName function="false" hidden="true" name="IQ_EST_NUM_OUTPERFORM_THOM" vbProcedure="false">"c5166"</definedName>
    <definedName function="false" hidden="true" name="IQ_EST_NUM_SELL_CIQ" vbProcedure="false">"c3704"</definedName>
    <definedName function="false" hidden="true" name="IQ_EST_NUM_SELL_REUT" vbProcedure="false">"c3873"</definedName>
    <definedName function="false" hidden="true" name="IQ_EST_NUM_SELL_THOM" vbProcedure="false">"c5169"</definedName>
    <definedName function="false" hidden="true" name="IQ_EST_NUM_UNDERPERFORM_CIQ" vbProcedure="false">"c3703"</definedName>
    <definedName function="false" hidden="true" name="IQ_EST_NUM_UNDERPERFORM_REUT" vbProcedure="false">"c3872"</definedName>
    <definedName function="false" hidden="true" name="IQ_EST_NUM_UNDERPERFORM_THOM" vbProcedure="false">"c5168"</definedName>
    <definedName function="false" hidden="true" name="IQ_EST_OPER_INC_DIFF_REUT" vbProcedure="false">"c5415"</definedName>
    <definedName function="false" hidden="true" name="IQ_EST_OPER_INC_SURPRISE_PERCENT_REUT" vbProcedure="false">"c5416"</definedName>
    <definedName function="false" hidden="true" name="IQ_EST_PRE_TAX_DIFF_REUT" vbProcedure="false">"c5417"</definedName>
    <definedName function="false" hidden="true" name="IQ_EST_PRE_TAX_GW_DIFF_REUT" vbProcedure="false">"c5419"</definedName>
    <definedName function="false" hidden="true" name="IQ_EST_PRE_TAX_GW_SURPRISE_PERCENT_REUT" vbProcedure="false">"c5420"</definedName>
    <definedName function="false" hidden="true" name="IQ_EST_PRE_TAX_REPORT_DIFF_REUT" vbProcedure="false">"c5421"</definedName>
    <definedName function="false" hidden="true" name="IQ_EST_PRE_TAX_REPORT_SURPRISE_PERCENT_REUT" vbProcedure="false">"c5422"</definedName>
    <definedName function="false" hidden="true" name="IQ_EST_PRE_TAX_SURPRISE_PERCENT_REUT" vbProcedure="false">"c5418"</definedName>
    <definedName function="false" hidden="true" name="IQ_EST_REUT_ACT_CAPEX" vbProcedure="false">"c3975"</definedName>
    <definedName function="false" hidden="true" name="IQ_EST_REV_DIFF_REUT" vbProcedure="false">"c3886"</definedName>
    <definedName function="false" hidden="true" name="IQ_EST_REV_GROWTH_1YR_REUT" vbProcedure="false">"c3860"</definedName>
    <definedName function="false" hidden="true" name="IQ_EST_REV_GROWTH_2YR_REUT" vbProcedure="false">"c3861"</definedName>
    <definedName function="false" hidden="true" name="IQ_EST_REV_GROWTH_Q_1YR_REUT" vbProcedure="false">"c3862"</definedName>
    <definedName function="false" hidden="true" name="IQ_EST_REV_SEQ_GROWTH_Q_REUT" vbProcedure="false">"c3863"</definedName>
    <definedName function="false" hidden="true" name="IQ_EST_REV_SURPRISE_PERCENT_REUT" vbProcedure="false">"c3887"</definedName>
    <definedName function="false" hidden="true" name="IQ_EV_OVER_REVENUE_EST" vbProcedure="false">"c165"</definedName>
    <definedName function="false" hidden="true" name="IQ_EV_OVER_REVENUE_EST_1" vbProcedure="false">"c166"</definedName>
    <definedName function="false" hidden="false" name="IQ_EXPENSE_CODE_" vbProcedure="false">1360</definedName>
    <definedName function="false" hidden="true" name="IQ_EXPENSE_CODE__1" vbProcedure="false">"032"</definedName>
    <definedName function="false" hidden="true" name="IQ_EXPORTS_APR_FC_UNUSED_UNUSED_UNUSED" vbProcedure="false">"c8401"</definedName>
    <definedName function="false" hidden="true" name="IQ_EXPORTS_APR_UNUSED_UNUSED_UNUSED" vbProcedure="false">"c7521"</definedName>
    <definedName function="false" hidden="true" name="IQ_EXPORTS_FC_UNUSED_UNUSED_UNUSED" vbProcedure="false">"c7741"</definedName>
    <definedName function="false" hidden="true" name="IQ_EXPORTS_GOODS_REAL_SAAR_APR_FC_UNUSED_UNUSED_UNUSED" vbProcedure="false">"c8512"</definedName>
    <definedName function="false" hidden="true" name="IQ_EXPORTS_GOODS_REAL_SAAR_APR_UNUSED_UNUSED_UNUSED" vbProcedure="false">"c7632"</definedName>
    <definedName function="false" hidden="true" name="IQ_EXPORTS_GOODS_REAL_SAAR_FC_UNUSED_UNUSED_UNUSED" vbProcedure="false">"c7852"</definedName>
    <definedName function="false" hidden="true" name="IQ_EXPORTS_GOODS_REAL_SAAR_POP_FC_UNUSED_UNUSED_UNUSED" vbProcedure="false">"c8072"</definedName>
    <definedName function="false" hidden="true" name="IQ_EXPORTS_GOODS_REAL_SAAR_POP_UNUSED_UNUSED_UNUSED" vbProcedure="false">"c7192"</definedName>
    <definedName function="false" hidden="true" name="IQ_EXPORTS_GOODS_REAL_SAAR_UNUSED_UNUSED_UNUSED" vbProcedure="false">"c6972"</definedName>
    <definedName function="false" hidden="true" name="IQ_EXPORTS_GOODS_REAL_SAAR_YOY_FC_UNUSED_UNUSED_UNUSED" vbProcedure="false">"c8292"</definedName>
    <definedName function="false" hidden="true" name="IQ_EXPORTS_GOODS_REAL_SAAR_YOY_UNUSED_UNUSED_UNUSED" vbProcedure="false">"c7412"</definedName>
    <definedName function="false" hidden="true" name="IQ_EXPORTS_POP_FC_UNUSED_UNUSED_UNUSED" vbProcedure="false">"c7961"</definedName>
    <definedName function="false" hidden="true" name="IQ_EXPORTS_POP_UNUSED_UNUSED_UNUSED" vbProcedure="false">"c7081"</definedName>
    <definedName function="false" hidden="true" name="IQ_EXPORTS_SERVICES_REAL_SAAR_APR_FC_UNUSED_UNUSED_UNUSED" vbProcedure="false">"c8516"</definedName>
    <definedName function="false" hidden="true" name="IQ_EXPORTS_SERVICES_REAL_SAAR_APR_UNUSED_UNUSED_UNUSED" vbProcedure="false">"c7636"</definedName>
    <definedName function="false" hidden="true" name="IQ_EXPORTS_SERVICES_REAL_SAAR_FC_UNUSED_UNUSED_UNUSED" vbProcedure="false">"c7856"</definedName>
    <definedName function="false" hidden="true" name="IQ_EXPORTS_SERVICES_REAL_SAAR_POP_FC_UNUSED_UNUSED_UNUSED" vbProcedure="false">"c8076"</definedName>
    <definedName function="false" hidden="true" name="IQ_EXPORTS_SERVICES_REAL_SAAR_POP_UNUSED_UNUSED_UNUSED" vbProcedure="false">"c7196"</definedName>
    <definedName function="false" hidden="true" name="IQ_EXPORTS_SERVICES_REAL_SAAR_UNUSED_UNUSED_UNUSED" vbProcedure="false">"c6976"</definedName>
    <definedName function="false" hidden="true" name="IQ_EXPORTS_SERVICES_REAL_SAAR_YOY_FC_UNUSED_UNUSED_UNUSED" vbProcedure="false">"c8296"</definedName>
    <definedName function="false" hidden="true" name="IQ_EXPORTS_SERVICES_REAL_SAAR_YOY_UNUSED_UNUSED_UNUSED" vbProcedure="false">"c7416"</definedName>
    <definedName function="false" hidden="true" name="IQ_EXPORTS_UNUSED_UNUSED_UNUSED" vbProcedure="false">"c6861"</definedName>
    <definedName function="false" hidden="true" name="IQ_EXPORTS_YOY_FC_UNUSED_UNUSED_UNUSED" vbProcedure="false">"c8181"</definedName>
    <definedName function="false" hidden="true" name="IQ_EXPORTS_YOY_UNUSED_UNUSED_UNUSED" vbProcedure="false">"c7301"</definedName>
    <definedName function="false" hidden="true" name="IQ_EXP_RETTRN_PENSION_FOREIGN" vbProcedure="false">"c408"</definedName>
    <definedName function="false" hidden="true" name="IQ_EXTRAORDINARY_GAINS_FDIC" vbProcedure="false">"c6586"</definedName>
    <definedName function="false" hidden="true" name="IQ_EXTRA_ACC_ATEMS_BR" vbProcedure="false">"c412"</definedName>
    <definedName function="false" hidden="true" name="IQ_EXTRA_ACC_ITEMS_BR" vbProcedure="false">"c412"</definedName>
    <definedName function="false" hidden="true" name="IQ_FAIR_VALUE_FDIC" vbProcedure="false">"c6427"</definedName>
    <definedName function="false" hidden="true" name="IQ_FARMLAND_LOANS_FDIC" vbProcedure="false">"c6314"</definedName>
    <definedName function="false" hidden="true" name="IQ_FARM_LOANS_NET_FDIC" vbProcedure="false">"c6316"</definedName>
    <definedName function="false" hidden="true" name="IQ_FARM_LOANS_TOTAL_LOANS_FOREIGN_FDIC" vbProcedure="false">"c6450"</definedName>
    <definedName function="false" hidden="true" name="IQ_FED_FUNDS_PURCHASED_FDIC" vbProcedure="false">"c6343"</definedName>
    <definedName function="false" hidden="true" name="IQ_FED_FUNDS_SOLD_FDIC" vbProcedure="false">"c6307"</definedName>
    <definedName function="false" hidden="true" name="IQ_FFO_ADJ_EST_CIQ" vbProcedure="false">"c4959"</definedName>
    <definedName function="false" hidden="true" name="IQ_FFO_ADJ_HIGH_EST_CIQ" vbProcedure="false">"c4962"</definedName>
    <definedName function="false" hidden="true" name="IQ_FFO_ADJ_LOW_EST_CIQ" vbProcedure="false">"c4963"</definedName>
    <definedName function="false" hidden="true" name="IQ_FFO_ADJ_MEDIAN_EST_CIQ" vbProcedure="false">"c4964"</definedName>
    <definedName function="false" hidden="true" name="IQ_FFO_ADJ_NUM_EST_CIQ" vbProcedure="false">"c4965"</definedName>
    <definedName function="false" hidden="true" name="IQ_FFO_ADJ_STDDEV_EST_CIQ" vbProcedure="false">"c4966"</definedName>
    <definedName function="false" hidden="true" name="IQ_FFO_EST_CIQ" vbProcedure="false">"c4970"</definedName>
    <definedName function="false" hidden="true" name="IQ_FFO_EST_DET_EST" vbProcedure="false">"c12059"</definedName>
    <definedName function="false" hidden="true" name="IQ_FFO_EST_DET_EST_CIQ" vbProcedure="false">"c12121"</definedName>
    <definedName function="false" hidden="true" name="IQ_FFO_EST_DET_EST_CURRENCY" vbProcedure="false">"c12466"</definedName>
    <definedName function="false" hidden="true" name="IQ_FFO_EST_DET_EST_CURRENCY_CIQ" vbProcedure="false">"c12512"</definedName>
    <definedName function="false" hidden="true" name="IQ_FFO_EST_DET_EST_CURRENCY_REUT" vbProcedure="false">"c12536"</definedName>
    <definedName function="false" hidden="true" name="IQ_FFO_EST_DET_EST_CURRENCY_THOM" vbProcedure="false">"c12487"</definedName>
    <definedName function="false" hidden="true" name="IQ_FFO_EST_DET_EST_DATE" vbProcedure="false">"c12212"</definedName>
    <definedName function="false" hidden="true" name="IQ_FFO_EST_DET_EST_DATE_CIQ" vbProcedure="false">"c12267"</definedName>
    <definedName function="false" hidden="true" name="IQ_FFO_EST_DET_EST_DATE_REUT" vbProcedure="false">"c12295"</definedName>
    <definedName function="false" hidden="true" name="IQ_FFO_EST_DET_EST_DATE_THOM" vbProcedure="false">"c12238"</definedName>
    <definedName function="false" hidden="true" name="IQ_FFO_EST_DET_EST_INCL" vbProcedure="false">"c12349"</definedName>
    <definedName function="false" hidden="true" name="IQ_FFO_EST_DET_EST_INCL_CIQ" vbProcedure="false">"c12395"</definedName>
    <definedName function="false" hidden="true" name="IQ_FFO_EST_DET_EST_INCL_REUT" vbProcedure="false">"c12419"</definedName>
    <definedName function="false" hidden="true" name="IQ_FFO_EST_DET_EST_INCL_THOM" vbProcedure="false">"c12370"</definedName>
    <definedName function="false" hidden="true" name="IQ_FFO_EST_DET_EST_ORIGIN" vbProcedure="false">"c12722"</definedName>
    <definedName function="false" hidden="true" name="IQ_FFO_EST_DET_EST_ORIGIN_CIQ" vbProcedure="false">"c12720"</definedName>
    <definedName function="false" hidden="true" name="IQ_FFO_EST_DET_EST_ORIGIN_REUT" vbProcedure="false">"c12724"</definedName>
    <definedName function="false" hidden="true" name="IQ_FFO_EST_DET_EST_ORIGIN_THOM" vbProcedure="false">"c12608"</definedName>
    <definedName function="false" hidden="true" name="IQ_FFO_EST_DET_EST_REUT" vbProcedure="false">"c12153"</definedName>
    <definedName function="false" hidden="true" name="IQ_FFO_EST_DET_EST_THOM" vbProcedure="false">"c12088"</definedName>
    <definedName function="false" hidden="true" name="IQ_FFO_EST_REUT" vbProcedure="false">"c3837"</definedName>
    <definedName function="false" hidden="true" name="IQ_FFO_EST_THOM" vbProcedure="false">"c3999"</definedName>
    <definedName function="false" hidden="true" name="IQ_FFO_HIGH_EST_CIQ" vbProcedure="false">"c4977"</definedName>
    <definedName function="false" hidden="true" name="IQ_FFO_HIGH_EST_REUT" vbProcedure="false">"c3839"</definedName>
    <definedName function="false" hidden="true" name="IQ_FFO_HIGH_EST_THOM" vbProcedure="false">"c4001"</definedName>
    <definedName function="false" hidden="true" name="IQ_FFO_LOW_EST_CIQ" vbProcedure="false">"c4978"</definedName>
    <definedName function="false" hidden="true" name="IQ_FFO_LOW_EST_REUT" vbProcedure="false">"c3840"</definedName>
    <definedName function="false" hidden="true" name="IQ_FFO_LOW_EST_THOM" vbProcedure="false">"c4002"</definedName>
    <definedName function="false" hidden="true" name="IQ_FFO_MEDIAN_EST_CIQ" vbProcedure="false">"c4979"</definedName>
    <definedName function="false" hidden="true" name="IQ_FFO_MEDIAN_EST_REUT" vbProcedure="false">"c3838"</definedName>
    <definedName function="false" hidden="true" name="IQ_FFO_MEDIAN_EST_THOM" vbProcedure="false">"c4000"</definedName>
    <definedName function="false" hidden="true" name="IQ_FFO_NO_EST" vbProcedure="false">"c276"</definedName>
    <definedName function="false" hidden="true" name="IQ_FFO_NUM_EST_CIQ" vbProcedure="false">"c4980"</definedName>
    <definedName function="false" hidden="true" name="IQ_FFO_NUM_EST_REUT" vbProcedure="false">"c3841"</definedName>
    <definedName function="false" hidden="true" name="IQ_FFO_NUM_EST_THOM" vbProcedure="false">"c4003"</definedName>
    <definedName function="false" hidden="true" name="IQ_FFO_SHARE_SHARE_EST_DET_EST" vbProcedure="false">"c12059"</definedName>
    <definedName function="false" hidden="true" name="IQ_FFO_SHARE_SHARE_EST_DET_EST_CIQ" vbProcedure="false">"c12121"</definedName>
    <definedName function="false" hidden="true" name="IQ_FFO_SHARE_SHARE_EST_DET_EST_CURRENCY" vbProcedure="false">"c12466"</definedName>
    <definedName function="false" hidden="true" name="IQ_FFO_SHARE_SHARE_EST_DET_EST_CURRENCY_CIQ" vbProcedure="false">"c12512"</definedName>
    <definedName function="false" hidden="true" name="IQ_FFO_SHARE_SHARE_EST_DET_EST_CURRENCY_REUT" vbProcedure="false">"c12536"</definedName>
    <definedName function="false" hidden="true" name="IQ_FFO_SHARE_SHARE_EST_DET_EST_CURRENCY_THOM" vbProcedure="false">"c12487"</definedName>
    <definedName function="false" hidden="true" name="IQ_FFO_SHARE_SHARE_EST_DET_EST_DATE" vbProcedure="false">"c12212"</definedName>
    <definedName function="false" hidden="true" name="IQ_FFO_SHARE_SHARE_EST_DET_EST_DATE_CIQ" vbProcedure="false">"c12267"</definedName>
    <definedName function="false" hidden="true" name="IQ_FFO_SHARE_SHARE_EST_DET_EST_DATE_REUT" vbProcedure="false">"c12295"</definedName>
    <definedName function="false" hidden="true" name="IQ_FFO_SHARE_SHARE_EST_DET_EST_DATE_THOM" vbProcedure="false">"c12238"</definedName>
    <definedName function="false" hidden="true" name="IQ_FFO_SHARE_SHARE_EST_DET_EST_INCL" vbProcedure="false">"c12349"</definedName>
    <definedName function="false" hidden="true" name="IQ_FFO_SHARE_SHARE_EST_DET_EST_INCL_CIQ" vbProcedure="false">"c12395"</definedName>
    <definedName function="false" hidden="true" name="IQ_FFO_SHARE_SHARE_EST_DET_EST_INCL_REUT" vbProcedure="false">"c12419"</definedName>
    <definedName function="false" hidden="true" name="IQ_FFO_SHARE_SHARE_EST_DET_EST_INCL_THOM" vbProcedure="false">"c12370"</definedName>
    <definedName function="false" hidden="true" name="IQ_FFO_SHARE_SHARE_EST_DET_EST_ORIGIN" vbProcedure="false">"c12722"</definedName>
    <definedName function="false" hidden="true" name="IQ_FFO_SHARE_SHARE_EST_DET_EST_ORIGIN_CIQ" vbProcedure="false">"c12720"</definedName>
    <definedName function="false" hidden="true" name="IQ_FFO_SHARE_SHARE_EST_DET_EST_ORIGIN_REUT" vbProcedure="false">"c12724"</definedName>
    <definedName function="false" hidden="true" name="IQ_FFO_SHARE_SHARE_EST_DET_EST_ORIGIN_THOM" vbProcedure="false">"c12608"</definedName>
    <definedName function="false" hidden="true" name="IQ_FFO_SHARE_SHARE_EST_DET_EST_REUT" vbProcedure="false">"c12153"</definedName>
    <definedName function="false" hidden="true" name="IQ_FFO_SHARE_SHARE_EST_DET_EST_THOM" vbProcedure="false">"c12088"</definedName>
    <definedName function="false" hidden="true" name="IQ_FFO_SHARE_SHARE_EST_REUT" vbProcedure="false">"c3837"</definedName>
    <definedName function="false" hidden="true" name="IQ_FFO_SHARE_SHARE_EST_THOM" vbProcedure="false">"c3999"</definedName>
    <definedName function="false" hidden="true" name="IQ_FFO_SHARE_SHARE_HIGH_EST_REUT" vbProcedure="false">"c3839"</definedName>
    <definedName function="false" hidden="true" name="IQ_FFO_SHARE_SHARE_HIGH_EST_THOM" vbProcedure="false">"c4001"</definedName>
    <definedName function="false" hidden="true" name="IQ_FFO_SHARE_SHARE_LOW_EST_REUT" vbProcedure="false">"c3840"</definedName>
    <definedName function="false" hidden="true" name="IQ_FFO_SHARE_SHARE_LOW_EST_THOM" vbProcedure="false">"c4002"</definedName>
    <definedName function="false" hidden="true" name="IQ_FFO_SHARE_SHARE_MEDIAN_EST_REUT" vbProcedure="false">"c3838"</definedName>
    <definedName function="false" hidden="true" name="IQ_FFO_SHARE_SHARE_MEDIAN_EST_THOM" vbProcedure="false">"c4000"</definedName>
    <definedName function="false" hidden="true" name="IQ_FFO_SHARE_SHARE_NUM_EST_REUT" vbProcedure="false">"c3841"</definedName>
    <definedName function="false" hidden="true" name="IQ_FFO_SHARE_SHARE_NUM_EST_THOM" vbProcedure="false">"c4003"</definedName>
    <definedName function="false" hidden="true" name="IQ_FFO_SHARE_SHARE_STDDEV_EST_REUT" vbProcedure="false">"c3842"</definedName>
    <definedName function="false" hidden="true" name="IQ_FFO_SHARE_SHARE_STDDEV_EST_THOM" vbProcedure="false">"c4004"</definedName>
    <definedName function="false" hidden="true" name="IQ_FFO_STDDEV_EST_CIQ" vbProcedure="false">"c4981"</definedName>
    <definedName function="false" hidden="true" name="IQ_FFO_STDDEV_EST_REUT" vbProcedure="false">"c3842"</definedName>
    <definedName function="false" hidden="true" name="IQ_FFO_STDDEV_EST_THOM" vbProcedure="false">"c4004"</definedName>
    <definedName function="false" hidden="false" name="IQ_FH" vbProcedure="false">100000</definedName>
    <definedName function="false" hidden="true" name="IQ_FHLB_ADVANCES_FDIC" vbProcedure="false">"c6366"</definedName>
    <definedName function="false" hidden="true" name="IQ_FHLB_DUE_AFTER_FIVE" vbProcedure="false">"c2086"</definedName>
    <definedName function="false" hidden="true" name="IQ_FHLB_DUE_NEXTVFIVE" vbProcedure="false">"c2085"</definedName>
    <definedName function="false" hidden="true" name="IQ_FIDUCIARY_ACTIVITIES_FDIC" vbProcedure="false">"c6571"</definedName>
    <definedName function="false" hidden="true" name="IQ_FIFETEEN_YEAR_FIXED_AND_FLOATING_RATE_FDIC" vbProcedure="false">"c6423"</definedName>
    <definedName function="false" hidden="true" name="IQ_FIFETEEN_YEAR_MORTGAGE_PASS_THROUGHS_FDIC" vbProcedure="false">"c6415"</definedName>
    <definedName function="false" hidden="true" name="IQ_FII_12M_RETURN" vbProcedure="false">"c25807"</definedName>
    <definedName function="false" hidden="true" name="IQ_FII_3M_RETURN" vbProcedure="false">"c25808"</definedName>
    <definedName function="false" hidden="true" name="IQ_FII_6M_RETURN" vbProcedure="false">"c25809"</definedName>
    <definedName function="false" hidden="true" name="IQ_FII_AVGBIDSPREAD" vbProcedure="false">"c25820"</definedName>
    <definedName function="false" hidden="true" name="IQ_FII_CONVEX" vbProcedure="false">"c25799"</definedName>
    <definedName function="false" hidden="true" name="IQ_FII_COUPON" vbProcedure="false">"c25800"</definedName>
    <definedName function="false" hidden="true" name="IQ_FII_DAILY_RETURN" vbProcedure="false">"c25810"</definedName>
    <definedName function="false" hidden="true" name="IQ_FII_DURTW" vbProcedure="false">"c25802"</definedName>
    <definedName function="false" hidden="true" name="IQ_FII_EXCESS_RETURN" vbProcedure="false">"c25819"</definedName>
    <definedName function="false" hidden="true" name="IQ_FII_INDEXPRICE" vbProcedure="false">"c25806"</definedName>
    <definedName function="false" hidden="true" name="IQ_FII_MATURITY" vbProcedure="false">"c25804"</definedName>
    <definedName function="false" hidden="true" name="IQ_FII_MODDUR" vbProcedure="false">"c25801"</definedName>
    <definedName function="false" hidden="true" name="IQ_FII_MTD_RETURN_COUPON" vbProcedure="false">"c25813"</definedName>
    <definedName function="false" hidden="true" name="IQ_FII_MTD_RETURN_CURRENCY" vbProcedure="false">"c25814"</definedName>
    <definedName function="false" hidden="true" name="IQ_FII_MTD_RETURN_PAYDOWN" vbProcedure="false">"c25815"</definedName>
    <definedName function="false" hidden="true" name="IQ_FII_MTD_RETURN_PRICE" vbProcedure="false">"c25816"</definedName>
    <definedName function="false" hidden="true" name="IQ_FII_MTD_RETURN_TOTAL" vbProcedure="false">"c25812"</definedName>
    <definedName function="false" hidden="true" name="IQ_FII_MV" vbProcedure="false">"c25803"</definedName>
    <definedName function="false" hidden="true" name="IQ_FII_NUMISSUE" vbProcedure="false">"c25805"</definedName>
    <definedName function="false" hidden="true" name="IQ_FII_OAS" vbProcedure="false">"c25798"</definedName>
    <definedName function="false" hidden="true" name="IQ_FII_RETURN_INCEPTION" vbProcedure="false">"c25811"</definedName>
    <definedName function="false" hidden="true" name="IQ_FII_YTD_RETURN" vbProcedure="false">"c25817"</definedName>
    <definedName function="false" hidden="true" name="IQ_FII_YTW" vbProcedure="false">"c25818"</definedName>
    <definedName function="false" hidden="true" name="IQ_FIN_DIV_CURRENT_PORT_DEBT_TOTAL" vbProcedure="false">"c5524"</definedName>
    <definedName function="false" hidden="true" name="IQ_FIN_DIV_CURRENT_PORT_LEASES_TOTAL" vbProcedure="false">"c5523"</definedName>
    <definedName function="false" hidden="true" name="IQ_FIN_DIV_DEBT_LT_TOTAL" vbProcedure="false">"c5526"</definedName>
    <definedName function="false" hidden="true" name="IQ_FIN_DIV_LEASES_LT_TOTAL" vbProcedure="false">"c5525"</definedName>
    <definedName function="false" hidden="true" name="IQ_FIN_DIV_NOTES_PAY_TOTAL" vbProcedure="false">"c5522"</definedName>
    <definedName function="false" hidden="true" name="IQ_FISCAL_Q_EST_REUT" vbProcedure="false">"c6798"</definedName>
    <definedName function="false" hidden="true" name="IQ_FISCAL_Y_EST_REUT" vbProcedure="false">"c6799"</definedName>
    <definedName function="false" hidden="true" name="IQ_FIVEPERCENT_OWNER" vbProcedure="false">"c239"</definedName>
    <definedName function="false" hidden="true" name="IQ_FIVE_PERCENT_AMOUNT" vbProcedure="false">"c240"</definedName>
    <definedName function="false" hidden="true" name="IQ_FIVE_YEAR_FIXED_AND_FLOATING_RATE_FDIC" vbProcedure="false">"c6422"</definedName>
    <definedName function="false" hidden="true" name="IQ_FIVE_YEAR_MORTGAGE_PASS_THROUGHS_FDIC" vbProcedure="false">"c6414"</definedName>
    <definedName function="false" hidden="true" name="IQ_FIXED_INVEST_APR_FC_UNUSED_UNUSED_UNUSED" vbProcedure="false">"c8410"</definedName>
    <definedName function="false" hidden="true" name="IQ_FIXED_INVEST_APR_UNUSED_UNUSED_UNUSED" vbProcedure="false">"c7530"</definedName>
    <definedName function="false" hidden="true" name="IQ_FIXED_INVEST_FC_UNUSED_UNUSED_UNUSED" vbProcedure="false">"c7750"</definedName>
    <definedName function="false" hidden="true" name="IQ_FIXED_INVEST_POP_FC_UNUSED_UNUSED_UNUSED" vbProcedure="false">"c7970"</definedName>
    <definedName function="false" hidden="true" name="IQ_FIXED_INVEST_POP_UNUSED_UNUSED_UNUSED" vbProcedure="false">"c7090"</definedName>
    <definedName function="false" hidden="true" name="IQ_FIXED_INVEST_REAL_APR_FC_UNUSED_UNUSED_UNUSED" vbProcedure="false">"c8518"</definedName>
    <definedName function="false" hidden="true" name="IQ_FIXED_INVEST_REAL_APR_UNUSED_UNUSED_UNUSED" vbProcedure="false">"c7638"</definedName>
    <definedName function="false" hidden="true" name="IQ_FIXED_INVEST_REAL_FC_UNUSED_UNUSED_UNUSED" vbProcedure="false">"c7858"</definedName>
    <definedName function="false" hidden="true" name="IQ_FIXED_INVEST_REAL_POP_FC_UNUSED_UNUSED_UNUSED" vbProcedure="false">"c8078"</definedName>
    <definedName function="false" hidden="true" name="IQ_FIXED_INVEST_REAL_POP_UNUSED_UNUSED_UNUSED" vbProcedure="false">"c7198"</definedName>
    <definedName function="false" hidden="true" name="IQ_FIXED_INVEST_REAL_UNUSED_UNUSED_UNUSED" vbProcedure="false">"c6978"</definedName>
    <definedName function="false" hidden="true" name="IQ_FIXED_INVEST_REAL_YOY_FC_UNUSED_UNUSED_UNUSED" vbProcedure="false">"c8298"</definedName>
    <definedName function="false" hidden="true" name="IQ_FIXED_INVEST_REAL_YOY_UNUSED_UNUSED_UNUSED" vbProcedure="false">"c7418"</definedName>
    <definedName function="false" hidden="true" name="IQ_FIXED_INVEST_UNUSED_UNUSED_UNUSED" vbProcedure="false">"c6870"</definedName>
    <definedName function="false" hidden="true" name="IQ_FIXED_INVEST_YOY_FC_UNUSED_UNUSED_UNUSED" vbProcedure="false">"c8190"</definedName>
    <definedName function="false" hidden="true" name="IQ_FIXED_INVEST_YOY_UNUSED_UNUSED_UNUSED" vbProcedure="false">"c7310"</definedName>
    <definedName function="false" hidden="true" name="IQ_FNMA_FHLMC_FDIC" vbProcedure="false">"c6397"</definedName>
    <definedName function="false" hidden="true" name="IQ_FNMA_FHLMC_GNMA_FDIC" vbProcedure="false">"c6399"</definedName>
    <definedName function="false" hidden="true" name="IQ_FORECLOSED_PROPERTIES_FDIC" vbProcedure="false">"c6459"</definedName>
    <definedName function="false" hidden="true" name="IQ_FOREIGN_BANKS_DEPOSITS_FOREIGN_FDIC" vbProcedure="false">"c6481"</definedName>
    <definedName function="false" hidden="true" name="IQ_FOREIGN_BANKS_LOAN_CHARG_OFFS_FDIC" vbProcedure="false">"c6645"</definedName>
    <definedName function="false" hidden="true" name="IQ_FOREIGN_BANKS_NET_CHARGE_OFFS_FDIC" vbProcedure="false">"c6647"</definedName>
    <definedName function="false" hidden="true" name="IQ_FOREIGN_BANKS_NONTRANSACTION_ACCOUNTS_FDIC" vbProcedure="false">"c6550"</definedName>
    <definedName function="false" hidden="true" name="IQ_FOREIGN_BANKS_RECOVERIES_FDIC" vbProcedure="false">"c6646"</definedName>
    <definedName function="false" hidden="true" name="IQ_FOREIGN_BANKS_TRANSACTION_ACCOUNTS_FDIC" vbProcedure="false">"c6542"</definedName>
    <definedName function="false" hidden="true" name="IQ_FOREIGN_BANK_LOANS_FDIC" vbProcedure="false">"c6437"</definedName>
    <definedName function="false" hidden="true" name="IQ_FOREIGN_BRANCHES_U.S._BANKS_LOANS_FDIC" vbProcedure="false">"c6438"</definedName>
    <definedName function="false" hidden="true" name="IQ_FOREIGN_BRANCHES_US_BANKS_FDIC" vbProcedure="false">"c6392"</definedName>
    <definedName function="false" hidden="true" name="IQ_FOREIGN_BRANCHES_US_BANKS_LOANS_FDIC" vbProcedure="false">"c6438"</definedName>
    <definedName function="false" hidden="true" name="IQ_FOREIGN_COUNTRIES_BANKS_TOTAL_LOANS_FOREIGN_FDIC" vbProcedure="false">"c6445"</definedName>
    <definedName function="false" hidden="true" name="IQ_FOREIGN_DEBT_SECURITIES_FDIC" vbProcedure="false">"c6303"</definedName>
    <definedName function="false" hidden="true" name="IQ_FOREIGN_DEPOSITS_NONTRANSACTION_ACCOUNTS_FDIC" vbProcedure="false">"c6549"</definedName>
    <definedName function="false" hidden="true" name="IQ_FOREIGN_DEPOSITS_TRANSACTION_ACCOUNTS_FDIC" vbProcedure="false">"c6541"</definedName>
    <definedName function="false" hidden="true" name="IQ_FOREIGN_EXCHANGE_EXPOSURES_FDIC" vbProcedure="false">"c6663"</definedName>
    <definedName function="false" hidden="true" name="IQ_FOREIGN_GOVERNMENTS_CHARGE_OFFS_FDIC" vbProcedure="false">"c6600"</definedName>
    <definedName function="false" hidden="true" name="IQ_FOREIGN_GOVERNMENTS_DEPOSITS_FOREIGN_FDIC" vbProcedure="false">"c6482"</definedName>
    <definedName function="false" hidden="true" name="IQ_FOREIGN_GOVERNMENTS_NET_CHARGE_OFFS_FDIC" vbProcedure="false">"c6638"</definedName>
    <definedName function="false" hidden="true" name="IQ_FOREIGN_GOVERNMENTS_NONTRANSACTION_ACCOUNTS_FDIC" vbProcedure="false">"c6551"</definedName>
    <definedName function="false" hidden="true" name="IQ_FOREIGN_GOVERNMENTS_RECOVERIES_FDIC" vbProcedure="false">"c6619"</definedName>
    <definedName function="false" hidden="true" name="IQ_FOREIGN_GOVERNMENTS_TOTAL_DEPOSITS_FDIC" vbProcedure="false">"c6476"</definedName>
    <definedName function="false" hidden="true" name="IQ_FOREIGN_GOVERNMENTS_TRANSACTION_ACCOUNTS_FDIC" vbProcedure="false">"c6543"</definedName>
    <definedName function="false" hidden="true" name="IQ_FOREIGN_GOVERNMENT_LOANS_FDIC" vbProcedure="false">"c6430"</definedName>
    <definedName function="false" hidden="false" name="IQ_FQ" vbProcedure="false">500</definedName>
    <definedName function="false" hidden="true" name="IQ_FULLY_INSURED_DEPOSITS_FDIC" vbProcedure="false">"c6487"</definedName>
    <definedName function="false" hidden="true" name="IQ_FUTURES_FORWARD_CONTRACTS_NOTIONAL_AMOUNT_FDIC" vbProcedure="false">"c6518"</definedName>
    <definedName function="false" hidden="true" name="IQ_FUTURES_FORWARD_CONTRACTS_RATE_RISK_FDIC" vbProcedure="false">"c6508"</definedName>
    <definedName function="false" hidden="true" name="IQ_FWD" vbProcedure="false">"LTM"</definedName>
    <definedName function="false" hidden="true" name="IQ_FWD1" vbProcedure="false">"LTM"</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true" name="IQ_FWD_Q3" vbProcedure="false">"504"</definedName>
    <definedName function="false" hidden="true" name="IQ_FWD_Q4" vbProcedure="false">"505"</definedName>
    <definedName function="false" hidden="true" name="IQ_FWD_Q5" vbProcedure="false">"506"</definedName>
    <definedName function="false" hidden="true" name="IQ_FWD_Q6" vbProcedure="false">"507"</definedName>
    <definedName function="false" hidden="true" name="IQ_FWD_Q7" vbProcedure="false">"508"</definedName>
    <definedName function="false" hidden="true" name="IQ_FX_CONTRACTS_FDIC" vbProcedure="false">"c6517"</definedName>
    <definedName function="false" hidden="true" name="IQ_FX_CONTRACTS_SPOT_FDIC" vbProcedure="false">"c6356"</definedName>
    <definedName function="false" hidden="false" name="IQ_FY" vbProcedure="false">1000</definedName>
    <definedName function="false" hidden="true" name="IQ_FY_DATE" vbProcedure="false">"IQ_FY_DATE"</definedName>
    <definedName function="false" hidden="true" name="IQ_GAINS_SALE_ASSETS_FDIC" vbProcedure="false">"c6675"</definedName>
    <definedName function="false" hidden="true" name="IQ_GAIN_ASSETS_BR" vbProcedure="false">"c454"</definedName>
    <definedName function="false" hidden="true" name="IQ_GAIN_ASSETS_CF_BR" vbProcedure="false">"c457"</definedName>
    <definedName function="false" hidden="true" name="IQ_GAIN_ASSETS_REC" vbProcedure="false">"c464"</definedName>
    <definedName function="false" hidden="true" name="IQ_GAIN_ASSETS_REC_BNK" vbProcedure="false">"c465"</definedName>
    <definedName function="false" hidden="true" name="IQ_GAIN_ASSETS_REC_BR" vbProcedure="false">"c466"</definedName>
    <definedName function="false" hidden="true" name="IQ_GAIN_ASSETS_REC_FIN" vbProcedure="false">"c467"</definedName>
    <definedName function="false" hidden="true" name="IQ_GAIN_ASSETS_REC_INS" vbProcedure="false">"c468"</definedName>
    <definedName function="false" hidden="true" name="IQ_GAIN_ASSETS_REC_REIT" vbProcedure="false">"c469"</definedName>
    <definedName function="false" hidden="true" name="IQ_GAIN_ASSETS_REC_UTI" vbProcedure="false">"c470"</definedName>
    <definedName function="false" hidden="true" name="IQ_GAIN_ASSETS_REV_BR" vbProcedure="false">"c474"</definedName>
    <definedName function="false" hidden="true" name="IQ_GAIN_INVEST_BR" vbProcedure="false">"c1464"</definedName>
    <definedName function="false" hidden="true" name="IQ_GAIN_INVEST_CF_BR" vbProcedure="false">"c482"</definedName>
    <definedName function="false" hidden="true" name="IQ_GAIN_INVEST_REC" vbProcedure="false">"c487"</definedName>
    <definedName function="false" hidden="true" name="IQ_GAIN_INVEST_REC_BNK" vbProcedure="false">"c488"</definedName>
    <definedName function="false" hidden="true" name="IQ_GAIN_INVEST_REC_BR" vbProcedure="false">"c489"</definedName>
    <definedName function="false" hidden="true" name="IQ_GAIN_INVEST_REC_FIN" vbProcedure="false">"c490"</definedName>
    <definedName function="false" hidden="true" name="IQ_GAIN_INVEST_REC_INS" vbProcedure="false">"c491"</definedName>
    <definedName function="false" hidden="true" name="IQ_GAIN_INVEST_REC_REIT" vbProcedure="false">"c492"</definedName>
    <definedName function="false" hidden="true" name="IQ_GAIN_INVEST_REC_UTI" vbProcedure="false">"c493"</definedName>
    <definedName function="false" hidden="true" name="IQ_GAIN_INVEST_REV_BR" vbProcedure="false">"c496"</definedName>
    <definedName function="false" hidden="true" name="IQ_GAIN_SALE_LOANS_FDIC" vbProcedure="false">"c6673"</definedName>
    <definedName function="false" hidden="true" name="IQ_GAIN_SALE_RE_FDIC" vbProcedure="false">"c6674"</definedName>
    <definedName function="false" hidden="true" name="IQ_GNMA_FDIC" vbProcedure="false">"c6398"</definedName>
    <definedName function="false" hidden="true" name="IQ_GOODWILL_FDIC" vbProcedure="false">"c6334"</definedName>
    <definedName function="false" hidden="true" name="IQ_GOODWILL_IMPAIRMENT_FDIC" vbProcedure="false">"c6678"</definedName>
    <definedName function="false" hidden="true" name="IQ_GOODWILL_INTAN_FDIC" vbProcedure="false">"c6333"</definedName>
    <definedName function="false" hidden="true" name="IQ_GROSS_INTAN" vbProcedure="false">"c520"</definedName>
    <definedName function="false" hidden="true" name="IQ_GW_AMORT" vbProcedure="false">"c531"</definedName>
    <definedName function="false" hidden="true" name="IQ_GW_AMORT_BR" vbProcedure="false">"c532"</definedName>
    <definedName function="false" hidden="true" name="IQ_GW_AMORT_CF" vbProcedure="false">"c533"</definedName>
    <definedName function="false" hidden="true" name="IQ_GW_AMORT_CF_BNK" vbProcedure="false">"c534"</definedName>
    <definedName function="false" hidden="true" name="IQ_GW_AMORT_CF_BR" vbProcedure="false">"c535"</definedName>
    <definedName function="false" hidden="true" name="IQ_GW_AMORT_CF_FIN" vbProcedure="false">"c536"</definedName>
    <definedName function="false" hidden="true" name="IQ_GW_AMORT_CF_INS" vbProcedure="false">"c537"</definedName>
    <definedName function="false" hidden="true" name="IQ_GW_AMORT_CF_REIT" vbProcedure="false">"c538"</definedName>
    <definedName function="false" hidden="true" name="IQ_GW_AMORT_CF_UTI" vbProcedure="false">"c539"</definedName>
    <definedName function="false" hidden="true" name="IQ_GW_INTAN_AMORT_BR" vbProcedure="false">"c1470"</definedName>
    <definedName function="false" hidden="true" name="IQ_GW_INTAN_AMORT_CF_BR" vbProcedure="false">"c1473"</definedName>
    <definedName function="false" hidden="true" name="IQ_HELD_MATURITY_FDIC" vbProcedure="false">"c6408"</definedName>
    <definedName function="false" hidden="true" name="IQ_HIGH_TARGET_PRICE_REUT" vbProcedure="false">"c5317"</definedName>
    <definedName function="false" hidden="true" name="IQ_HOME_EQUITY_LOC_NET_CHARGE_OFFS_FDIC" vbProcedure="false">"c6644"</definedName>
    <definedName function="false" hidden="true" name="IQ_HOME_EQUITY_LOC_TOTAL_CHARGE_OFFS_FDIC" vbProcedure="false">"c6606"</definedName>
    <definedName function="false" hidden="true" name="IQ_HOME_EQUITY_LOC_TOTAL_RECOVERIES_FDIC" vbProcedure="false">"c6625"</definedName>
    <definedName function="false" hidden="true" name="IQ_HOUSING_COMPLETIONS_SINGLE_FAM_APR_FC_UNUSED_UNUSED_UNUSED" vbProcedure="false">"c8422"</definedName>
    <definedName function="false" hidden="true" name="IQ_HOUSING_COMPLETIONS_SINGLE_FAM_APR_UNUSED_UNUSED_UNUSED" vbProcedure="false">"c7542"</definedName>
    <definedName function="false" hidden="true" name="IQ_HOUSING_COMPLETIONS_SINGLE_FAM_FC_UNUSED_UNUSED_UNUSED" vbProcedure="false">"c7762"</definedName>
    <definedName function="false" hidden="true" name="IQ_HOUSING_COMPLETIONS_SINGLE_FAM_POP_FC_UNUSED_UNUSED_UNUSED" vbProcedure="false">"c7982"</definedName>
    <definedName function="false" hidden="true" name="IQ_HOUSING_COMPLETIONS_SINGLE_FAM_POP_UNUSED_UNUSED_UNUSED" vbProcedure="false">"c7102"</definedName>
    <definedName function="false" hidden="true" name="IQ_HOUSING_COMPLETIONS_SINGLE_FAM_UNUSED_UNUSED_UNUSED" vbProcedure="false">"c6882"</definedName>
    <definedName function="false" hidden="true" name="IQ_HOUSING_COMPLETIONS_SINGLE_FAM_YOY_FC_UNUSED_UNUSED_UNUSED" vbProcedure="false">"c8202"</definedName>
    <definedName function="false" hidden="true" name="IQ_HOUSING_COMPLETIONS_SINGLE_FAM_YOY_UNUSED_UNUSED_UNUSED" vbProcedure="false">"c7322"</definedName>
    <definedName function="false" hidden="true" name="IQ_IMPORTS_GOODS_REAL_SAAR_APR_FC_UNUSED_UNUSED_UNUSED" vbProcedure="false">"c8523"</definedName>
    <definedName function="false" hidden="true" name="IQ_IMPORTS_GOODS_REAL_SAAR_APR_UNUSED_UNUSED_UNUSED" vbProcedure="false">"c7643"</definedName>
    <definedName function="false" hidden="true" name="IQ_IMPORTS_GOODS_REAL_SAAR_FC_UNUSED_UNUSED_UNUSED" vbProcedure="false">"c7863"</definedName>
    <definedName function="false" hidden="true" name="IQ_IMPORTS_GOODS_REAL_SAAR_POP_FC_UNUSED_UNUSED_UNUSED" vbProcedure="false">"c8083"</definedName>
    <definedName function="false" hidden="true" name="IQ_IMPORTS_GOODS_REAL_SAAR_POP_UNUSED_UNUSED_UNUSED" vbProcedure="false">"c7203"</definedName>
    <definedName function="false" hidden="true" name="IQ_IMPORTS_GOODS_REAL_SAAR_UNUSED_UNUSED_UNUSED" vbProcedure="false">"c6983"</definedName>
    <definedName function="false" hidden="true" name="IQ_IMPORTS_GOODS_REAL_SAAR_YOY_FC_UNUSED_UNUSED_UNUSED" vbProcedure="false">"c8303"</definedName>
    <definedName function="false" hidden="true" name="IQ_IMPORTS_GOODS_REAL_SAAR_YOY_UNUSED_UNUSED_UNUSED" vbProcedure="false">"c7423"</definedName>
    <definedName function="false" hidden="true" name="IQ_IMPORTS_GOODS_SERVICES_APR_FC_UNUSED_UNUSED_UNUSED" vbProcedure="false">"c8429"</definedName>
    <definedName function="false" hidden="true" name="IQ_IMPORTS_GOODS_SERVICES_APR_UNUSED_UNUSED_UNUSED" vbProcedure="false">"c7549"</definedName>
    <definedName function="false" hidden="true" name="IQ_IMPORTS_GOODS_SERVICES_FC_UNUSED_UNUSED_UNUSED" vbProcedure="false">"c7769"</definedName>
    <definedName function="false" hidden="true" name="IQ_IMPORTS_GOODS_SERVICES_POP_FC_UNUSED_UNUSED_UNUSED" vbProcedure="false">"c7989"</definedName>
    <definedName function="false" hidden="true" name="IQ_IMPORTS_GOODS_SERVICES_POP_UNUSED_UNUSED_UNUSED" vbProcedure="false">"c7109"</definedName>
    <definedName function="false" hidden="true" name="IQ_IMPORTS_GOODS_SERVICES_REAL_SAAR_APR_FC_UNUSED_UNUSED_UNUSED" vbProcedure="false">"c8524"</definedName>
    <definedName function="false" hidden="true" name="IQ_IMPORTS_GOODS_SERVICES_REAL_SAAR_APR_UNUSED_UNUSED_UNUSED" vbProcedure="false">"c7644"</definedName>
    <definedName function="false" hidden="true" name="IQ_IMPORTS_GOODS_SERVICES_REAL_SAAR_FC_UNUSED_UNUSED_UNUSED" vbProcedure="false">"c7864"</definedName>
    <definedName function="false" hidden="true" name="IQ_IMPORTS_GOODS_SERVICES_REAL_SAAR_POP_FC_UNUSED_UNUSED_UNUSED" vbProcedure="false">"c8084"</definedName>
    <definedName function="false" hidden="true" name="IQ_IMPORTS_GOODS_SERVICES_REAL_SAAR_POP_UNUSED_UNUSED_UNUSED" vbProcedure="false">"c7204"</definedName>
    <definedName function="false" hidden="true" name="IQ_IMPORTS_GOODS_SERVICES_REAL_SAAR_UNUSED_UNUSED_UNUSED" vbProcedure="false">"c6984"</definedName>
    <definedName function="false" hidden="true" name="IQ_IMPORTS_GOODS_SERVICES_REAL_SAAR_YOY_FC_UNUSED_UNUSED_UNUSED" vbProcedure="false">"c8304"</definedName>
    <definedName function="false" hidden="true" name="IQ_IMPORTS_GOODS_SERVICES_REAL_SAAR_YOY_UNUSED_UNUSED_UNUSED" vbProcedure="false">"c7424"</definedName>
    <definedName function="false" hidden="true" name="IQ_IMPORTS_GOODS_SERVICES_UNUSED_UNUSED_UNUSED" vbProcedure="false">"c6889"</definedName>
    <definedName function="false" hidden="true" name="IQ_IMPORTS_GOODS_SERVICES_YOY_FC_UNUSED_UNUSED_UNUSED" vbProcedure="false">"c8209"</definedName>
    <definedName function="false" hidden="true" name="IQ_IMPORTS_GOODS_SERVICES_YOY_UNUSED_UNUSED_UNUSED" vbProcedure="false">"c7329"</definedName>
    <definedName function="false" hidden="true" name="IQ_INCIDENTAL_CHANGES_BUSINESS_COMBINATIONS_FDIC" vbProcedure="false">"c6502"</definedName>
    <definedName function="false" hidden="true" name="IQ_INCOME_BEFORE_EXTRA_FDIC" vbProcedure="false">"c6585"</definedName>
    <definedName function="false" hidden="true" name="IQ_INCOME_EARNED_FDIC" vbProcedure="false">"c6359"</definedName>
    <definedName function="false" hidden="true" name="IQ_INCOME_TAXES_FDIC" vbProcedure="false">"c6582"</definedName>
    <definedName function="false" hidden="true" name="IQ_INC_EQUITY_BR" vbProcedure="false">"c550"</definedName>
    <definedName function="false" hidden="true" name="IQ_INDEXCONSTITUENT_CLOSEPRICE" vbProcedure="false">"c19241"</definedName>
    <definedName function="false" hidden="true" name="IQ_INDEX_PROVIDED_DIVIDEND" vbProcedure="false">"c19252"</definedName>
    <definedName function="false" hidden="true" name="IQ_INDIVIDUALS_CHARGE_OFFS_FDIC" vbProcedure="false">"c6599"</definedName>
    <definedName function="false" hidden="true" name="IQ_INDIVIDUALS_LOANS_FDIC" vbProcedure="false">"c6318"</definedName>
    <definedName function="false" hidden="true" name="IQ_INDIVIDUALS_NET_CHARGE_OFFS_FDIC" vbProcedure="false">"c6637"</definedName>
    <definedName function="false" hidden="true" name="IQ_INDIVIDUALS_OTHER_LOANS_FDIC" vbProcedure="false">"c6321"</definedName>
    <definedName function="false" hidden="true" name="IQ_INDIVIDUALS_PARTNERSHIPS_CORP_DEPOSITS_FOREIGN_FDIC" vbProcedure="false">"c6479"</definedName>
    <definedName function="false" hidden="true" name="IQ_INDIVIDUALS_PARTNERSHIPS_CORP_NONTRANSACTION_ACCOUNTS_FDIC" vbProcedure="false">"c6545"</definedName>
    <definedName function="false" hidden="true" name="IQ_INDIVIDUALS_PARTNERSHIPS_CORP_TOTAL_DEPOSITS_FDIC" vbProcedure="false">"c6471"</definedName>
    <definedName function="false" hidden="true" name="IQ_INDIVIDUALS_PARTNERSHIPS_CORP_TRANSACTION_ACCOUNTS_FDIC" vbProcedure="false">"c6537"</definedName>
    <definedName function="false" hidden="true" name="IQ_INDIVIDUALS_RECOVERIES_FDIC" vbProcedure="false">"c6618"</definedName>
    <definedName function="false" hidden="true" name="IQ_INSIDER_3MTH_BOUGHT" vbProcedure="false">"c1534"</definedName>
    <definedName function="false" hidden="true" name="IQ_INSIDER_3MTH_NET" vbProcedure="false">"c1535"</definedName>
    <definedName function="false" hidden="true" name="IQ_INSIDER_3MTH_SOLD" vbProcedure="false">"c1533"</definedName>
    <definedName function="false" hidden="true" name="IQ_INSIDER_6MTH_BOUGHT" vbProcedure="false">"c1537"</definedName>
    <definedName function="false" hidden="true" name="IQ_INSIDER_6MTH_NET" vbProcedure="false">"c1538"</definedName>
    <definedName function="false" hidden="true" name="IQ_INSIDER_6MTH_SOLD" vbProcedure="false">"c1536"</definedName>
    <definedName function="false" hidden="true" name="IQ_INSIDER_AMOUNT" vbProcedure="false">"c238"</definedName>
    <definedName function="false" hidden="true" name="IQ_INSIDER_LOANS_FDIC" vbProcedure="false">"c6365"</definedName>
    <definedName function="false" hidden="true" name="IQ_INSTITUTIONAL_AMOUNT" vbProcedure="false">"c236"</definedName>
    <definedName function="false" hidden="true" name="IQ_INSTITUTIONS_EARNINGS_GAINS_FDIC" vbProcedure="false">"c6723"</definedName>
    <definedName function="false" hidden="true" name="IQ_INSURANCE_COMMISSION_FEES_FDIC" vbProcedure="false">"c6670"</definedName>
    <definedName function="false" hidden="true" name="IQ_INSURANCE_UNDERWRITING_INCOME_FDIC" vbProcedure="false">"c6671"</definedName>
    <definedName function="false" hidden="true" name="IQ_INS_SETTLE_BR" vbProcedure="false">"c572"</definedName>
    <definedName function="false" hidden="true" name="IQ_INTAN_AMORT" vbProcedure="false">"c605"</definedName>
    <definedName function="false" hidden="true" name="IQ_INTAN_AMORT_BR" vbProcedure="false">"c606"</definedName>
    <definedName function="false" hidden="true" name="IQ_INTAN_AMORT_CF" vbProcedure="false">"c607"</definedName>
    <definedName function="false" hidden="true" name="IQ_INTAN_AMORT_CF_BNK" vbProcedure="false">"c608"</definedName>
    <definedName function="false" hidden="true" name="IQ_INTAN_AMORT_CF_BR" vbProcedure="false">"c609"</definedName>
    <definedName function="false" hidden="true" name="IQ_INTAN_AMORT_CF_FIN" vbProcedure="false">"c610"</definedName>
    <definedName function="false" hidden="true" name="IQ_INTAN_AMORT_CF_INS" vbProcedure="false">"c611"</definedName>
    <definedName function="false" hidden="true" name="IQ_INTAN_AMORT_CF_REIT" vbProcedure="false">"c612"</definedName>
    <definedName function="false" hidden="true" name="IQ_INTAN_AMORT_CF_UTI" vbProcedure="false">"c613"</definedName>
    <definedName function="false" hidden="true" name="IQ_INTAN_AMORT_FIN" vbProcedure="false">"c614"</definedName>
    <definedName function="false" hidden="true" name="IQ_INTAN_AMORT_INS" vbProcedure="false">"c615"</definedName>
    <definedName function="false" hidden="true" name="IQ_INTAN_AMORT_REIT" vbProcedure="false">"c616"</definedName>
    <definedName function="false" hidden="true" name="IQ_INTAN_AMORT_UTI" vbProcedure="false">"c617"</definedName>
    <definedName function="false" hidden="true" name="IQ_INTEL_EPS_EST" vbProcedure="false">"c24729"</definedName>
    <definedName function="false" hidden="true" name="IQ_INTEREST_BEARING_BALANCES_FDIC" vbProcedure="false">"c6371"</definedName>
    <definedName function="false" hidden="true" name="IQ_INTEREST_BEARING_DEPOSITS_DOMESTIC_FDIC" vbProcedure="false">"c6478"</definedName>
    <definedName function="false" hidden="true" name="IQ_INTEREST_BEARING_DEPOSITS_FDIC" vbProcedure="false">"c6373"</definedName>
    <definedName function="false" hidden="true" name="IQ_INTEREST_BEARING_DEPOSITS_FOREIGN_FDIC" vbProcedure="false">"c6485"</definedName>
    <definedName function="false" hidden="true" name="IQ_INTEREST_INC_10K" vbProcedure="false">"IQ_INTEREST_INC_10K"</definedName>
    <definedName function="false" hidden="true" name="IQ_INTEREST_INC_10Q" vbProcedure="false">"IQ_INTEREST_INC_10Q"</definedName>
    <definedName function="false" hidden="true" name="IQ_INTEREST_INC_10Q1" vbProcedure="false">"IQ_INTEREST_INC_10Q1"</definedName>
    <definedName function="false" hidden="true" name="IQ_INTEREST_RATE_CONTRACTS_FDIC" vbProcedure="false">"c6512"</definedName>
    <definedName function="false" hidden="true" name="IQ_INTEREST_RATE_EXPOSURES_FDIC" vbProcedure="false">"c6662"</definedName>
    <definedName function="false" hidden="true" name="IQ_INT_DEMAND_NOTES_FDIC" vbProcedure="false">"c6567"</definedName>
    <definedName function="false" hidden="true" name="IQ_INT_DOMESTIC_DEPOSITS_FDIC" vbProcedure="false">"c6564"</definedName>
    <definedName function="false" hidden="true" name="IQ_INT_EXP_BR" vbProcedure="false">"c586"</definedName>
    <definedName function="false" hidden="true" name="IQ_INT_EXP_TOTAL_FDIC" vbProcedure="false">"c6569"</definedName>
    <definedName function="false" hidden="true" name="IQ_INT_FED_FUNDS_FDIC" vbProcedure="false">"c6566"</definedName>
    <definedName function="false" hidden="true" name="IQ_INT_FOREIGN_DEPOSITS_FDIC" vbProcedure="false">"c6565"</definedName>
    <definedName function="false" hidden="true" name="IQ_INT_INC_BR" vbProcedure="false">"c593"</definedName>
    <definedName function="false" hidden="true" name="IQ_INT_INC_DEPOSITORY_INST_FDIC" vbProcedure="false">"c6558"</definedName>
    <definedName function="false" hidden="true" name="IQ_INT_INC_DOM_LOANS_FDIC" vbProcedure="false">"c6555"</definedName>
    <definedName function="false" hidden="true" name="IQ_INT_INC_FED_FUNDS_FDIC" vbProcedure="false">"c6561"</definedName>
    <definedName function="false" hidden="true" name="IQ_INT_INC_FOREIGN_LOANS_FDIC" vbProcedure="false">"c6556"</definedName>
    <definedName function="false" hidden="true" name="IQ_INT_INC_LEASE_RECEIVABLES_FDIC" vbProcedure="false">"c6557"</definedName>
    <definedName function="false" hidden="true" name="IQ_INT_INC_OTHER_FDIC" vbProcedure="false">"c6562"</definedName>
    <definedName function="false" hidden="true" name="IQ_INT_INC_SECURITIES_FDIC" vbProcedure="false">"c6559"</definedName>
    <definedName function="false" hidden="true" name="IQ_INT_INC_TOTAL_FDIC" vbProcedure="false">"c6563"</definedName>
    <definedName function="false" hidden="true" name="IQ_INT_INC_TRADING_ACCOUNTS_FDIC" vbProcedure="false">"c6560"</definedName>
    <definedName function="false" hidden="true" name="IQ_INT_SUB_NOTES_FDIC" vbProcedure="false">"c6568"</definedName>
    <definedName function="false" hidden="true" name="IQ_INVESTMENT_BANKING_OTHER_FEES_FDIC" vbProcedure="false">"c6666"</definedName>
    <definedName function="false" hidden="true" name="IQ_INVEST_LOANS_CF_BR" vbProcedure="false">"c630"</definedName>
    <definedName function="false" hidden="true" name="IQ_INVEST_SECURITY_CF_BR" vbProcedure="false">"c639"</definedName>
    <definedName function="false" hidden="true" name="IQ_IRA_KEOGH_ACCOUNTS_FDIC" vbProcedure="false">"c6496"</definedName>
    <definedName function="false" hidden="true" name="IQ_ISM_SERVICES_APR_FC_UNUSED_UNUSED_UNUSED" vbProcedure="false">"c8443"</definedName>
    <definedName function="false" hidden="true" name="IQ_ISM_SERVICES_APR_UNUSED_UNUSED_UNUSED" vbProcedure="false">"c7563"</definedName>
    <definedName function="false" hidden="true" name="IQ_ISM_SERVICES_FC_UNUSED_UNUSED_UNUSED" vbProcedure="false">"c7783"</definedName>
    <definedName function="false" hidden="true" name="IQ_ISM_SERVICES_POP_FC_UNUSED_UNUSED_UNUSED" vbProcedure="false">"c8003"</definedName>
    <definedName function="false" hidden="true" name="IQ_ISM_SERVICES_POP_UNUSED_UNUSED_UNUSED" vbProcedure="false">"c7123"</definedName>
    <definedName function="false" hidden="true" name="IQ_ISM_SERVICES_UNUSED_UNUSED_UNUSED" vbProcedure="false">"c6903"</definedName>
    <definedName function="false" hidden="true" name="IQ_ISM_SERVICES_YOY_FC_UNUSED_UNUSED_UNUSED" vbProcedure="false">"c8223"</definedName>
    <definedName function="false" hidden="true" name="IQ_ISM_SERVICES_YOY_UNUSED_UNUSED_UNUSED" vbProcedure="false">"c7343"</definedName>
    <definedName function="false" hidden="true" name="IQ_ISSUED_GUARANTEED_US_FDIC" vbProcedure="false">"c6404"</definedName>
    <definedName function="false" hidden="true" name="IQ_LAST_EBITDA_MARGIN" vbProcedure="false">"c150"</definedName>
    <definedName function="false" hidden="true" name="IQ_LAST_EBIT_MARGIN" vbProcedure="false">"c151"</definedName>
    <definedName function="false" hidden="true" name="IQ_LAST_GROSS_MARGIN" vbProcedure="false">"c149"</definedName>
    <definedName function="false" hidden="true" name="IQ_LAST_NET_INC_MARGIN" vbProcedure="false">"c152"</definedName>
    <definedName function="false" hidden="true" name="IQ_LATEST" vbProcedure="false">"1"</definedName>
    <definedName function="false" hidden="true" name="IQ_LATESTK" vbProcedure="false">1000</definedName>
    <definedName function="false" hidden="true" name="IQ_LATESTKFR" vbProcedure="false">"100"</definedName>
    <definedName function="false" hidden="true" name="IQ_LATESTQ" vbProcedure="false">500</definedName>
    <definedName function="false" hidden="true" name="IQ_LATESTQFR" vbProcedure="false">"50"</definedName>
    <definedName function="false" hidden="true" name="IQ_LEASE_FINANCING_RECEIVABLES_CHARGE_OFFS_FDIC" vbProcedure="false">"c6602"</definedName>
    <definedName function="false" hidden="true" name="IQ_LEASE_FINANCING_RECEIVABLES_FDIC" vbProcedure="false">"c6433"</definedName>
    <definedName function="false" hidden="true" name="IQ_LEASE_FINANCING_RECEIVABLES_NET_CHARGE_OFFS_FDIC" vbProcedure="false">"c6640"</definedName>
    <definedName function="false" hidden="true" name="IQ_LEASE_FINANCING_RECEIVABLES_RECOVERIES_FDIC" vbProcedure="false">"c6621"</definedName>
    <definedName function="false" hidden="true" name="IQ_LEASE_FINANCING_RECEIVABLES_TOTAL_LOANS_FOREIGN_FDIC" vbProcedure="false">"c6449"</definedName>
    <definedName function="false" hidden="true" name="IQ_LEGAL_SETTLE_BR" vbProcedure="false">"c649"</definedName>
    <definedName function="false" hidden="true" name="IQ_LIFE_INSURANCE_ASSETS_FDIC" vbProcedure="false">"c6372"</definedName>
    <definedName function="false" hidden="true" name="IQ_LOANS_AND_LEASES_HELD_FDIC" vbProcedure="false">"c6367"</definedName>
    <definedName function="false" hidden="true" name="IQ_LOANS_CF_BR" vbProcedure="false">"c661"</definedName>
    <definedName function="false" hidden="true" name="IQ_LOANS_DEPOSITORY_INSTITUTIONS_FDIC" vbProcedure="false">"c6382"</definedName>
    <definedName function="false" hidden="true" name="IQ_LOANS_HELD_FOREIGN_FDIC" vbProcedure="false">"c6315"</definedName>
    <definedName function="false" hidden="true" name="IQ_LOANS_LEASES_FOREIGN_FDIC" vbProcedure="false">"c6383"</definedName>
    <definedName function="false" hidden="true" name="IQ_LOANS_LEASES_GROSS_FDIC" vbProcedure="false">"c6323"</definedName>
    <definedName function="false" hidden="true" name="IQ_LOANS_LEASES_GROSS_FOREIGN_FDIC" vbProcedure="false">"c6384"</definedName>
    <definedName function="false" hidden="true" name="IQ_LOANS_LEASES_NET_FDIC" vbProcedure="false">"c6327"</definedName>
    <definedName function="false" hidden="true" name="IQ_LOANS_LEASES_NET_UNEARNED_FDIC" vbProcedure="false">"c6325"</definedName>
    <definedName function="false" hidden="true" name="IQ_LOANS_NOT_SECURED_RE_FDIC" vbProcedure="false">"c6381"</definedName>
    <definedName function="false" hidden="true" name="IQ_LOANS_SECURED_BY_RE_CHARGE_OFFS_FDIC" vbProcedure="false">"c6588"</definedName>
    <definedName function="false" hidden="true" name="IQ_LOANS_SECURED_BY_RE_RECOVERIES_FDIC" vbProcedure="false">"c6607"</definedName>
    <definedName function="false" hidden="true" name="IQ_LOANS_SECURED_NON_US_FDIC" vbProcedure="false">"c6380"</definedName>
    <definedName function="false" hidden="true" name="IQ_LOANS_SECURED_RE_NET_CHARGE_OFFS_FDIC" vbProcedure="false">"c6626"</definedName>
    <definedName function="false" hidden="true" name="IQ_LOANS_TO_DEPOSITORY_INSTITUTIONS_FOREIGN_FDIC" vbProcedure="false">"c6453"</definedName>
    <definedName function="false" hidden="true" name="IQ_LOANS_TO_FOREIGN_GOVERNMENTS_FDIC" vbProcedure="false">"c6448"</definedName>
    <definedName function="false" hidden="true" name="IQ_LOANS_TO_INDIVIDUALS_FOREIGN_FDIC" vbProcedure="false">"c6452"</definedName>
    <definedName function="false" hidden="true" name="IQ_LOAN_COMMITMENTS_REVOLVING_FDIC" vbProcedure="false">"c6524"</definedName>
    <definedName function="false" hidden="true" name="IQ_LOAN_LOSSES_FDIC" vbProcedure="false">"c6580"</definedName>
    <definedName function="false" hidden="true" name="IQ_LOAN_LOSS_ALLOWANCE_NONCURRENT_LOANS_FDIC" vbProcedure="false">"c6740"</definedName>
    <definedName function="false" hidden="true" name="IQ_LOAN_LOSS_ALLOW_FDIC" vbProcedure="false">"c6326"</definedName>
    <definedName function="false" hidden="true" name="IQ_LONG_TERM_ASSETS_FDIC" vbProcedure="false">"c6361"</definedName>
    <definedName function="false" hidden="true" name="IQ_LOSS_ALLOWANCE_LOANS_FDIC" vbProcedure="false">"c6739"</definedName>
    <definedName function="false" hidden="true" name="IQ_LOW_TARGET_PRICE_REUT" vbProcedure="false">"c5318"</definedName>
    <definedName function="false" hidden="false" name="IQ_LTM" vbProcedure="false">2000</definedName>
    <definedName function="false" hidden="true" name="IQ_LTMMONTH" vbProcedure="false">120000</definedName>
    <definedName function="false" hidden="true" name="IQ_LTM_DATE" vbProcedure="false">"IQ_LTM_DATE"</definedName>
    <definedName function="false" hidden="true" name="IQ_LT_DEBT_BR" vbProcedure="false">"c676"</definedName>
    <definedName function="false" hidden="true" name="IQ_LT_DEBT_ISSUED_BR" vbProcedure="false">"c683"</definedName>
    <definedName function="false" hidden="true" name="IQ_LT_DEBT_REPAID_BR" vbProcedure="false">"c691"</definedName>
    <definedName function="false" hidden="true" name="IQ_LT_INVEST_BR" vbProcedure="false">"c698"</definedName>
    <definedName function="false" hidden="true" name="IQ_LT_SENIOR_DEBT" vbProcedure="false">"c702"</definedName>
    <definedName function="false" hidden="true" name="IQ_LT_SUB_DEBT" vbProcedure="false">"c703"</definedName>
    <definedName function="false" hidden="true" name="IQ_MACRO_SURVEY_CONSUMER_SENTIMENT" vbProcedure="false">"c20808"</definedName>
    <definedName function="false" hidden="true" name="IQ_MARKTCAP" vbProcedure="false">"c258"</definedName>
    <definedName function="false" hidden="true" name="IQ_MATURITY_ONE_YEAR_LESS_FDIC" vbProcedure="false">"c6425"</definedName>
    <definedName function="false" hidden="true" name="IQ_MEDIAN_NEW_HOME_SALES_APR_FC_UNUSED_UNUSED_UNUSED" vbProcedure="false">"c8460"</definedName>
    <definedName function="false" hidden="true" name="IQ_MEDIAN_NEW_HOME_SALES_APR_UNUSED_UNUSED_UNUSED" vbProcedure="false">"c7580"</definedName>
    <definedName function="false" hidden="true" name="IQ_MEDIAN_NEW_HOME_SALES_FC_UNUSED_UNUSED_UNUSED" vbProcedure="false">"c7800"</definedName>
    <definedName function="false" hidden="true" name="IQ_MEDIAN_NEW_HOME_SALES_POP_FC_UNUSED_UNUSED_UNUSED" vbProcedure="false">"c8020"</definedName>
    <definedName function="false" hidden="true" name="IQ_MEDIAN_NEW_HOME_SALES_POP_UNUSED_UNUSED_UNUSED" vbProcedure="false">"c7140"</definedName>
    <definedName function="false" hidden="true" name="IQ_MEDIAN_NEW_HOME_SALES_UNUSED_UNUSED_UNUSED" vbProcedure="false">"c6920"</definedName>
    <definedName function="false" hidden="true" name="IQ_MEDIAN_NEW_HOME_SALES_YOY_FC_UNUSED_UNUSED_UNUSED" vbProcedure="false">"c8240"</definedName>
    <definedName function="false" hidden="true" name="IQ_MEDIAN_NEW_HOME_SALES_YOY_UNUSED_UNUSED_UNUSED" vbProcedure="false">"c7360"</definedName>
    <definedName function="false" hidden="true" name="IQ_MEDIAN_TARGET_PRICE_REUT" vbProcedure="false">"c5316"</definedName>
    <definedName function="false" hidden="true" name="IQ_MERGER_BR" vbProcedure="false">"c715"</definedName>
    <definedName function="false" hidden="true" name="IQ_MERGER_RESTRUCTURE_BR" vbProcedure="false">"c721"</definedName>
    <definedName function="false" hidden="true" name="IQ_MINORITY_INTEREST_BR" vbProcedure="false">"c729"</definedName>
    <definedName function="false" hidden="true" name="IQ_MKTCAP_TOTAL_REV_FWD_REUT" vbProcedure="false">"c4048"</definedName>
    <definedName function="false" hidden="true" name="IQ_MONEY_MARKET_DEPOSIT_ACCOUNTS_FDIC" vbProcedure="false">"c6553"</definedName>
    <definedName function="false" hidden="false" name="IQ_MONTH" vbProcedure="false">15000</definedName>
    <definedName function="false" hidden="true" name="IQ_MORTGAGE_BACKED_SECURITIES_FDIC" vbProcedure="false">"c6402"</definedName>
    <definedName function="false" hidden="true" name="IQ_MORTGAGE_SERVICING_FDIC" vbProcedure="false">"c6335"</definedName>
    <definedName function="false" hidden="true" name="IQ_MTD" vbProcedure="false">800000</definedName>
    <definedName function="false" hidden="true" name="IQ_MULTIFAMILY_RESIDENTIAL_LOANS_FDIC" vbProcedure="false">"c6311"</definedName>
    <definedName function="false" hidden="true" name="IQ_NAMES_REVISION_DATE_" vbProcedure="false">46029.2608912037</definedName>
    <definedName function="false" hidden="true" name="IQ_NAMES_REVISION_DATE__1" vbProcedure="false">42016.828287037</definedName>
    <definedName function="false" hidden="true" name="IQ_NAMES_REVISION_DATE__2" vbProcedure="false">42121.6723611111</definedName>
    <definedName function="false" hidden="true" name="IQ_NAV_ACT_OR_EST" vbProcedure="false">"c2225"</definedName>
    <definedName function="false" hidden="true" name="IQ_NAV_SHARE_ACT_OR_EST_REUT" vbProcedure="false">"c5623"</definedName>
    <definedName function="false" hidden="true" name="IQ_NAV_SHARE_EST_REUT" vbProcedure="false">"c5617"</definedName>
    <definedName function="false" hidden="true" name="IQ_NAV_SHARE_HIGH_EST_REUT" vbProcedure="false">"c5620"</definedName>
    <definedName function="false" hidden="true" name="IQ_NAV_SHARE_LOW_EST_REUT" vbProcedure="false">"c5621"</definedName>
    <definedName function="false" hidden="true" name="IQ_NAV_SHARE_MEDIAN_EST_REUT" vbProcedure="false">"c5618"</definedName>
    <definedName function="false" hidden="true" name="IQ_NAV_SHARE_NUM_EST_REUT" vbProcedure="false">"c5622"</definedName>
    <definedName function="false" hidden="true" name="IQ_NAV_SHARE_STDDEV_EST_REUT" vbProcedure="false">"c5619"</definedName>
    <definedName function="false" hidden="true" name="IQ_NET_CHARGE_OFFS_FDIC" vbProcedure="false">"c6641"</definedName>
    <definedName function="false" hidden="true" name="IQ_NET_CHARGE_OFFS_LOANS_FDIC" vbProcedure="false">"c6751"</definedName>
    <definedName function="false" hidden="true" name="IQ_NET_DEBT_ACT_OR_EST_REUT" vbProcedure="false">"c5473"</definedName>
    <definedName function="false" hidden="true" name="IQ_NET_DEBT_EST_REUT" vbProcedure="false">"c3976"</definedName>
    <definedName function="false" hidden="true" name="IQ_NET_DEBT_HIGH_EST_REUT" vbProcedure="false">"c3978"</definedName>
    <definedName function="false" hidden="true" name="IQ_NET_DEBT_ISSUED_BR" vbProcedure="false">"c753"</definedName>
    <definedName function="false" hidden="true" name="IQ_NET_DEBT_LOW_EST_REUT" vbProcedure="false">"c3979"</definedName>
    <definedName function="false" hidden="true" name="IQ_NET_DEBT_MEDIAN_EST_REUT" vbProcedure="false">"c3977"</definedName>
    <definedName function="false" hidden="true" name="IQ_NET_DEBT_NUM_EST_REUT" vbProcedure="false">"c3980"</definedName>
    <definedName function="false" hidden="true" name="IQ_NET_DEBT_STDDEV_EST_REUT" vbProcedure="false">"c3981"</definedName>
    <definedName function="false" hidden="true" name="IQ_NET_INCOME_FDIC" vbProcedure="false">"c6587"</definedName>
    <definedName function="false" hidden="true" name="IQ_NET_INC_10K" vbProcedure="false">"IQ_NET_INC_10K"</definedName>
    <definedName function="false" hidden="true" name="IQ_NET_INC_10Q" vbProcedure="false">"IQ_NET_INC_10Q"</definedName>
    <definedName function="false" hidden="true" name="IQ_NET_INC_10Q1" vbProcedure="false">"IQ_NET_INC_10Q1"</definedName>
    <definedName function="false" hidden="true" name="IQ_NET_INC_GROWTH_1" vbProcedure="false">"c158"</definedName>
    <definedName function="false" hidden="true" name="IQ_NET_INC_GROWTH_2" vbProcedure="false">"c162"</definedName>
    <definedName function="false" hidden="true" name="IQ_NET_INTEREST_MARGIN_FDIC" vbProcedure="false">"c6726"</definedName>
    <definedName function="false" hidden="true" name="IQ_NET_INT_INC_BNK_FDIC" vbProcedure="false">"c6570"</definedName>
    <definedName function="false" hidden="true" name="IQ_NET_INT_INC_BR" vbProcedure="false">"c765"</definedName>
    <definedName function="false" hidden="true" name="IQ_NET_LOANS_LEASES_CORE_DEPOSITS_FDIC" vbProcedure="false">"c6743"</definedName>
    <definedName function="false" hidden="true" name="IQ_NET_LOANS_LEASES_DEPOSITS_FDIC" vbProcedure="false">"c6742"</definedName>
    <definedName function="false" hidden="true" name="IQ_NET_OPERATING_INCOME_ASSETS_FDIC" vbProcedure="false">"c6729"</definedName>
    <definedName function="false" hidden="true" name="IQ_NET_SECURITIZATION_INCOME_FDIC" vbProcedure="false">"c6669"</definedName>
    <definedName function="false" hidden="true" name="IQ_NET_SERVICING_FEES_FDIC" vbProcedure="false">"c6668"</definedName>
    <definedName function="false" hidden="true" name="IQ_NI_ACT_OR_EST_REUT" vbProcedure="false">"c5468"</definedName>
    <definedName function="false" hidden="true" name="IQ_NI_EST_REUT" vbProcedure="false">"c5368"</definedName>
    <definedName function="false" hidden="true" name="IQ_NI_GW_EST_REUT" vbProcedure="false">"c5375"</definedName>
    <definedName function="false" hidden="true" name="IQ_NI_GW_EST_THOM" vbProcedure="false">"c5133"</definedName>
    <definedName function="false" hidden="true" name="IQ_NI_GW_HIGH_EST_REUT" vbProcedure="false">"c5377"</definedName>
    <definedName function="false" hidden="true" name="IQ_NI_GW_HIGH_EST_THOM" vbProcedure="false">"c5135"</definedName>
    <definedName function="false" hidden="true" name="IQ_NI_GW_LOW_EST_REUT" vbProcedure="false">"c5378"</definedName>
    <definedName function="false" hidden="true" name="IQ_NI_GW_LOW_EST_THOM" vbProcedure="false">"c5136"</definedName>
    <definedName function="false" hidden="true" name="IQ_NI_GW_MEDIAN_EST_REUT" vbProcedure="false">"c5376"</definedName>
    <definedName function="false" hidden="true" name="IQ_NI_GW_MEDIAN_EST_THOM" vbProcedure="false">"c5134"</definedName>
    <definedName function="false" hidden="true" name="IQ_NI_GW_NUM_EST_REUT" vbProcedure="false">"c5379"</definedName>
    <definedName function="false" hidden="true" name="IQ_NI_GW_NUM_EST_THOM" vbProcedure="false">"c5137"</definedName>
    <definedName function="false" hidden="true" name="IQ_NI_GW_STDDEV_EST_REUT" vbProcedure="false">"c5380"</definedName>
    <definedName function="false" hidden="true" name="IQ_NI_GW_STDDEV_EST_THOM" vbProcedure="false">"c5138"</definedName>
    <definedName function="false" hidden="true" name="IQ_NI_HIGH_EST_REUT" vbProcedure="false">"c5370"</definedName>
    <definedName function="false" hidden="true" name="IQ_NI_LOW_EST_REUT" vbProcedure="false">"c5371"</definedName>
    <definedName function="false" hidden="true" name="IQ_NI_MEDIAN_EST_REUT" vbProcedure="false">"c5369"</definedName>
    <definedName function="false" hidden="true" name="IQ_NI_NUM_EST_REUT" vbProcedure="false">"c5372"</definedName>
    <definedName function="false" hidden="true" name="IQ_NI_REPORTED_EST_REUT" vbProcedure="false">"c5382"</definedName>
    <definedName function="false" hidden="true" name="IQ_NI_REPORTED_HIGH_EST_REUT" vbProcedure="false">"c5384"</definedName>
    <definedName function="false" hidden="true" name="IQ_NI_REPORTED_LOW_EST_REUT" vbProcedure="false">"c5385"</definedName>
    <definedName function="false" hidden="true" name="IQ_NI_REPORTED_MEDIAN_EST_REUT" vbProcedure="false">"c5383"</definedName>
    <definedName function="false" hidden="true" name="IQ_NI_REPORTED_NUM_EST_REUT" vbProcedure="false">"c5386"</definedName>
    <definedName function="false" hidden="true" name="IQ_NI_REPORTED_STDDEV_EST_REUT" vbProcedure="false">"c5387"</definedName>
    <definedName function="false" hidden="true" name="IQ_NI_STDDEV_EST_REUT" vbProcedure="false">"c5373"</definedName>
    <definedName function="false" hidden="true" name="IQ_NONCURRENT_LOANS_1_4_FAMILY_FDIC" vbProcedure="false">"c6770"</definedName>
    <definedName function="false" hidden="true" name="IQ_NONCURRENT_LOANS_COMMERCIAL_INDUSTRIAL_FDIC" vbProcedure="false">"c6773"</definedName>
    <definedName function="false" hidden="true" name="IQ_NONCURRENT_LOANS_COMMERCIAL_RE_FDIC" vbProcedure="false">"c6768"</definedName>
    <definedName function="false" hidden="true" name="IQ_NONCURRENT_LOANS_COMMERCIAL_RE_NOT_SECURED_FDIC" vbProcedure="false">"c6778"</definedName>
    <definedName function="false" hidden="true" name="IQ_NONCURRENT_LOANS_CONSTRUCTION_LAND_DEV_FDIC" vbProcedure="false">"c6767"</definedName>
    <definedName function="false" hidden="true" name="IQ_NONCURRENT_LOANS_CREDIT_CARD_FDIC" vbProcedure="false">"c6775"</definedName>
    <definedName function="false" hidden="true" name="IQ_NONCURRENT_LOANS_GUARANTEED_FDIC" vbProcedure="false">"c6358"</definedName>
    <definedName function="false" hidden="true" name="IQ_NONCURRENT_LOANS_HOME_EQUITY_FDIC" vbProcedure="false">"c6771"</definedName>
    <definedName function="false" hidden="true" name="IQ_NONCURRENT_LOANS_INDIVIDUALS_FDIC" vbProcedure="false">"c6774"</definedName>
    <definedName function="false" hidden="true" name="IQ_NONCURRENT_LOANS_LEASES_FDIC" vbProcedure="false">"c6357"</definedName>
    <definedName function="false" hidden="true" name="IQ_NONCURRENT_LOANS_MULTIFAMILY_FDIC" vbProcedure="false">"c6769"</definedName>
    <definedName function="false" hidden="true" name="IQ_NONCURRENT_LOANS_OTHER_FAMILY_FDIC" vbProcedure="false">"c6772"</definedName>
    <definedName function="false" hidden="true" name="IQ_NONCURRENT_LOANS_OTHER_INDIVIDUAL_FDIC" vbProcedure="false">"c6776"</definedName>
    <definedName function="false" hidden="true" name="IQ_NONCURRENT_LOANS_OTHER_LOANS_FDIC" vbProcedure="false">"c6777"</definedName>
    <definedName function="false" hidden="true" name="IQ_NONCURRENT_LOANS_RE_FDIC" vbProcedure="false">"c6766"</definedName>
    <definedName function="false" hidden="true" name="IQ_NONCURRENT_LOANS_TOTAL_LOANS_FDIC" vbProcedure="false">"c6765"</definedName>
    <definedName function="false" hidden="true" name="IQ_NONCURRENT_OREO_ASSETS_FDIC" vbProcedure="false">"c6741"</definedName>
    <definedName function="false" hidden="true" name="IQ_NONINTEREST_BEARING_BALANCES_FDIC" vbProcedure="false">"c6394"</definedName>
    <definedName function="false" hidden="true" name="IQ_NONINTEREST_BEARING_DEPOSITS_DOMESTIC_FDIC" vbProcedure="false">"c6477"</definedName>
    <definedName function="false" hidden="true" name="IQ_NONINTEREST_BEARING_DEPOSITS_FOREIGN_FDIC" vbProcedure="false">"c6484"</definedName>
    <definedName function="false" hidden="true" name="IQ_NONINTEREST_EXPENSE_EARNING_ASSETS_FDIC" vbProcedure="false">"c6728"</definedName>
    <definedName function="false" hidden="true" name="IQ_NONINTEREST_INCOME_EARNING_ASSETS_FDIC" vbProcedure="false">"c6727"</definedName>
    <definedName function="false" hidden="true" name="IQ_NONMORTGAGE_SERVICING_FDIC" vbProcedure="false">"c6336"</definedName>
    <definedName function="false" hidden="true" name="IQ_NONRES_FIXED_INVEST_PRIV_APR_FC_UNUSED_UNUSED_UNUSED" vbProcedure="false">"c8468"</definedName>
    <definedName function="false" hidden="true" name="IQ_NONRES_FIXED_INVEST_PRIV_APR_UNUSED_UNUSED_UNUSED" vbProcedure="false">"c7588"</definedName>
    <definedName function="false" hidden="true" name="IQ_NONRES_FIXED_INVEST_PRIV_FC_UNUSED_UNUSED_UNUSED" vbProcedure="false">"c7808"</definedName>
    <definedName function="false" hidden="true" name="IQ_NONRES_FIXED_INVEST_PRIV_POP_FC_UNUSED_UNUSED_UNUSED" vbProcedure="false">"c8028"</definedName>
    <definedName function="false" hidden="true" name="IQ_NONRES_FIXED_INVEST_PRIV_POP_UNUSED_UNUSED_UNUSED" vbProcedure="false">"c7148"</definedName>
    <definedName function="false" hidden="true" name="IQ_NONRES_FIXED_INVEST_PRIV_UNUSED_UNUSED_UNUSED" vbProcedure="false">"c6928"</definedName>
    <definedName function="false" hidden="true" name="IQ_NONRES_FIXED_INVEST_PRIV_YOY_FC_UNUSED_UNUSED_UNUSED" vbProcedure="false">"c8248"</definedName>
    <definedName function="false" hidden="true" name="IQ_NONRES_FIXED_INVEST_PRIV_YOY_UNUSED_UNUSED_UNUSED" vbProcedure="false">"c7368"</definedName>
    <definedName function="false" hidden="true" name="IQ_NONTRANSACTION_ACCOUNTS_FDIC" vbProcedure="false">"c6552"</definedName>
    <definedName function="false" hidden="true" name="IQ_NON_INT_EXP_FDIC" vbProcedure="false">"c6579"</definedName>
    <definedName function="false" hidden="true" name="IQ_NON_INT_INC_FDIC" vbProcedure="false">"c6575"</definedName>
    <definedName function="false" hidden="true" name="IQ_NON_US_ADDRESSEES_TOTAL_LOANS_FOREIGN_FDIC" vbProcedure="false">"c6443"</definedName>
    <definedName function="false" hidden="true" name="IQ_NON_US_CHARGE_OFFS_AND_RECOVERIES_FDIC" vbProcedure="false">"c6650"</definedName>
    <definedName function="false" hidden="true" name="IQ_NON_US_CHARGE_OFFS_FDIC" vbProcedure="false">"c6648"</definedName>
    <definedName function="false" hidden="true" name="IQ_NON_US_COMMERCIAL_INDUSTRIAL_CHARGE_OFFS_FDIC" vbProcedure="false">"c6651"</definedName>
    <definedName function="false" hidden="true" name="IQ_NON_US_NET_LOANS_FDIC" vbProcedure="false">"c6376"</definedName>
    <definedName function="false" hidden="true" name="IQ_NON_US_RECOVERIES_FDIC" vbProcedure="false">"c6649"</definedName>
    <definedName function="false" hidden="true" name="IQ_NORM_EPS_ACT_OR_EST_REUT" vbProcedure="false">"c5472"</definedName>
    <definedName function="false" hidden="true" name="IQ_NOTIONAL_AMOUNT_CREDIT_DERIVATIVES_FDIC" vbProcedure="false">"c6507"</definedName>
    <definedName function="false" hidden="true" name="IQ_NOTIONAL_VALUE_EXCHANGE_SWAPS_FDIC" vbProcedure="false">"c6516"</definedName>
    <definedName function="false" hidden="true" name="IQ_NOTIONAL_VALUE_OTHER_SWAPS_FDIC" vbProcedure="false">"c6521"</definedName>
    <definedName function="false" hidden="true" name="IQ_NOTIONAL_VALUE_RATE_SWAPS_FDIC" vbProcedure="false">"c6511"</definedName>
    <definedName function="false" hidden="false" name="IQ_NTM" vbProcedure="false">6000</definedName>
    <definedName function="false" hidden="true" name="IQ_NUMBER_DEPOSITS_LESS_THAN_100K_FDIC" vbProcedure="false">"c6495"</definedName>
    <definedName function="false" hidden="true" name="IQ_NUMBER_DEPOSITS_MORE_THAN_100K_FDIC" vbProcedure="false">"c6493"</definedName>
    <definedName function="false" hidden="true" name="IQ_NUMBER_SHAREHOLDERS_CLASSB" vbProcedure="false">"c1969"</definedName>
    <definedName function="false" hidden="true" name="IQ_NUM_OFFICES" vbProcedure="false">"c2088"</definedName>
    <definedName function="false" hidden="true" name="IQ_OBLIGATIONS_OF_STATES_TOTAL_LOANS_FOREIGN_FDIC" vbProcedure="false">"c6447"</definedName>
    <definedName function="false" hidden="true" name="IQ_OBLIGATIONS_STATES_FDIC" vbProcedure="false">"c6431"</definedName>
    <definedName function="false" hidden="true" name="IQ_OG_OTHER_ADJ" vbProcedure="false">"c1999"</definedName>
    <definedName function="false" hidden="true" name="IQ_OG_TOTAL_OIL_PRODUCTON" vbProcedure="false">"c2059"</definedName>
    <definedName function="false" hidden="true" name="IQ_OPENED55" vbProcedure="false">1</definedName>
    <definedName function="false" hidden="true" name="IQ_OPER_INC_ACT_OR_EST_REUT" vbProcedure="false">"c5466"</definedName>
    <definedName function="false" hidden="true" name="IQ_OPER_INC_BR" vbProcedure="false">"c850"</definedName>
    <definedName function="false" hidden="true" name="IQ_OPER_INC_EST_REUT" vbProcedure="false">"c5340"</definedName>
    <definedName function="false" hidden="true" name="IQ_OPER_INC_HIGH_EST_REUT" vbProcedure="false">"c5342"</definedName>
    <definedName function="false" hidden="true" name="IQ_OPER_INC_LOW_EST_REUT" vbProcedure="false">"c5343"</definedName>
    <definedName function="false" hidden="true" name="IQ_OPER_INC_MEDIAN_EST_REUT" vbProcedure="false">"c5341"</definedName>
    <definedName function="false" hidden="true" name="IQ_OPER_INC_NUM_EST_REUT" vbProcedure="false">"c5344"</definedName>
    <definedName function="false" hidden="true" name="IQ_OPER_INC_STDDEV_EST_REUT" vbProcedure="false">"c5345"</definedName>
    <definedName function="false" hidden="true" name="IQ_OPTIONS_EXCERCISED" vbProcedure="false">"c2116"</definedName>
    <definedName function="false" hidden="true" name="IQ_OPTIONS_OS" vbProcedure="false">"c858"</definedName>
    <definedName function="false" hidden="true" name="IQ_OREO_1_4_RESIDENTIAL_FDIC" vbProcedure="false">"c6454"</definedName>
    <definedName function="false" hidden="true" name="IQ_OREO_COMMERCIAL_RE_FDIC" vbProcedure="false">"c6456"</definedName>
    <definedName function="false" hidden="true" name="IQ_OREO_CONSTRUCTION_DEVELOPMENT_FDIC" vbProcedure="false">"c6457"</definedName>
    <definedName function="false" hidden="true" name="IQ_OREO_FARMLAND_FDIC" vbProcedure="false">"c6458"</definedName>
    <definedName function="false" hidden="true" name="IQ_OREO_FOREIGN_FDIC" vbProcedure="false">"c6460"</definedName>
    <definedName function="false" hidden="true" name="IQ_OREO_MULTI_FAMILY_RESIDENTIAL_FDIC" vbProcedure="false">"c6455"</definedName>
    <definedName function="false" hidden="true" name="IQ_OTHER_3" vbProcedure="false">"c1000"</definedName>
    <definedName function="false" hidden="true" name="IQ_OTHER_AMORT_BR" vbProcedure="false">"c5566"</definedName>
    <definedName function="false" hidden="true" name="IQ_OTHER_ASSETS_BR" vbProcedure="false">"c862"</definedName>
    <definedName function="false" hidden="true" name="IQ_OTHER_ASSETS_FDIC" vbProcedure="false">"c6338"</definedName>
    <definedName function="false" hidden="true" name="IQ_OTHER_BORROWED_FUNDS_FDIC" vbProcedure="false">"c6345"</definedName>
    <definedName function="false" hidden="true" name="IQ_OTHER_CA_SUPPL_BR" vbProcedure="false">"c871"</definedName>
    <definedName function="false" hidden="true" name="IQ_OTHER_CL_SUPPL_BR" vbProcedure="false">"c880"</definedName>
    <definedName function="false" hidden="true" name="IQ_OTHER_COMPREHENSIVE_INCOME_FDIC" vbProcedure="false">"c6503"</definedName>
    <definedName function="false" hidden="true" name="IQ_OTHER_DEPOSITORY_INSTITUTIONS_LOANS_FDIC" vbProcedure="false">"c6436"</definedName>
    <definedName function="false" hidden="true" name="IQ_OTHER_DEPOSITORY_INSTITUTIONS_TOTAL_LOANS_FOREIGN_FDIC" vbProcedure="false">"c6442"</definedName>
    <definedName function="false" hidden="true" name="IQ_OTHER_DOMESTIC_DEBT_SECURITIES_FDIC" vbProcedure="false">"c6302"</definedName>
    <definedName function="false" hidden="true" name="IQ_OTHER_EQUITY_BR" vbProcedure="false">"c888"</definedName>
    <definedName function="false" hidden="true" name="IQ_OTHER_FINANCE_ACT_BR" vbProcedure="false">"c895"</definedName>
    <definedName function="false" hidden="true" name="IQ_OTHER_FINANCE_ACT_SUPPL_BR" vbProcedure="false">"c901"</definedName>
    <definedName function="false" hidden="true" name="IQ_OTHER_INSURANCE_FEES_FDIC" vbProcedure="false">"c6672"</definedName>
    <definedName function="false" hidden="true" name="IQ_OTHER_INTANGIBLE_FDIC" vbProcedure="false">"c6337"</definedName>
    <definedName function="false" hidden="true" name="IQ_OTHER_INTAN_BR" vbProcedure="false">"c909"</definedName>
    <definedName function="false" hidden="true" name="IQ_OTHER_INVEST_ACT_BR" vbProcedure="false">"c918"</definedName>
    <definedName function="false" hidden="true" name="IQ_OTHER_INVEST_ACT_SUPPL_BR" vbProcedure="false">"c924"</definedName>
    <definedName function="false" hidden="true" name="IQ_OTHER_LIABILITIES_FDIC" vbProcedure="false">"c6347"</definedName>
    <definedName function="false" hidden="true" name="IQ_OTHER_LIAB_BR" vbProcedure="false">"c932"</definedName>
    <definedName function="false" hidden="true" name="IQ_OTHER_LIAB_LT_BR" vbProcedure="false">"c937"</definedName>
    <definedName function="false" hidden="true" name="IQ_OTHER_LOANS_CHARGE_OFFS_FDIC" vbProcedure="false">"c6601"</definedName>
    <definedName function="false" hidden="true" name="IQ_OTHER_LOANS_FOREIGN_FDIC" vbProcedure="false">"c6446"</definedName>
    <definedName function="false" hidden="true" name="IQ_OTHER_LOANS_LEASES_FDIC" vbProcedure="false">"c6322"</definedName>
    <definedName function="false" hidden="true" name="IQ_OTHER_LOANS_NET_CHARGE_OFFS_FDIC" vbProcedure="false">"c6639"</definedName>
    <definedName function="false" hidden="true" name="IQ_OTHER_LOANS_RECOVERIES_FDIC" vbProcedure="false">"c6620"</definedName>
    <definedName function="false" hidden="true" name="IQ_OTHER_LOANS_TOTAL_FDIC" vbProcedure="false">"c6432"</definedName>
    <definedName function="false" hidden="true" name="IQ_OTHER_LT_ASSETS_BR" vbProcedure="false">"c948"</definedName>
    <definedName function="false" hidden="true" name="IQ_OTHER_MINING_REVENUE_COAL" vbProcedure="false">"c15931"</definedName>
    <definedName function="false" hidden="true" name="IQ_OTHER_NON_INT_EXPENSE_FDIC" vbProcedure="false">"c6679"</definedName>
    <definedName function="false" hidden="true" name="IQ_OTHER_NON_INT_EXP_FDIC" vbProcedure="false">"c6578"</definedName>
    <definedName function="false" hidden="true" name="IQ_OTHER_NON_INT_INC_FDIC" vbProcedure="false">"c6676"</definedName>
    <definedName function="false" hidden="true" name="IQ_OTHER_NON_OPER_EXP_BR" vbProcedure="false">"c957"</definedName>
    <definedName function="false" hidden="true" name="IQ_OTHER_NON_OPER_EXP_SUPPL_BR" vbProcedure="false">"c962"</definedName>
    <definedName function="false" hidden="true" name="IQ_OTHER_NON_REC" vbProcedure="false">"c968"</definedName>
    <definedName function="false" hidden="true" name="IQ_OTHER_NON_REC_BNK" vbProcedure="false">"c969"</definedName>
    <definedName function="false" hidden="true" name="IQ_OTHER_NON_REC_BR" vbProcedure="false">"c970"</definedName>
    <definedName function="false" hidden="true" name="IQ_OTHER_NON_REC_FIN" vbProcedure="false">"c971"</definedName>
    <definedName function="false" hidden="true" name="IQ_OTHER_NON_REC_INS" vbProcedure="false">"c972"</definedName>
    <definedName function="false" hidden="true" name="IQ_OTHER_NON_REC_REIT" vbProcedure="false">"c973"</definedName>
    <definedName function="false" hidden="true" name="IQ_OTHER_NON_REC_SUPPL" vbProcedure="false">"c974"</definedName>
    <definedName function="false" hidden="true" name="IQ_OTHER_NON_REC_SUPPL_BNK" vbProcedure="false">"c975"</definedName>
    <definedName function="false" hidden="true" name="IQ_OTHER_NON_REC_SUPPL_BR" vbProcedure="false">"c976"</definedName>
    <definedName function="false" hidden="true" name="IQ_OTHER_NON_REC_SUPPL_FIN" vbProcedure="false">"c977"</definedName>
    <definedName function="false" hidden="true" name="IQ_OTHER_NON_REC_SUPPL_INS" vbProcedure="false">"c978"</definedName>
    <definedName function="false" hidden="true" name="IQ_OTHER_NON_REC_SUPPL_REIT" vbProcedure="false">"c979"</definedName>
    <definedName function="false" hidden="true" name="IQ_OTHER_NON_REC_SUPPL_UTI" vbProcedure="false">"c980"</definedName>
    <definedName function="false" hidden="true" name="IQ_OTHER_NON_REC_UTI" vbProcedure="false">"c981"</definedName>
    <definedName function="false" hidden="true" name="IQ_OTHER_OFF_BS_LIAB_FDIC" vbProcedure="false">"c6533"</definedName>
    <definedName function="false" hidden="true" name="IQ_OTHER_OPER_ACT_BR" vbProcedure="false">"c985"</definedName>
    <definedName function="false" hidden="true" name="IQ_OTHER_OPER_BR" vbProcedure="false">"c990"</definedName>
    <definedName function="false" hidden="true" name="IQ_OTHER_OPER_SUPPL_BR" vbProcedure="false">"c994"</definedName>
    <definedName function="false" hidden="true" name="IQ_OTHER_OPER_TOT_BR" vbProcedure="false">"c1000"</definedName>
    <definedName function="false" hidden="true" name="IQ_OTHER_REV_BR" vbProcedure="false">"c1011"</definedName>
    <definedName function="false" hidden="true" name="IQ_OTHER_REV_SUPPL_BR" vbProcedure="false">"c1016"</definedName>
    <definedName function="false" hidden="true" name="IQ_OTHER_RE_OWNED_FDIC" vbProcedure="false">"c6330"</definedName>
    <definedName function="false" hidden="true" name="IQ_OTHER_SAVINGS_DEPOSITS_FDIC" vbProcedure="false">"c6554"</definedName>
    <definedName function="false" hidden="true" name="IQ_OTHER_TRANSACTIONS_FDIC" vbProcedure="false">"c6504"</definedName>
    <definedName function="false" hidden="true" name="IQ_OTHER_UNUSAL" vbProcedure="false">"c998"</definedName>
    <definedName function="false" hidden="true" name="IQ_OTHER_UNUSAL_BNK" vbProcedure="false">"c999"</definedName>
    <definedName function="false" hidden="true" name="IQ_OTHER_UNUSAL_BR" vbProcedure="false">"c1000"</definedName>
    <definedName function="false" hidden="true" name="IQ_OTHER_UNUSAL_FIN" vbProcedure="false">"c1001"</definedName>
    <definedName function="false" hidden="true" name="IQ_OTHER_UNUSAL_INS" vbProcedure="false">"c1002"</definedName>
    <definedName function="false" hidden="true" name="IQ_OTHER_UNUSAL_REIT" vbProcedure="false">"c1003"</definedName>
    <definedName function="false" hidden="true" name="IQ_OTHER_UNUSAL_SUPPL" vbProcedure="false">"c1004"</definedName>
    <definedName function="false" hidden="true" name="IQ_OTHER_UNUSAL_SUPPL_BNK" vbProcedure="false">"c1005"</definedName>
    <definedName function="false" hidden="true" name="IQ_OTHER_UNUSAL_SUPPL_BR" vbProcedure="false">"c1006"</definedName>
    <definedName function="false" hidden="true" name="IQ_OTHER_UNUSAL_SUPPL_FIN" vbProcedure="false">"c1007"</definedName>
    <definedName function="false" hidden="true" name="IQ_OTHER_UNUSAL_SUPPL_INS" vbProcedure="false">"c1008"</definedName>
    <definedName function="false" hidden="true" name="IQ_OTHER_UNUSAL_SUPPL_REIT" vbProcedure="false">"c1009"</definedName>
    <definedName function="false" hidden="true" name="IQ_OTHER_UNUSAL_SUPPL_UTI" vbProcedure="false">"c1010"</definedName>
    <definedName function="false" hidden="true" name="IQ_OTHER_UNUSAL_UTI" vbProcedure="false">"c1011"</definedName>
    <definedName function="false" hidden="true" name="IQ_OTHER_UNUSED_COMMITMENTS_FDIC" vbProcedure="false">"c6530"</definedName>
    <definedName function="false" hidden="true" name="IQ_OTHER_UNUSUAL_BR" vbProcedure="false">"c1561"</definedName>
    <definedName function="false" hidden="true" name="IQ_OTHER_UNUSUAL_SUPPL_BR" vbProcedure="false">"c1496"</definedName>
    <definedName function="false" hidden="true" name="IQ_OUT2" vbProcedure="false">"c1023"</definedName>
    <definedName function="false" hidden="true" name="IQ_OUTSTANDING_FILING_DATE_TOTAL" vbProcedure="false">"c2107"</definedName>
    <definedName function="false" hidden="true" name="IQ_OVER_FIFETEEN_YEAR_MORTGAGE_PASS_THROUGHS_FDIC" vbProcedure="false">"c6416"</definedName>
    <definedName function="false" hidden="true" name="IQ_OVER_FIFTEEN_YEAR_FIXED_AND_FLOATING_RATE_FDIC" vbProcedure="false">"c6424"</definedName>
    <definedName function="false" hidden="true" name="IQ_OVER_THREE_YEARS_FDIC" vbProcedure="false">"c6418"</definedName>
    <definedName function="false" hidden="true" name="IQ_PARTICIPATION_POOLS_RESIDENTIAL_MORTGAGES_FDIC" vbProcedure="false">"c6403"</definedName>
    <definedName function="false" hidden="true" name="IQ_PAST_DUE_30_1_4_FAMILY_LOANS_FDIC" vbProcedure="false">"c6693"</definedName>
    <definedName function="false" hidden="true" name="IQ_PAST_DUE_30_AUTO_LOANS_FDIC" vbProcedure="false">"c6687"</definedName>
    <definedName function="false" hidden="true" name="IQ_PAST_DUE_30_CL_LOANS_FDIC" vbProcedure="false">"c6688"</definedName>
    <definedName function="false" hidden="true" name="IQ_PAST_DUE_30_CREDIT_CARDS_RECEIVABLES_FDIC" vbProcedure="false">"c6690"</definedName>
    <definedName function="false" hidden="true" name="IQ_PAST_DUE_30_HOME_EQUITY_LINES_FDIC" vbProcedure="false">"c6691"</definedName>
    <definedName function="false" hidden="true" name="IQ_PAST_DUE_30_OTHER_CONSUMER_LOANS_FDIC" vbProcedure="false">"c6689"</definedName>
    <definedName function="false" hidden="true" name="IQ_PAST_DUE_30_OTHER_LOANS_FDIC" vbProcedure="false">"c6692"</definedName>
    <definedName function="false" hidden="true" name="IQ_PAST_DUE_90_1_4_FAMILY_LOANS_FDIC" vbProcedure="false">"c6700"</definedName>
    <definedName function="false" hidden="true" name="IQ_PAST_DUE_90_AUTO_LOANS_FDIC" vbProcedure="false">"c6694"</definedName>
    <definedName function="false" hidden="true" name="IQ_PAST_DUE_90_CL_LOANS_FDIC" vbProcedure="false">"c6695"</definedName>
    <definedName function="false" hidden="true" name="IQ_PAST_DUE_90_CREDIT_CARDS_RECEIVABLES_FDIC" vbProcedure="false">"c6697"</definedName>
    <definedName function="false" hidden="true" name="IQ_PAST_DUE_90_HOME_EQUITY_LINES_FDIC" vbProcedure="false">"c6698"</definedName>
    <definedName function="false" hidden="true" name="IQ_PAST_DUE_90_OTHER_CONSUMER_LOANS_FDIC" vbProcedure="false">"c6696"</definedName>
    <definedName function="false" hidden="true" name="IQ_PAST_DUE_90_OTHER_LOANS_FDIC" vbProcedure="false">"c6699"</definedName>
    <definedName function="false" hidden="true" name="IQ_PC_WRITTEN" vbProcedure="false">"c1027"</definedName>
    <definedName function="false" hidden="true" name="IQ_PEG_FWD_REUT" vbProcedure="false">"c4052"</definedName>
    <definedName function="false" hidden="true" name="IQ_PERCENT_CHANGE_EST_5YR_GROWTH_RATE_12MONTHS_REUT" vbProcedure="false">"c3959"</definedName>
    <definedName function="false" hidden="true" name="IQ_PERCENT_CHANGE_EST_5YR_GROWTH_RATE_18MONTHS_REUT" vbProcedure="false">"c3960"</definedName>
    <definedName function="false" hidden="true" name="IQ_PERCENT_CHANGE_EST_5YR_GROWTH_RATE_3MONTHS_REUT" vbProcedure="false">"c3956"</definedName>
    <definedName function="false" hidden="true" name="IQ_PERCENT_CHANGE_EST_5YR_GROWTH_RATE_6MONTHS_REUT" vbProcedure="false">"c3957"</definedName>
    <definedName function="false" hidden="true" name="IQ_PERCENT_CHANGE_EST_5YR_GROWTH_RATE_9MONTHS_REUT" vbProcedure="false">"c3958"</definedName>
    <definedName function="false" hidden="true" name="IQ_PERCENT_CHANGE_EST_5YR_GROWTH_RATE_DAY_REUT" vbProcedure="false">"c3954"</definedName>
    <definedName function="false" hidden="true" name="IQ_PERCENT_CHANGE_EST_5YR_GROWTH_RATE_MONTH_REUT" vbProcedure="false">"c3955"</definedName>
    <definedName function="false" hidden="true" name="IQ_PERCENT_CHANGE_EST_5YR_GROWTH_RATE_WEEK_REUT" vbProcedure="false">"c5435"</definedName>
    <definedName function="false" hidden="true" name="IQ_PERCENT_CHANGE_EST_CFPS_12MONTHS_REUT" vbProcedure="false">"c3924"</definedName>
    <definedName function="false" hidden="true" name="IQ_PERCENT_CHANGE_EST_CFPS_18MONTHS_REUT" vbProcedure="false">"c3925"</definedName>
    <definedName function="false" hidden="true" name="IQ_PERCENT_CHANGE_EST_CFPS_3MONTHS_REUT" vbProcedure="false">"c3921"</definedName>
    <definedName function="false" hidden="true" name="IQ_PERCENT_CHANGE_EST_CFPS_6MONTHS_REUT" vbProcedure="false">"c3922"</definedName>
    <definedName function="false" hidden="true" name="IQ_PERCENT_CHANGE_EST_CFPS_9MONTHS_REUT" vbProcedure="false">"c3923"</definedName>
    <definedName function="false" hidden="true" name="IQ_PERCENT_CHANGE_EST_CFPS_DAY_REUT" vbProcedure="false">"c3919"</definedName>
    <definedName function="false" hidden="true" name="IQ_PERCENT_CHANGE_EST_CFPS_MONTH_REUT" vbProcedure="false">"c3920"</definedName>
    <definedName function="false" hidden="true" name="IQ_PERCENT_CHANGE_EST_CFPS_WEEK_REUT" vbProcedure="false">"c3962"</definedName>
    <definedName function="false" hidden="true" name="IQ_PERCENT_CHANGE_EST_DPS_12MONTHS_REUT" vbProcedure="false">"c3931"</definedName>
    <definedName function="false" hidden="true" name="IQ_PERCENT_CHANGE_EST_DPS_18MONTHS_REUT" vbProcedure="false">"c3932"</definedName>
    <definedName function="false" hidden="true" name="IQ_PERCENT_CHANGE_EST_DPS_3MONTHS_REUT" vbProcedure="false">"c3928"</definedName>
    <definedName function="false" hidden="true" name="IQ_PERCENT_CHANGE_EST_DPS_6MONTHS_REUT" vbProcedure="false">"c3929"</definedName>
    <definedName function="false" hidden="true" name="IQ_PERCENT_CHANGE_EST_DPS_9MONTHS_REUT" vbProcedure="false">"c3930"</definedName>
    <definedName function="false" hidden="true" name="IQ_PERCENT_CHANGE_EST_DPS_DAY_REUT" vbProcedure="false">"c3926"</definedName>
    <definedName function="false" hidden="true" name="IQ_PERCENT_CHANGE_EST_DPS_MONTH_REUT" vbProcedure="false">"c3927"</definedName>
    <definedName function="false" hidden="true" name="IQ_PERCENT_CHANGE_EST_DPS_WEEK_REUT" vbProcedure="false">"c3963"</definedName>
    <definedName function="false" hidden="true" name="IQ_PERCENT_CHANGE_EST_EBITDA_12MONTHS_REUT" vbProcedure="false">"c3917"</definedName>
    <definedName function="false" hidden="true" name="IQ_PERCENT_CHANGE_EST_EBITDA_18MONTHS_REUT" vbProcedure="false">"c3918"</definedName>
    <definedName function="false" hidden="true" name="IQ_PERCENT_CHANGE_EST_EBITDA_3MONTHS_REUT" vbProcedure="false">"c3914"</definedName>
    <definedName function="false" hidden="true" name="IQ_PERCENT_CHANGE_EST_EBITDA_6MONTHS_REUT" vbProcedure="false">"c3915"</definedName>
    <definedName function="false" hidden="true" name="IQ_PERCENT_CHANGE_EST_EBITDA_9MONTHS_REUT" vbProcedure="false">"c3916"</definedName>
    <definedName function="false" hidden="true" name="IQ_PERCENT_CHANGE_EST_EBITDA_DAY_REUT" vbProcedure="false">"c3912"</definedName>
    <definedName function="false" hidden="true" name="IQ_PERCENT_CHANGE_EST_EBITDA_MONTH_REUT" vbProcedure="false">"c3913"</definedName>
    <definedName function="false" hidden="true" name="IQ_PERCENT_CHANGE_EST_EBITDA_WEEK_REUT" vbProcedure="false">"c3961"</definedName>
    <definedName function="false" hidden="true" name="IQ_PERCENT_CHANGE_EST_EPS_12MONTHS_REUT" vbProcedure="false">"c3902"</definedName>
    <definedName function="false" hidden="true" name="IQ_PERCENT_CHANGE_EST_EPS_18MONTHS_REUT" vbProcedure="false">"c3903"</definedName>
    <definedName function="false" hidden="true" name="IQ_PERCENT_CHANGE_EST_EPS_3MONTHS_REUT" vbProcedure="false">"c3899"</definedName>
    <definedName function="false" hidden="true" name="IQ_PERCENT_CHANGE_EST_EPS_6MONTHS_REUT" vbProcedure="false">"c3900"</definedName>
    <definedName function="false" hidden="true" name="IQ_PERCENT_CHANGE_EST_EPS_9MONTHS_REUT" vbProcedure="false">"c3901"</definedName>
    <definedName function="false" hidden="true" name="IQ_PERCENT_CHANGE_EST_EPS_DAY_REUT" vbProcedure="false">"c3896"</definedName>
    <definedName function="false" hidden="true" name="IQ_PERCENT_CHANGE_EST_EPS_MONTH_REUT" vbProcedure="false">"c3898"</definedName>
    <definedName function="false" hidden="true" name="IQ_PERCENT_CHANGE_EST_EPS_WEEK_REUT" vbProcedure="false">"c3897"</definedName>
    <definedName function="false" hidden="true" name="IQ_PERCENT_CHANGE_EST_FFO_12MONTHS" vbProcedure="false">"c1828"</definedName>
    <definedName function="false" hidden="true" name="IQ_PERCENT_CHANGE_EST_FFO_12MONTHS_CIQ" vbProcedure="false">"c3769"</definedName>
    <definedName function="false" hidden="true" name="IQ_PERCENT_CHANGE_EST_FFO_12MONTHS_REUT" vbProcedure="false">"c3938"</definedName>
    <definedName function="false" hidden="true" name="IQ_PERCENT_CHANGE_EST_FFO_12MONTHS_THOM" vbProcedure="false">"c5248"</definedName>
    <definedName function="false" hidden="true" name="IQ_PERCENT_CHANGE_EST_FFO_18MONTHS" vbProcedure="false">"c1829"</definedName>
    <definedName function="false" hidden="true" name="IQ_PERCENT_CHANGE_EST_FFO_18MONTHS_CIQ" vbProcedure="false">"c3770"</definedName>
    <definedName function="false" hidden="true" name="IQ_PERCENT_CHANGE_EST_FFO_18MONTHS_REUT" vbProcedure="false">"c3939"</definedName>
    <definedName function="false" hidden="true" name="IQ_PERCENT_CHANGE_EST_FFO_18MONTHS_THOM" vbProcedure="false">"c5249"</definedName>
    <definedName function="false" hidden="true" name="IQ_PERCENT_CHANGE_EST_FFO_3MONTHS" vbProcedure="false">"c1825"</definedName>
    <definedName function="false" hidden="true" name="IQ_PERCENT_CHANGE_EST_FFO_3MONTHS_CIQ" vbProcedure="false">"c3766"</definedName>
    <definedName function="false" hidden="true" name="IQ_PERCENT_CHANGE_EST_FFO_3MONTHS_REUT" vbProcedure="false">"c3935"</definedName>
    <definedName function="false" hidden="true" name="IQ_PERCENT_CHANGE_EST_FFO_3MONTHS_THOM" vbProcedure="false">"c5245"</definedName>
    <definedName function="false" hidden="true" name="IQ_PERCENT_CHANGE_EST_FFO_6MONTHS" vbProcedure="false">"c1826"</definedName>
    <definedName function="false" hidden="true" name="IQ_PERCENT_CHANGE_EST_FFO_6MONTHS_CIQ" vbProcedure="false">"c3767"</definedName>
    <definedName function="false" hidden="true" name="IQ_PERCENT_CHANGE_EST_FFO_6MONTHS_REUT" vbProcedure="false">"c3936"</definedName>
    <definedName function="false" hidden="true" name="IQ_PERCENT_CHANGE_EST_FFO_6MONTHS_THOM" vbProcedure="false">"c5246"</definedName>
    <definedName function="false" hidden="true" name="IQ_PERCENT_CHANGE_EST_FFO_9MONTHS" vbProcedure="false">"c1827"</definedName>
    <definedName function="false" hidden="true" name="IQ_PERCENT_CHANGE_EST_FFO_9MONTHS_CIQ" vbProcedure="false">"c3768"</definedName>
    <definedName function="false" hidden="true" name="IQ_PERCENT_CHANGE_EST_FFO_9MONTHS_REUT" vbProcedure="false">"c3937"</definedName>
    <definedName function="false" hidden="true" name="IQ_PERCENT_CHANGE_EST_FFO_9MONTHS_THOM" vbProcedure="false">"c5247"</definedName>
    <definedName function="false" hidden="true" name="IQ_PERCENT_CHANGE_EST_FFO_DAY" vbProcedure="false">"c1822"</definedName>
    <definedName function="false" hidden="true" name="IQ_PERCENT_CHANGE_EST_FFO_DAY_CIQ" vbProcedure="false">"c3764"</definedName>
    <definedName function="false" hidden="true" name="IQ_PERCENT_CHANGE_EST_FFO_DAY_REUT" vbProcedure="false">"c3933"</definedName>
    <definedName function="false" hidden="true" name="IQ_PERCENT_CHANGE_EST_FFO_DAY_THOM" vbProcedure="false">"c5243"</definedName>
    <definedName function="false" hidden="true" name="IQ_PERCENT_CHANGE_EST_FFO_MONTH" vbProcedure="false">"c1824"</definedName>
    <definedName function="false" hidden="true" name="IQ_PERCENT_CHANGE_EST_FFO_MONTH_CIQ" vbProcedure="false">"c3765"</definedName>
    <definedName function="false" hidden="true" name="IQ_PERCENT_CHANGE_EST_FFO_MONTH_REUT" vbProcedure="false">"c3934"</definedName>
    <definedName function="false" hidden="true" name="IQ_PERCENT_CHANGE_EST_FFO_MONTH_THOM" vbProcedure="false">"c5244"</definedName>
    <definedName function="false" hidden="true" name="IQ_PERCENT_CHANGE_EST_FFO_SHARE_SHARE_12MONTHS" vbProcedure="false">"c1828"</definedName>
    <definedName function="false" hidden="true" name="IQ_PERCENT_CHANGE_EST_FFO_SHARE_SHARE_12MONTHS_CIQ" vbProcedure="false">"c3769"</definedName>
    <definedName function="false" hidden="true" name="IQ_PERCENT_CHANGE_EST_FFO_SHARE_SHARE_12MONTHS_REUT" vbProcedure="false">"c3938"</definedName>
    <definedName function="false" hidden="true" name="IQ_PERCENT_CHANGE_EST_FFO_SHARE_SHARE_12MONTHS_THOM" vbProcedure="false">"c5248"</definedName>
    <definedName function="false" hidden="true" name="IQ_PERCENT_CHANGE_EST_FFO_SHARE_SHARE_18MONTHS" vbProcedure="false">"c1829"</definedName>
    <definedName function="false" hidden="true" name="IQ_PERCENT_CHANGE_EST_FFO_SHARE_SHARE_18MONTHS_CIQ" vbProcedure="false">"c3770"</definedName>
    <definedName function="false" hidden="true" name="IQ_PERCENT_CHANGE_EST_FFO_SHARE_SHARE_18MONTHS_REUT" vbProcedure="false">"c3939"</definedName>
    <definedName function="false" hidden="true" name="IQ_PERCENT_CHANGE_EST_FFO_SHARE_SHARE_18MONTHS_THOM" vbProcedure="false">"c5249"</definedName>
    <definedName function="false" hidden="true" name="IQ_PERCENT_CHANGE_EST_FFO_SHARE_SHARE_3MONTHS" vbProcedure="false">"c1825"</definedName>
    <definedName function="false" hidden="true" name="IQ_PERCENT_CHANGE_EST_FFO_SHARE_SHARE_3MONTHS_CIQ" vbProcedure="false">"c3766"</definedName>
    <definedName function="false" hidden="true" name="IQ_PERCENT_CHANGE_EST_FFO_SHARE_SHARE_3MONTHS_REUT" vbProcedure="false">"c3935"</definedName>
    <definedName function="false" hidden="true" name="IQ_PERCENT_CHANGE_EST_FFO_SHARE_SHARE_3MONTHS_THOM" vbProcedure="false">"c5245"</definedName>
    <definedName function="false" hidden="true" name="IQ_PERCENT_CHANGE_EST_FFO_SHARE_SHARE_6MONTHS" vbProcedure="false">"c1826"</definedName>
    <definedName function="false" hidden="true" name="IQ_PERCENT_CHANGE_EST_FFO_SHARE_SHARE_6MONTHS_CIQ" vbProcedure="false">"c3767"</definedName>
    <definedName function="false" hidden="true" name="IQ_PERCENT_CHANGE_EST_FFO_SHARE_SHARE_6MONTHS_REUT" vbProcedure="false">"c3936"</definedName>
    <definedName function="false" hidden="true" name="IQ_PERCENT_CHANGE_EST_FFO_SHARE_SHARE_6MONTHS_THOM" vbProcedure="false">"c5246"</definedName>
    <definedName function="false" hidden="true" name="IQ_PERCENT_CHANGE_EST_FFO_SHARE_SHARE_9MONTHS" vbProcedure="false">"c1827"</definedName>
    <definedName function="false" hidden="true" name="IQ_PERCENT_CHANGE_EST_FFO_SHARE_SHARE_9MONTHS_CIQ" vbProcedure="false">"c3768"</definedName>
    <definedName function="false" hidden="true" name="IQ_PERCENT_CHANGE_EST_FFO_SHARE_SHARE_9MONTHS_REUT" vbProcedure="false">"c3937"</definedName>
    <definedName function="false" hidden="true" name="IQ_PERCENT_CHANGE_EST_FFO_SHARE_SHARE_9MONTHS_THOM" vbProcedure="false">"c5247"</definedName>
    <definedName function="false" hidden="true" name="IQ_PERCENT_CHANGE_EST_FFO_SHARE_SHARE_DAY" vbProcedure="false">"c1822"</definedName>
    <definedName function="false" hidden="true" name="IQ_PERCENT_CHANGE_EST_FFO_SHARE_SHARE_DAY_CIQ" vbProcedure="false">"c3764"</definedName>
    <definedName function="false" hidden="true" name="IQ_PERCENT_CHANGE_EST_FFO_SHARE_SHARE_DAY_REUT" vbProcedure="false">"c3933"</definedName>
    <definedName function="false" hidden="true" name="IQ_PERCENT_CHANGE_EST_FFO_SHARE_SHARE_DAY_THOM" vbProcedure="false">"c5243"</definedName>
    <definedName function="false" hidden="true" name="IQ_PERCENT_CHANGE_EST_FFO_SHARE_SHARE_MONTH" vbProcedure="false">"c1824"</definedName>
    <definedName function="false" hidden="true" name="IQ_PERCENT_CHANGE_EST_FFO_SHARE_SHARE_MONTH_CIQ" vbProcedure="false">"c3765"</definedName>
    <definedName function="false" hidden="true" name="IQ_PERCENT_CHANGE_EST_FFO_SHARE_SHARE_MONTH_REUT" vbProcedure="false">"c3934"</definedName>
    <definedName function="false" hidden="true" name="IQ_PERCENT_CHANGE_EST_FFO_SHARE_SHARE_MONTH_THOM" vbProcedure="false">"c5244"</definedName>
    <definedName function="false" hidden="true" name="IQ_PERCENT_CHANGE_EST_FFO_SHARE_SHARE_WEEK" vbProcedure="false">"c1823"</definedName>
    <definedName function="false" hidden="true" name="IQ_PERCENT_CHANGE_EST_FFO_SHARE_SHARE_WEEK_CIQ" vbProcedure="false">"c3795"</definedName>
    <definedName function="false" hidden="true" name="IQ_PERCENT_CHANGE_EST_FFO_SHARE_SHARE_WEEK_REUT" vbProcedure="false">"c3964"</definedName>
    <definedName function="false" hidden="true" name="IQ_PERCENT_CHANGE_EST_FFO_SHARE_SHARE_WEEK_THOM" vbProcedure="false">"c5274"</definedName>
    <definedName function="false" hidden="true" name="IQ_PERCENT_CHANGE_EST_FFO_WEEK" vbProcedure="false">"c1823"</definedName>
    <definedName function="false" hidden="true" name="IQ_PERCENT_CHANGE_EST_FFO_WEEK_CIQ" vbProcedure="false">"c3795"</definedName>
    <definedName function="false" hidden="true" name="IQ_PERCENT_CHANGE_EST_FFO_WEEK_REUT" vbProcedure="false">"c3964"</definedName>
    <definedName function="false" hidden="true" name="IQ_PERCENT_CHANGE_EST_FFO_WEEK_THOM" vbProcedure="false">"c5274"</definedName>
    <definedName function="false" hidden="true" name="IQ_PERCENT_CHANGE_EST_PRICE_TARGET_12MONTHS_REUT" vbProcedure="false">"c3952"</definedName>
    <definedName function="false" hidden="true" name="IQ_PERCENT_CHANGE_EST_PRICE_TARGET_18MONTHS_REUT" vbProcedure="false">"c3953"</definedName>
    <definedName function="false" hidden="true" name="IQ_PERCENT_CHANGE_EST_PRICE_TARGET_3MONTHS_REUT" vbProcedure="false">"c3949"</definedName>
    <definedName function="false" hidden="true" name="IQ_PERCENT_CHANGE_EST_PRICE_TARGET_6MONTHS_REUT" vbProcedure="false">"c3950"</definedName>
    <definedName function="false" hidden="true" name="IQ_PERCENT_CHANGE_EST_PRICE_TARGET_9MONTHS_REUT" vbProcedure="false">"c3951"</definedName>
    <definedName function="false" hidden="true" name="IQ_PERCENT_CHANGE_EST_PRICE_TARGET_DAY_REUT" vbProcedure="false">"c3947"</definedName>
    <definedName function="false" hidden="true" name="IQ_PERCENT_CHANGE_EST_PRICE_TARGET_MONTH_REUT" vbProcedure="false">"c3948"</definedName>
    <definedName function="false" hidden="true" name="IQ_PERCENT_CHANGE_EST_PRICE_TARGET_WEEK_REUT" vbProcedure="false">"c3967"</definedName>
    <definedName function="false" hidden="true" name="IQ_PERCENT_CHANGE_EST_RECO_12MONTHS_REUT" vbProcedure="false">"c3945"</definedName>
    <definedName function="false" hidden="true" name="IQ_PERCENT_CHANGE_EST_RECO_18MONTHS_REUT" vbProcedure="false">"c3946"</definedName>
    <definedName function="false" hidden="true" name="IQ_PERCENT_CHANGE_EST_RECO_3MONTHS_REUT" vbProcedure="false">"c3942"</definedName>
    <definedName function="false" hidden="true" name="IQ_PERCENT_CHANGE_EST_RECO_6MONTHS_REUT" vbProcedure="false">"c3943"</definedName>
    <definedName function="false" hidden="true" name="IQ_PERCENT_CHANGE_EST_RECO_9MONTHS_REUT" vbProcedure="false">"c3944"</definedName>
    <definedName function="false" hidden="true" name="IQ_PERCENT_CHANGE_EST_RECO_DAY_REUT" vbProcedure="false">"c3940"</definedName>
    <definedName function="false" hidden="true" name="IQ_PERCENT_CHANGE_EST_RECO_MONTH_REUT" vbProcedure="false">"c3941"</definedName>
    <definedName function="false" hidden="true" name="IQ_PERCENT_CHANGE_EST_RECO_WEEK_REUT" vbProcedure="false">"c3965"</definedName>
    <definedName function="false" hidden="true" name="IQ_PERCENT_CHANGE_EST_REV_12MONTHS_REUT" vbProcedure="false">"c3910"</definedName>
    <definedName function="false" hidden="true" name="IQ_PERCENT_CHANGE_EST_REV_18MONTHS_REUT" vbProcedure="false">"c3911"</definedName>
    <definedName function="false" hidden="true" name="IQ_PERCENT_CHANGE_EST_REV_3MONTHS_REUT" vbProcedure="false">"c3907"</definedName>
    <definedName function="false" hidden="true" name="IQ_PERCENT_CHANGE_EST_REV_6MONTHS_REUT" vbProcedure="false">"c3908"</definedName>
    <definedName function="false" hidden="true" name="IQ_PERCENT_CHANGE_EST_REV_9MONTHS_REUT" vbProcedure="false">"c3909"</definedName>
    <definedName function="false" hidden="true" name="IQ_PERCENT_CHANGE_EST_REV_DAY_REUT" vbProcedure="false">"c3904"</definedName>
    <definedName function="false" hidden="true" name="IQ_PERCENT_CHANGE_EST_REV_MONTH_REUT" vbProcedure="false">"c3906"</definedName>
    <definedName function="false" hidden="true" name="IQ_PERCENT_CHANGE_EST_REV_WEEK_REUT" vbProcedure="false">"c3905"</definedName>
    <definedName function="false" hidden="true" name="IQ_PERCENT_FLOAT" vbProcedure="false">"c227"</definedName>
    <definedName function="false" hidden="true" name="IQ_PERCENT_INSURED_FDIC" vbProcedure="false">"c6374"</definedName>
    <definedName function="false" hidden="true" name="IQ_PERIODDATE_FDIC" vbProcedure="false">"c13646"</definedName>
    <definedName function="false" hidden="true" name="IQ_PE_EXCL_FWD_REUT" vbProcedure="false">"c4049"</definedName>
    <definedName function="false" hidden="true" name="IQ_PLEDGED_SECURITIES_FDIC" vbProcedure="false">"c6401"</definedName>
    <definedName function="false" hidden="true" name="IQ_POTENTIAL_UPSIDE_REUT" vbProcedure="false">"c3968"</definedName>
    <definedName function="false" hidden="true" name="IQ_PREFERRED_FDIC" vbProcedure="false">"c6349"</definedName>
    <definedName function="false" hidden="true" name="IQ_PREF_ISSUED_BR" vbProcedure="false">"c1047"</definedName>
    <definedName function="false" hidden="true" name="IQ_PREF_OTHER_BR" vbProcedure="false">"c1055"</definedName>
    <definedName function="false" hidden="true" name="IQ_PREF_REP_BR" vbProcedure="false">"c1062"</definedName>
    <definedName function="false" hidden="true" name="IQ_PREMISES_EQUIPMENT_FDIC" vbProcedure="false">"c6577"</definedName>
    <definedName function="false" hidden="true" name="IQ_PRETAX_GW_INC_EST_REUT" vbProcedure="false">"c5354"</definedName>
    <definedName function="false" hidden="true" name="IQ_PRETAX_GW_INC_HIGH_EST_REUT" vbProcedure="false">"c5356"</definedName>
    <definedName function="false" hidden="true" name="IQ_PRETAX_GW_INC_LOW_EST_REUT" vbProcedure="false">"c5357"</definedName>
    <definedName function="false" hidden="true" name="IQ_PRETAX_GW_INC_MEDIAN_EST_REUT" vbProcedure="false">"c5355"</definedName>
    <definedName function="false" hidden="true" name="IQ_PRETAX_GW_INC_NUM_EST_REUT" vbProcedure="false">"c5358"</definedName>
    <definedName function="false" hidden="true" name="IQ_PRETAX_GW_INC_STDDEV_EST_REUT" vbProcedure="false">"c5359"</definedName>
    <definedName function="false" hidden="true" name="IQ_PRETAX_INC" vbProcedure="false">"c16"</definedName>
    <definedName function="false" hidden="true" name="IQ_PRETAX_INC_10K" vbProcedure="false">"IQ_PRETAX_INC_10K"</definedName>
    <definedName function="false" hidden="true" name="IQ_PRETAX_INC_10Q" vbProcedure="false">"IQ_PRETAX_INC_10Q"</definedName>
    <definedName function="false" hidden="true" name="IQ_PRETAX_INC_10Q1" vbProcedure="false">"IQ_PRETAX_INC_10Q1"</definedName>
    <definedName function="false" hidden="true" name="IQ_PRETAX_INC_EST_REUT" vbProcedure="false">"c5347"</definedName>
    <definedName function="false" hidden="true" name="IQ_PRETAX_INC_HIGH_EST_REUT" vbProcedure="false">"c5349"</definedName>
    <definedName function="false" hidden="true" name="IQ_PRETAX_INC_LOW_EST_REUT" vbProcedure="false">"c5350"</definedName>
    <definedName function="false" hidden="true" name="IQ_PRETAX_INC_MEDIAN_EST_REUT" vbProcedure="false">"c5348"</definedName>
    <definedName function="false" hidden="true" name="IQ_PRETAX_INC_NUM_EST_REUT" vbProcedure="false">"c5351"</definedName>
    <definedName function="false" hidden="true" name="IQ_PRETAX_INC_STDDEV_EST_REUT" vbProcedure="false">"c5352"</definedName>
    <definedName function="false" hidden="true" name="IQ_PRETAX_REPORT_INC_EST_REUT" vbProcedure="false">"c5361"</definedName>
    <definedName function="false" hidden="true" name="IQ_PRETAX_REPORT_INC_HIGH_EST_REUT" vbProcedure="false">"c5363"</definedName>
    <definedName function="false" hidden="true" name="IQ_PRETAX_REPORT_INC_LOW_EST_REUT" vbProcedure="false">"c5364"</definedName>
    <definedName function="false" hidden="true" name="IQ_PRETAX_REPORT_INC_MEDIAN_EST_REUT" vbProcedure="false">"c5362"</definedName>
    <definedName function="false" hidden="true" name="IQ_PRETAX_REPORT_INC_NUM_EST_REUT" vbProcedure="false">"c5365"</definedName>
    <definedName function="false" hidden="true" name="IQ_PRETAX_REPORT_INC_STDDEV_EST_REUT" vbProcedure="false">"c5366"</definedName>
    <definedName function="false" hidden="true" name="IQ_PRETAX_RETURN_ASSETS_FDIC" vbProcedure="false">"c6731"</definedName>
    <definedName function="false" hidden="true" name="IQ_PRE_TAX_ACT_OR_EST_REUT" vbProcedure="false">"c5467"</definedName>
    <definedName function="false" hidden="true" name="IQ_PRE_TAX_INCOME_FDIC" vbProcedure="false">"c6581"</definedName>
    <definedName function="false" hidden="true" name="IQ_PRICEDATETIME" vbProcedure="false">"IQ_PRICEDATETIME"</definedName>
    <definedName function="false" hidden="true" name="IQ_PRICE_CFPS_FWD_REUT" vbProcedure="false">"c4053"</definedName>
    <definedName function="false" hidden="true" name="IQ_PRICE_OVER_EPS_EST" vbProcedure="false">"c174"</definedName>
    <definedName function="false" hidden="true" name="IQ_PRICE_OVER_EPS_EST_1" vbProcedure="false">"c175"</definedName>
    <definedName function="false" hidden="true" name="IQ_PRICE_TARGET_BOTTOM_UP_REUT" vbProcedure="false">"c5494"</definedName>
    <definedName function="false" hidden="true" name="IQ_PRICE_TARGET_REUT" vbProcedure="false">"c3631"</definedName>
    <definedName function="false" hidden="true" name="IQ_PRIMARY_EPS_TYPE_REUT" vbProcedure="false">"c5481"</definedName>
    <definedName function="false" hidden="true" name="IQ_PRIMARY_EPS_TYPE_THOM" vbProcedure="false">"c5297"</definedName>
    <definedName function="false" hidden="true" name="IQ_PRIVATELY_ISSUED_MORTGAGE_BACKED_SECURITIES_FDIC" vbProcedure="false">"c6407"</definedName>
    <definedName function="false" hidden="true" name="IQ_PRIVATELY_ISSUED_MORTGAGE_PASS_THROUGHS_FDIC" vbProcedure="false">"c6405"</definedName>
    <definedName function="false" hidden="true" name="IQ_PRIVATE_CONST_TOTAL_APR_FC_UNUSED_UNUSED_UNUSED" vbProcedure="false">"c8559"</definedName>
    <definedName function="false" hidden="true" name="IQ_PRIVATE_CONST_TOTAL_APR_UNUSED_UNUSED_UNUSED" vbProcedure="false">"c7679"</definedName>
    <definedName function="false" hidden="true" name="IQ_PRIVATE_CONST_TOTAL_FC_UNUSED_UNUSED_UNUSED" vbProcedure="false">"c7899"</definedName>
    <definedName function="false" hidden="true" name="IQ_PRIVATE_CONST_TOTAL_POP_FC_UNUSED_UNUSED_UNUSED" vbProcedure="false">"c8119"</definedName>
    <definedName function="false" hidden="true" name="IQ_PRIVATE_CONST_TOTAL_POP_UNUSED_UNUSED_UNUSED" vbProcedure="false">"c7239"</definedName>
    <definedName function="false" hidden="true" name="IQ_PRIVATE_CONST_TOTAL_UNUSED_UNUSED_UNUSED" vbProcedure="false">"c7019"</definedName>
    <definedName function="false" hidden="true" name="IQ_PRIVATE_CONST_TOTAL_YOY_FC_UNUSED_UNUSED_UNUSED" vbProcedure="false">"c8339"</definedName>
    <definedName function="false" hidden="true" name="IQ_PRIVATE_CONST_TOTAL_YOY_UNUSED_UNUSED_UNUSED" vbProcedure="false">"c7459"</definedName>
    <definedName function="false" hidden="true" name="IQ_PRIVATE_RES_CONST_REAL_APR_FC_UNUSED_UNUSED_UNUSED" vbProcedure="false">"c8535"</definedName>
    <definedName function="false" hidden="true" name="IQ_PRIVATE_RES_CONST_REAL_APR_UNUSED_UNUSED_UNUSED" vbProcedure="false">"c7655"</definedName>
    <definedName function="false" hidden="true" name="IQ_PRIVATE_RES_CONST_REAL_FC_UNUSED_UNUSED_UNUSED" vbProcedure="false">"c7875"</definedName>
    <definedName function="false" hidden="true" name="IQ_PRIVATE_RES_CONST_REAL_POP_FC_UNUSED_UNUSED_UNUSED" vbProcedure="false">"c8095"</definedName>
    <definedName function="false" hidden="true" name="IQ_PRIVATE_RES_CONST_REAL_POP_UNUSED_UNUSED_UNUSED" vbProcedure="false">"c7215"</definedName>
    <definedName function="false" hidden="true" name="IQ_PRIVATE_RES_CONST_REAL_UNUSED_UNUSED_UNUSED" vbProcedure="false">"c6995"</definedName>
    <definedName function="false" hidden="true" name="IQ_PRIVATE_RES_CONST_REAL_YOY_FC_UNUSED_UNUSED_UNUSED" vbProcedure="false">"c8315"</definedName>
    <definedName function="false" hidden="true" name="IQ_PRIVATE_RES_CONST_REAL_YOY_UNUSED_UNUSED_UNUSED" vbProcedure="false">"c7435"</definedName>
    <definedName function="false" hidden="true" name="IQ_PURCHASED_OPTION_CONTRACTS_FDIC" vbProcedure="false">"c6510"</definedName>
    <definedName function="false" hidden="true" name="IQ_PURCHASED_OPTION_CONTRACTS_FX_RISK_FDIC" vbProcedure="false">"c6515"</definedName>
    <definedName function="false" hidden="true" name="IQ_PURCHASED_OPTION_CONTRACTS_NON_FX_IR_FDIC" vbProcedure="false">"c6520"</definedName>
    <definedName function="false" hidden="true" name="IQ_PURCHASES_EQUIP_NONRES_SAAR_APR_FC_UNUSED_UNUSED_UNUSED" vbProcedure="false">"c8491"</definedName>
    <definedName function="false" hidden="true" name="IQ_PURCHASES_EQUIP_NONRES_SAAR_APR_UNUSED_UNUSED_UNUSED" vbProcedure="false">"c7611"</definedName>
    <definedName function="false" hidden="true" name="IQ_PURCHASES_EQUIP_NONRES_SAAR_FC_UNUSED_UNUSED_UNUSED" vbProcedure="false">"c7831"</definedName>
    <definedName function="false" hidden="true" name="IQ_PURCHASES_EQUIP_NONRES_SAAR_POP_FC_UNUSED_UNUSED_UNUSED" vbProcedure="false">"c8051"</definedName>
    <definedName function="false" hidden="true" name="IQ_PURCHASES_EQUIP_NONRES_SAAR_POP_UNUSED_UNUSED_UNUSED" vbProcedure="false">"c7171"</definedName>
    <definedName function="false" hidden="true" name="IQ_PURCHASES_EQUIP_NONRES_SAAR_UNUSED_UNUSED_UNUSED" vbProcedure="false">"c6951"</definedName>
    <definedName function="false" hidden="true" name="IQ_PURCHASES_EQUIP_NONRES_SAAR_YOY_FC_UNUSED_UNUSED_UNUSED" vbProcedure="false">"c8271"</definedName>
    <definedName function="false" hidden="true" name="IQ_PURCHASES_EQUIP_NONRES_SAAR_YOY_UNUSED_UNUSED_UNUSED" vbProcedure="false">"c7391"</definedName>
    <definedName function="false" hidden="true" name="IQ_PURCHASE_FOREIGN_CURRENCIES_FDIC" vbProcedure="false">"c6513"</definedName>
    <definedName function="false" hidden="true" name="IQ_QTD" vbProcedure="false">750000</definedName>
    <definedName function="false" hidden="true" name="IQ_RECOVERIES_1_4_FAMILY_LOANS_FDIC" vbProcedure="false">"c6707"</definedName>
    <definedName function="false" hidden="true" name="IQ_RECOVERIES_AUTO_LOANS_FDIC" vbProcedure="false">"c6701"</definedName>
    <definedName function="false" hidden="true" name="IQ_RECOVERIES_CL_LOANS_FDIC" vbProcedure="false">"c6702"</definedName>
    <definedName function="false" hidden="true" name="IQ_RECOVERIES_CREDIT_CARDS_RECEIVABLES_FDIC" vbProcedure="false">"c6704"</definedName>
    <definedName function="false" hidden="true" name="IQ_RECOVERIES_HOME_EQUITY_LINES_FDIC" vbProcedure="false">"c6705"</definedName>
    <definedName function="false" hidden="true" name="IQ_RECOVERIES_OTHER_CONSUMER_LOANS_FDIC" vbProcedure="false">"c6703"</definedName>
    <definedName function="false" hidden="true" name="IQ_RECOVERIES_OTHER_LOANS_FDIC" vbProcedure="false">"c6706"</definedName>
    <definedName function="false" hidden="true" name="IQ_RELATED_PLANS_FDIC" vbProcedure="false">"c6320"</definedName>
    <definedName function="false" hidden="true" name="IQ_RESIDENTIAL_LOANS" vbProcedure="false">"c1102"</definedName>
    <definedName function="false" hidden="true" name="IQ_RESTATEMENTS_NET_FDIC" vbProcedure="false">"c6500"</definedName>
    <definedName function="false" hidden="true" name="IQ_RESTRUCTURED_LOANS_1_4_RESIDENTIAL_FDIC" vbProcedure="false">"c6378"</definedName>
    <definedName function="false" hidden="true" name="IQ_RESTRUCTURED_LOANS_LEASES_FDIC" vbProcedure="false">"c6377"</definedName>
    <definedName function="false" hidden="true" name="IQ_RESTRUCTURED_LOANS_NON_1_4_FDIC" vbProcedure="false">"c6379"</definedName>
    <definedName function="false" hidden="true" name="IQ_RESTRUCTURE_BR" vbProcedure="false">"c1106"</definedName>
    <definedName function="false" hidden="true" name="IQ_RES_CONST_REAL_APR_FC_UNUSED_UNUSED_UNUSED" vbProcedure="false">"c8536"</definedName>
    <definedName function="false" hidden="true" name="IQ_RES_CONST_REAL_APR_UNUSED_UNUSED_UNUSED" vbProcedure="false">"c7656"</definedName>
    <definedName function="false" hidden="true" name="IQ_RES_CONST_REAL_FC_UNUSED_UNUSED_UNUSED" vbProcedure="false">"c7876"</definedName>
    <definedName function="false" hidden="true" name="IQ_RES_CONST_REAL_POP_FC_UNUSED_UNUSED_UNUSED" vbProcedure="false">"c8096"</definedName>
    <definedName function="false" hidden="true" name="IQ_RES_CONST_REAL_POP_UNUSED_UNUSED_UNUSED" vbProcedure="false">"c7216"</definedName>
    <definedName function="false" hidden="true" name="IQ_RES_CONST_REAL_SAAR_APR_FC_UNUSED_UNUSED_UNUSED" vbProcedure="false">"c8537"</definedName>
    <definedName function="false" hidden="true" name="IQ_RES_CONST_REAL_SAAR_APR_UNUSED_UNUSED_UNUSED" vbProcedure="false">"c7657"</definedName>
    <definedName function="false" hidden="true" name="IQ_RES_CONST_REAL_SAAR_FC_UNUSED_UNUSED_UNUSED" vbProcedure="false">"c7877"</definedName>
    <definedName function="false" hidden="true" name="IQ_RES_CONST_REAL_SAAR_POP_FC_UNUSED_UNUSED_UNUSED" vbProcedure="false">"c8097"</definedName>
    <definedName function="false" hidden="true" name="IQ_RES_CONST_REAL_SAAR_POP_UNUSED_UNUSED_UNUSED" vbProcedure="false">"c7217"</definedName>
    <definedName function="false" hidden="true" name="IQ_RES_CONST_REAL_SAAR_UNUSED_UNUSED_UNUSED" vbProcedure="false">"c6997"</definedName>
    <definedName function="false" hidden="true" name="IQ_RES_CONST_REAL_SAAR_YOY_FC_UNUSED_UNUSED_UNUSED" vbProcedure="false">"c8317"</definedName>
    <definedName function="false" hidden="true" name="IQ_RES_CONST_REAL_SAAR_YOY_UNUSED_UNUSED_UNUSED" vbProcedure="false">"c7437"</definedName>
    <definedName function="false" hidden="true" name="IQ_RES_CONST_REAL_UNUSED_UNUSED_UNUSED" vbProcedure="false">"c6996"</definedName>
    <definedName function="false" hidden="true" name="IQ_RES_CONST_REAL_YOY_FC_UNUSED_UNUSED_UNUSED" vbProcedure="false">"c8316"</definedName>
    <definedName function="false" hidden="true" name="IQ_RES_CONST_REAL_YOY_UNUSED_UNUSED_UNUSED" vbProcedure="false">"c7436"</definedName>
    <definedName function="false" hidden="true" name="IQ_RES_CONST_SAAR_APR_FC_UNUSED_UNUSED_UNUSED" vbProcedure="false">"c8540"</definedName>
    <definedName function="false" hidden="true" name="IQ_RES_CONST_SAAR_APR_UNUSED_UNUSED_UNUSED" vbProcedure="false">"c7660"</definedName>
    <definedName function="false" hidden="true" name="IQ_RES_CONST_SAAR_FC_UNUSED_UNUSED_UNUSED" vbProcedure="false">"c7880"</definedName>
    <definedName function="false" hidden="true" name="IQ_RES_CONST_SAAR_POP_FC_UNUSED_UNUSED_UNUSED" vbProcedure="false">"c8100"</definedName>
    <definedName function="false" hidden="true" name="IQ_RES_CONST_SAAR_POP_UNUSED_UNUSED_UNUSED" vbProcedure="false">"c7220"</definedName>
    <definedName function="false" hidden="true" name="IQ_RES_CONST_SAAR_UNUSED_UNUSED_UNUSED" vbProcedure="false">"c7000"</definedName>
    <definedName function="false" hidden="true" name="IQ_RES_CONST_SAAR_YOY_FC_UNUSED_UNUSED_UNUSED" vbProcedure="false">"c8320"</definedName>
    <definedName function="false" hidden="true" name="IQ_RES_CONST_SAAR_YOY_UNUSED_UNUSED_UNUSED" vbProcedure="false">"c7440"</definedName>
    <definedName function="false" hidden="true" name="IQ_RETAIL_DEPOSITS_FDIC" vbProcedure="false">"c6488"</definedName>
    <definedName function="false" hidden="true" name="IQ_RETAINED_EARNINGS_AVERAGE_EQUITY_FDIC" vbProcedure="false">"c6733"</definedName>
    <definedName function="false" hidden="true" name="IQ_RETURN_ASSETS_ACT_OR_EST_REUT" vbProcedure="false">"c5475"</definedName>
    <definedName function="false" hidden="true" name="IQ_RETURN_ASSETS_BROK" vbProcedure="false">"c1115"</definedName>
    <definedName function="false" hidden="true" name="IQ_RETURN_ASSETS_EST_REUT" vbProcedure="false">"c3990"</definedName>
    <definedName function="false" hidden="true" name="IQ_RETURN_ASSETS_FDIC" vbProcedure="false">"c6730"</definedName>
    <definedName function="false" hidden="true" name="IQ_RETURN_ASSETS_HIGH_EST_REUT" vbProcedure="false">"c3992"</definedName>
    <definedName function="false" hidden="true" name="IQ_RETURN_ASSETS_LOW_EST_REUT" vbProcedure="false">"c3993"</definedName>
    <definedName function="false" hidden="true" name="IQ_RETURN_ASSETS_MEDIAN_EST_REUT" vbProcedure="false">"c3991"</definedName>
    <definedName function="false" hidden="true" name="IQ_RETURN_ASSETS_NUM_EST_REUT" vbProcedure="false">"c3994"</definedName>
    <definedName function="false" hidden="true" name="IQ_RETURN_ASSETS_STDDEV_EST_REUT" vbProcedure="false">"c3995"</definedName>
    <definedName function="false" hidden="true" name="IQ_RETURN_EQUITY_ACT_OR_EST_REUT" vbProcedure="false">"c5476"</definedName>
    <definedName function="false" hidden="true" name="IQ_RETURN_EQUITY_BROK" vbProcedure="false">"c1120"</definedName>
    <definedName function="false" hidden="true" name="IQ_RETURN_EQUITY_EST_REUT" vbProcedure="false">"c3983"</definedName>
    <definedName function="false" hidden="true" name="IQ_RETURN_EQUITY_FDIC" vbProcedure="false">"c6732"</definedName>
    <definedName function="false" hidden="true" name="IQ_RETURN_EQUITY_HIGH_EST_REUT" vbProcedure="false">"c3985"</definedName>
    <definedName function="false" hidden="true" name="IQ_RETURN_EQUITY_LOW_EST_REUT" vbProcedure="false">"c3986"</definedName>
    <definedName function="false" hidden="true" name="IQ_RETURN_EQUITY_MEDIAN_EST_REUT" vbProcedure="false">"c3984"</definedName>
    <definedName function="false" hidden="true" name="IQ_RETURN_EQUITY_NUM_EST_REUT" vbProcedure="false">"c3987"</definedName>
    <definedName function="false" hidden="true" name="IQ_RETURN_EQUITY_STDDEV_EST_REUT" vbProcedure="false">"c3988"</definedName>
    <definedName function="false" hidden="true" name="IQ_REVALUATION_GAINS_FDIC" vbProcedure="false">"c6428"</definedName>
    <definedName function="false" hidden="true" name="IQ_REVALUATION_LOSSES_FDIC" vbProcedure="false">"c6429"</definedName>
    <definedName function="false" hidden="true" name="IQ_REVENUE_10K" vbProcedure="false">"IQ_REVENUE_10K"</definedName>
    <definedName function="false" hidden="true" name="IQ_REVENUE_10Q" vbProcedure="false">"IQ_REVENUE_10Q"</definedName>
    <definedName function="false" hidden="true" name="IQ_REVENUE_10Q1" vbProcedure="false">"IQ_REVENUE_10Q1"</definedName>
    <definedName function="false" hidden="true" name="IQ_REVENUE_ACT_OR_EST_REUT" vbProcedure="false">"c5461"</definedName>
    <definedName function="false" hidden="true" name="IQ_REVENUE_EST_1" vbProcedure="false">"c190"</definedName>
    <definedName function="false" hidden="true" name="IQ_REVENUE_EST_BOTTOM_UP_REUT" vbProcedure="false">"c5496"</definedName>
    <definedName function="false" hidden="true" name="IQ_REVENUE_EST_REUT" vbProcedure="false">"c3634"</definedName>
    <definedName function="false" hidden="true" name="IQ_REVENUE_GROWTH_1" vbProcedure="false">"c155"</definedName>
    <definedName function="false" hidden="true" name="IQ_REVENUE_GROWTH_2" vbProcedure="false">"c159"</definedName>
    <definedName function="false" hidden="true" name="IQ_REVENUE_HIGH_EST_REUT" vbProcedure="false">"c3636"</definedName>
    <definedName function="false" hidden="true" name="IQ_REVENUE_LOW_EST_REUT" vbProcedure="false">"c3637"</definedName>
    <definedName function="false" hidden="true" name="IQ_REVENUE_MEDIAN_EST_REUT" vbProcedure="false">"c3635"</definedName>
    <definedName function="false" hidden="true" name="IQ_REVENUE_NO_EST" vbProcedure="false">"c263"</definedName>
    <definedName function="false" hidden="true" name="IQ_REVENUE_NUM_EST_REUT" vbProcedure="false">"c3638"</definedName>
    <definedName function="false" hidden="true" name="IQ_REVISION_DATE_2" vbProcedure="false">39624.5825925926</definedName>
    <definedName function="false" hidden="true" name="IQ_REVISION_DATE_3" vbProcedure="false">39624.5825925926</definedName>
    <definedName function="false" hidden="true" name="IQ_REVISION_DATE_4" vbProcedure="false">39624.5825925926</definedName>
    <definedName function="false" hidden="true" name="IQ_REVISION_DATE_Flagler" vbProcedure="false">39113.8943055556</definedName>
    <definedName function="false" hidden="true" name="IQ_REVISION_DATE__1" vbProcedure="false">39384.6306134259</definedName>
    <definedName function="false" hidden="true" name="IQ_REVOLVING_SECURED_1_–4_NON_ACCRUAL_FFIEC" vbProcedure="false">"c15565"</definedName>
    <definedName function="false" hidden="true" name="IQ_REV_STDDEV_EST_REUT" vbProcedure="false">"c3639"</definedName>
    <definedName function="false" hidden="true" name="IQ_RE_FORECLOSURE_FDIC" vbProcedure="false">"c6332"</definedName>
    <definedName function="false" hidden="true" name="IQ_RE_INVEST_FDIC" vbProcedure="false">"c6331"</definedName>
    <definedName function="false" hidden="true" name="IQ_RE_LOANS_DOMESTIC_CHARGE_OFFS_FDIC" vbProcedure="false">"c6589"</definedName>
    <definedName function="false" hidden="true" name="IQ_RE_LOANS_DOMESTIC_FDIC" vbProcedure="false">"c6309"</definedName>
    <definedName function="false" hidden="true" name="IQ_RE_LOANS_DOMESTIC_NET_CHARGE_OFFS_FDIC" vbProcedure="false">"c6627"</definedName>
    <definedName function="false" hidden="true" name="IQ_RE_LOANS_DOMESTIC_RECOVERIES_FDIC" vbProcedure="false">"c6608"</definedName>
    <definedName function="false" hidden="true" name="IQ_RE_LOANS_FDIC" vbProcedure="false">"c6308"</definedName>
    <definedName function="false" hidden="true" name="IQ_RE_LOANS_FOREIGN_CHARGE_OFFS_FDIC" vbProcedure="false">"c6595"</definedName>
    <definedName function="false" hidden="true" name="IQ_RE_LOANS_FOREIGN_NET_CHARGE_OFFS_FDIC" vbProcedure="false">"c6633"</definedName>
    <definedName function="false" hidden="true" name="IQ_RE_LOANS_FOREIGN_RECOVERIES_FDIC" vbProcedure="false">"c6614"</definedName>
    <definedName function="false" hidden="true" name="IQ_RISK_WEIGHTED_ASSETS_FDIC" vbProcedure="false">"c6370"</definedName>
    <definedName function="false" hidden="true" name="IQ_ROYALTY_REVENUE_COAL" vbProcedure="false">"c15932"</definedName>
    <definedName function="false" hidden="true" name="IQ_SALARY_FDIC" vbProcedure="false">"c6576"</definedName>
    <definedName function="false" hidden="true" name="IQ_SALE_CONVERSION_RETIREMENT_STOCK_FDIC" vbProcedure="false">"c6661"</definedName>
    <definedName function="false" hidden="true" name="IQ_SALE_INTAN_CF_BR" vbProcedure="false">"c1133"</definedName>
    <definedName function="false" hidden="true" name="IQ_SALE_PPE_CF_BR" vbProcedure="false">"c1139"</definedName>
    <definedName function="false" hidden="true" name="IQ_SALE_REAL_ESTATE_CF_BR" vbProcedure="false">"c1145"</definedName>
    <definedName function="false" hidden="true" name="IQ_SECURED_1_4_FAMILY_RESIDENTIAL_CHARGE_OFFS_FDIC" vbProcedure="false">"c6590"</definedName>
    <definedName function="false" hidden="true" name="IQ_SECURED_1_4_FAMILY_RESIDENTIAL_NET_CHARGE_OFFS_FDIC" vbProcedure="false">"c6628"</definedName>
    <definedName function="false" hidden="true" name="IQ_SECURED_1_4_FAMILY_RESIDENTIAL_RECOVERIES_FDIC" vbProcedure="false">"c6609"</definedName>
    <definedName function="false" hidden="true" name="IQ_SECURED_FARMLAND_CHARGE_OFFS_FDIC" vbProcedure="false">"c6593"</definedName>
    <definedName function="false" hidden="true" name="IQ_SECURED_FARMLAND_NET_CHARGE_OFFS_FDIC" vbProcedure="false">"c6631"</definedName>
    <definedName function="false" hidden="true" name="IQ_SECURED_FARMLAND_RECOVERIES_FDIC" vbProcedure="false">"c6612"</definedName>
    <definedName function="false" hidden="true" name="IQ_SECURED_MULTIFAMILY_RESIDENTIAL_CHARGE_OFFS_FDIC" vbProcedure="false">"c6591"</definedName>
    <definedName function="false" hidden="true" name="IQ_SECURED_MULTIFAMILY_RESIDENTIAL_NET_CHARGE_OFFS_FDIC" vbProcedure="false">"c6629"</definedName>
    <definedName function="false" hidden="true" name="IQ_SECURED_MULTIFAMILY_RESIDENTIAL_RECOVERIES_FDIC" vbProcedure="false">"c6610"</definedName>
    <definedName function="false" hidden="true" name="IQ_SECURED_NONFARM_NONRESIDENTIAL_CHARGE_OFFS_FDIC" vbProcedure="false">"c6592"</definedName>
    <definedName function="false" hidden="true" name="IQ_SECURED_NONFARM_NONRESIDENTIAL_NET_CHARGE_OFFS_FDIC" vbProcedure="false">"c6630"</definedName>
    <definedName function="false" hidden="true" name="IQ_SECURED_NONFARM_NONRESIDENTIAL_RECOVERIES_FDIC" vbProcedure="false">"c6611"</definedName>
    <definedName function="false" hidden="true" name="IQ_SECURITIES_GAINS_FDIC" vbProcedure="false">"c6584"</definedName>
    <definedName function="false" hidden="true" name="IQ_SECURITIES_ISSUED_STATES_FDIC" vbProcedure="false">"c6300"</definedName>
    <definedName function="false" hidden="true" name="IQ_SECURITIES_LENT_FDIC" vbProcedure="false">"c6532"</definedName>
    <definedName function="false" hidden="true" name="IQ_SECURITIES_UNDERWRITING_FDIC" vbProcedure="false">"c6529"</definedName>
    <definedName function="false" hidden="true" name="IQ_SERVICE_CHARGES_FDIC" vbProcedure="false">"c6572"</definedName>
    <definedName function="false" hidden="true" name="IQ_SHAREOUTSTANDING" vbProcedure="false">"c83"</definedName>
    <definedName function="false" hidden="true" name="IQ_SHORT_INTEREST_VOLUME" vbProcedure="false">"c228"</definedName>
    <definedName function="false" hidden="true" name="IQ_SPECIAL_DIV_CF_BR" vbProcedure="false">"c1171"</definedName>
    <definedName function="false" hidden="true" name="IQ_SP_ISSUE_LC_ACTION" vbProcedure="false">"c2644"</definedName>
    <definedName function="false" hidden="true" name="IQ_SP_ISSUE_LC_DATE" vbProcedure="false">"c2643"</definedName>
    <definedName function="false" hidden="true" name="IQ_SP_ISSUE_LC_LT" vbProcedure="false">"c2645"</definedName>
    <definedName function="false" hidden="true" name="IQ_STATES_NONTRANSACTION_ACCOUNTS_FDIC" vbProcedure="false">"c6547"</definedName>
    <definedName function="false" hidden="true" name="IQ_STATES_TOTAL_DEPOSITS_FDIC" vbProcedure="false">"c6473"</definedName>
    <definedName function="false" hidden="true" name="IQ_STATES_TRANSACTION_ACCOUNTS_FDIC" vbProcedure="false">"c6539"</definedName>
    <definedName function="false" hidden="true" name="IQ_STOCK_BASED_COGS_FIN" vbProcedure="false">"c2998"</definedName>
    <definedName function="false" hidden="true" name="IQ_STOCK_BASED_COGS_UTIL" vbProcedure="false">"c2997"</definedName>
    <definedName function="false" hidden="true" name="IQ_ST_DEBT_BR" vbProcedure="false">"c1178"</definedName>
    <definedName function="false" hidden="true" name="IQ_ST_DEBT_ISSUED_BR" vbProcedure="false">"c1183"</definedName>
    <definedName function="false" hidden="true" name="IQ_ST_DEBT_REPAID_BR" vbProcedure="false">"c1191"</definedName>
    <definedName function="false" hidden="true" name="IQ_SUB_DEBT_FDIC" vbProcedure="false">"c6346"</definedName>
    <definedName function="false" hidden="true" name="IQ_SURPLUS_FDIC" vbProcedure="false">"c6351"</definedName>
    <definedName function="false" hidden="true" name="IQ_TARGET_PRICE_LASTCLOSE" vbProcedure="false">"c1855"</definedName>
    <definedName function="false" hidden="true" name="IQ_TARGET_PRICE_NUM_REUT" vbProcedure="false">"c5319"</definedName>
    <definedName function="false" hidden="true" name="IQ_TARGET_PRICE_STDDEV_REUT" vbProcedure="false">"c5320"</definedName>
    <definedName function="false" hidden="true" name="IQ_TEMPLATE_BS" vbProcedure="false">"c1211"</definedName>
    <definedName function="false" hidden="true" name="IQ_TEMPLATE_CF" vbProcedure="false">"c1212"</definedName>
    <definedName function="false" hidden="true" name="IQ_TEMPLATE_IS" vbProcedure="false">"c1213"</definedName>
    <definedName function="false" hidden="true" name="IQ_TEV_EBITDA_FWD_REUT" vbProcedure="false">"c4050"</definedName>
    <definedName function="false" hidden="true" name="IQ_TEV_EBIT_FWD_REUT" vbProcedure="false">"c4054"</definedName>
    <definedName function="false" hidden="true" name="IQ_TEV_TOTAL_REV_FWD_REUT" vbProcedure="false">"c4051"</definedName>
    <definedName function="false" hidden="true" name="IQ_THREE_MONTHS_FIXED_AND_FLOATING_FDIC" vbProcedure="false">"c6419"</definedName>
    <definedName function="false" hidden="true" name="IQ_THREE_MONTHS_MORTGAGE_PASS_THROUGHS_FDIC" vbProcedure="false">"c6411"</definedName>
    <definedName function="false" hidden="true" name="IQ_THREE_YEARS_LESS_FDIC" vbProcedure="false">"c6417"</definedName>
    <definedName function="false" hidden="true" name="IQ_THREE_YEAR_FIXED_AND_FLOATING_RATE_FDIC" vbProcedure="false">"c6421"</definedName>
    <definedName function="false" hidden="true" name="IQ_THREE_YEAR_MORTGAGE_PASS_THROUGHS_FDIC" vbProcedure="false">"c6413"</definedName>
    <definedName function="false" hidden="true" name="IQ_TIER_1_RISK_BASED_CAPITAL_RATIO_FDIC" vbProcedure="false">"c6746"</definedName>
    <definedName function="false" hidden="true" name="IQ_TIER_ONE_FDIC" vbProcedure="false">"c6369"</definedName>
    <definedName function="false" hidden="true" name="IQ_TIME_DEPOSITS_LESS_THAN_100K_FDIC" vbProcedure="false">"c6465"</definedName>
    <definedName function="false" hidden="true" name="IQ_TIME_DEPOSITS_MORE_THAN_100K_FDIC" vbProcedure="false">"c6470"</definedName>
    <definedName function="false" hidden="true" name="IQ_TODAY" vbProcedure="false">0</definedName>
    <definedName function="false" hidden="true" name="IQ_TOTAL_AR_BR" vbProcedure="false">"c1231"</definedName>
    <definedName function="false" hidden="true" name="IQ_TOTAL_ASSETS_FDIC" vbProcedure="false">"c6339"</definedName>
    <definedName function="false" hidden="true" name="IQ_TOTAL_CHARGE_OFFS_FDIC" vbProcedure="false">"c6603"</definedName>
    <definedName function="false" hidden="true" name="IQ_TOTAL_DEBT_DUE" vbProcedure="false">"c2509"</definedName>
    <definedName function="false" hidden="true" name="IQ_TOTAL_DEBT_ISSUED_BR" vbProcedure="false">"c1253"</definedName>
    <definedName function="false" hidden="true" name="IQ_TOTAL_DEBT_REPAID_BR" vbProcedure="false">"c1260"</definedName>
    <definedName function="false" hidden="true" name="IQ_TOTAL_DEBT_SECURITIES_FDIC" vbProcedure="false">"c6410"</definedName>
    <definedName function="false" hidden="true" name="IQ_TOTAL_DEPOSITS_FDIC" vbProcedure="false">"c6342"</definedName>
    <definedName function="false" hidden="true" name="IQ_TOTAL_EMPLOYEES_FDIC" vbProcedure="false">"c6355"</definedName>
    <definedName function="false" hidden="true" name="IQ_TOTAL_LIABILITIES_FDIC" vbProcedure="false">"c6348"</definedName>
    <definedName function="false" hidden="true" name="IQ_TOTAL_LIAB_BR" vbProcedure="false">"c1278"</definedName>
    <definedName function="false" hidden="true" name="IQ_TOTAL_LIAB_EQUITY_FDIC" vbProcedure="false">"c6354"</definedName>
    <definedName function="false" hidden="true" name="IQ_TOTAL_OPER_EXP_BR" vbProcedure="false">"c1284"</definedName>
    <definedName function="false" hidden="true" name="IQ_TOTAL_PENSION_OBLIGATION" vbProcedure="false">"c1292"</definedName>
    <definedName function="false" hidden="true" name="IQ_TOTAL_RECOVERIES_FDIC" vbProcedure="false">"c6622"</definedName>
    <definedName function="false" hidden="true" name="IQ_TOTAL_REV_BNK_FDIC" vbProcedure="false">"c6786"</definedName>
    <definedName function="false" hidden="true" name="IQ_TOTAL_REV_BR" vbProcedure="false">"c1303"</definedName>
    <definedName function="false" hidden="true" name="IQ_TOTAL_RISK_BASED_CAPITAL_RATIO_FDIC" vbProcedure="false">"c6747"</definedName>
    <definedName function="false" hidden="true" name="IQ_TOTAL_SECURITIES_FDIC" vbProcedure="false">"c6306"</definedName>
    <definedName function="false" hidden="true" name="IQ_TOTAL_TIME_DEPOSITS_FDIC" vbProcedure="false">"c6497"</definedName>
    <definedName function="false" hidden="true" name="IQ_TOTAL_TIME_SAVINGS_DEPOSITS_FDIC" vbProcedure="false">"c6498"</definedName>
    <definedName function="false" hidden="true" name="IQ_TOTAL_UNUSAL" vbProcedure="false">"c1308"</definedName>
    <definedName function="false" hidden="true" name="IQ_TOTAL_UNUSED_COMMITMENTS_FDIC" vbProcedure="false">"c6536"</definedName>
    <definedName function="false" hidden="true" name="IQ_TOTAL_UNUSUAL_BR" vbProcedure="false">"c5517"</definedName>
    <definedName function="false" hidden="true" name="IQ_TRADING_ACCOUNT_GAINS_FEES_FDIC" vbProcedure="false">"c6573"</definedName>
    <definedName function="false" hidden="true" name="IQ_TRADING_ASSETS_FDIC" vbProcedure="false">"c6328"</definedName>
    <definedName function="false" hidden="true" name="IQ_TRADING_LIABILITIES_FDIC" vbProcedure="false">"c6344"</definedName>
    <definedName function="false" hidden="true" name="IQ_TRANSACTION_ACCOUNTS_FDIC" vbProcedure="false">"c6544"</definedName>
    <definedName function="false" hidden="true" name="IQ_TREASURY_OTHER_EQUITY_BR" vbProcedure="false">"c1314"</definedName>
    <definedName function="false" hidden="true" name="IQ_TREASURY_STOCK_TRANSACTIONS_FDIC" vbProcedure="false">"c6501"</definedName>
    <definedName function="false" hidden="true" name="IQ_TR_BUY_ADVISORS" vbProcedure="false">"c2387"</definedName>
    <definedName function="false" hidden="true" name="IQ_TR_SELL_ADVISORS" vbProcedure="false">"c2388"</definedName>
    <definedName function="false" hidden="true" name="IQ_TR_SUBDEBT" vbProcedure="false">"c2370"</definedName>
    <definedName function="false" hidden="true" name="IQ_TR_TARGET_ADVISORS" vbProcedure="false">"c2386"</definedName>
    <definedName function="false" hidden="true" name="IQ_TWELVE_MONTHS_FIXED_AND_FLOATING_FDIC" vbProcedure="false">"c6420"</definedName>
    <definedName function="false" hidden="true" name="IQ_TWELVE_MONTHS_MORTGAGE_PASS_THROUGHS_FDIC" vbProcedure="false">"c6412"</definedName>
    <definedName function="false" hidden="true" name="IQ_UNDIVIDED_PROFITS_FDIC" vbProcedure="false">"c6352"</definedName>
    <definedName function="false" hidden="true" name="IQ_UNEARNED_INCOME_FDIC" vbProcedure="false">"c6324"</definedName>
    <definedName function="false" hidden="true" name="IQ_UNEARNED_INCOME_FOREIGN_FDIC" vbProcedure="false">"c6385"</definedName>
    <definedName function="false" hidden="true" name="IQ_UNEARN_REV_CURRENT_BR" vbProcedure="false">"c1324"</definedName>
    <definedName function="false" hidden="true" name="IQ_UNPROFITABLE_INSTITUTIONS_FDIC" vbProcedure="false">"c6722"</definedName>
    <definedName function="false" hidden="true" name="IQ_UNUSED_LOAN_COMMITMENTS_FDIC" vbProcedure="false">"c6368"</definedName>
    <definedName function="false" hidden="true" name="IQ_US_BRANCHES_FOREIGN_BANKS_FDIC" vbProcedure="false">"c6390"</definedName>
    <definedName function="false" hidden="true" name="IQ_US_BRANCHES_FOREIGN_BANK_LOANS_FDIC" vbProcedure="false">"c6435"</definedName>
    <definedName function="false" hidden="true" name="IQ_US_GAAP_CA" vbProcedure="false">"c2930"</definedName>
    <definedName function="false" hidden="true" name="IQ_US_GAAP_CL" vbProcedure="false">"c2932"</definedName>
    <definedName function="false" hidden="true" name="IQ_US_GAAP_COST_REV" vbProcedure="false">"c2965"</definedName>
    <definedName function="false" hidden="true" name="IQ_US_GAAP_DO" vbProcedure="false">"c2973"</definedName>
    <definedName function="false" hidden="true" name="IQ_US_GAAP_EXTRA_ACC_ITEMS" vbProcedure="false">"c2972"</definedName>
    <definedName function="false" hidden="true" name="IQ_US_GAAP_INC_TAX" vbProcedure="false">"c2975"</definedName>
    <definedName function="false" hidden="true" name="IQ_US_GAAP_INTEREST_EXP" vbProcedure="false">"c2971"</definedName>
    <definedName function="false" hidden="true" name="IQ_US_GAAP_LIAB_LT" vbProcedure="false">"c2933"</definedName>
    <definedName function="false" hidden="true" name="IQ_US_GAAP_MINORITY_INTEREST_IS" vbProcedure="false">"c2974"</definedName>
    <definedName function="false" hidden="true" name="IQ_US_GAAP_NCA" vbProcedure="false">"c2931"</definedName>
    <definedName function="false" hidden="true" name="IQ_US_GAAP_NI_AVAIL_EXCL" vbProcedure="false">"c2977"</definedName>
    <definedName function="false" hidden="true" name="IQ_US_GAAP_OTHER_NON_OPER" vbProcedure="false">"c2969"</definedName>
    <definedName function="false" hidden="true" name="IQ_US_GAAP_OTHER_OPER" vbProcedure="false">"c2968"</definedName>
    <definedName function="false" hidden="true" name="IQ_US_GAAP_RD" vbProcedure="false">"c2967"</definedName>
    <definedName function="false" hidden="true" name="IQ_US_GAAP_SGA" vbProcedure="false">"c2966"</definedName>
    <definedName function="false" hidden="true" name="IQ_US_GAAP_TOTAL_REV" vbProcedure="false">"c2964"</definedName>
    <definedName function="false" hidden="true" name="IQ_US_GAAP_TOTAL_UNUSUAL" vbProcedure="false">"c2970"</definedName>
    <definedName function="false" hidden="true" name="IQ_US_GOV_AGENCIES_FDIC" vbProcedure="false">"c6395"</definedName>
    <definedName function="false" hidden="true" name="IQ_US_GOV_DEPOSITS_FDIC" vbProcedure="false">"c6483"</definedName>
    <definedName function="false" hidden="true" name="IQ_US_GOV_ENTERPRISES_FDIC" vbProcedure="false">"c6396"</definedName>
    <definedName function="false" hidden="true" name="IQ_US_GOV_NONCURRENT_LOANS_TOTAL_NONCURRENT_FDIC" vbProcedure="false">"c6779"</definedName>
    <definedName function="false" hidden="true" name="IQ_US_GOV_NONTRANSACTION_ACCOUNTS_FDIC" vbProcedure="false">"c6546"</definedName>
    <definedName function="false" hidden="true" name="IQ_US_GOV_OBLIGATIONS_FDIC" vbProcedure="false">"c6299"</definedName>
    <definedName function="false" hidden="true" name="IQ_US_GOV_SECURITIES_FDIC" vbProcedure="false">"c6297"</definedName>
    <definedName function="false" hidden="true" name="IQ_US_GOV_TOTAL_DEPOSITS_FDIC" vbProcedure="false">"c6472"</definedName>
    <definedName function="false" hidden="true" name="IQ_US_GOV_TRANSACTION_ACCOUNTS_FDIC" vbProcedure="false">"c6538"</definedName>
    <definedName function="false" hidden="true" name="IQ_US_TREASURY_SECURITIES_FDIC" vbProcedure="false">"c6298"</definedName>
    <definedName function="false" hidden="true" name="IQ_VALUATION_ALLOWANCES_FDIC" vbProcedure="false">"c6400"</definedName>
    <definedName function="false" hidden="true" name="IQ_VC_REVENUE_FDIC" vbProcedure="false">"c6667"</definedName>
    <definedName function="false" hidden="true" name="IQ_VOLATILE_LIABILITIES_FDIC" vbProcedure="false">"c6364"</definedName>
    <definedName function="false" hidden="false" name="IQ_WEEK" vbProcedure="false">50000</definedName>
    <definedName function="false" hidden="true" name="IQ_WRITTEN_OPTION_CONTRACTS_FDIC" vbProcedure="false">"c6509"</definedName>
    <definedName function="false" hidden="true" name="IQ_WRITTEN_OPTION_CONTRACTS_FX_RISK_FDIC" vbProcedure="false">"c6514"</definedName>
    <definedName function="false" hidden="true" name="IQ_WRITTEN_OPTION_CONTRACTS_NON_FX_IR_FDIC" vbProcedure="false">"c6519"</definedName>
    <definedName function="false" hidden="false" name="IQ_YTD" vbProcedure="false">3000</definedName>
    <definedName function="false" hidden="true" name="IQ_YTDMONTH" vbProcedure="false">130000</definedName>
    <definedName function="false" hidden="true" name="Irbe" vbProcedure="false">{#N/A,#N/A,FALSE,"Pharm";#N/A,#N/A,FALSE,"WWCM"}</definedName>
    <definedName function="false" hidden="true" name="Ireland" vbProcedure="false">{#N/A,#N/A,TRUE,"Summary";#N/A,#N/A,TRUE,"Assumptions";#N/A,#N/A,TRUE,"Economic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function="false" hidden="true" name="IRI_WorkspaceId" vbProcedure="false">"146bb25c84d144c0b75582745baef5e1"</definedName>
    <definedName function="false" hidden="true" name="irkr" vbProcedure="false">{"Units A",#N/A,FALSE,"FY95SLS";"Units B",#N/A,FALSE,"FY95SLS"}</definedName>
    <definedName function="false" hidden="true" name="IsColHidden" vbProcedure="false">FALSE()</definedName>
    <definedName function="false" hidden="true" name="IsLTMColHidden" vbProcedure="false">FALSE()</definedName>
    <definedName function="false" hidden="true" name="issco" vbProcedure="false">{#N/A,#N/A,FALSE,"3";#N/A,#N/A,FALSE,"5";#N/A,#N/A,FALSE,"6";#N/A,#N/A,FALSE,"8";#N/A,#N/A,FALSE,"10";#N/A,#N/A,FALSE,"13";#N/A,#N/A,FALSE,"14";#N/A,#N/A,FALSE,"15";#N/A,#N/A,FALSE,"16"}</definedName>
    <definedName function="false" hidden="true" name="issco2" vbProcedure="false">{#N/A,#N/A,FALSE,"3";#N/A,#N/A,FALSE,"5";#N/A,#N/A,FALSE,"6";#N/A,#N/A,FALSE,"8";#N/A,#N/A,FALSE,"10";#N/A,#N/A,FALSE,"13";#N/A,#N/A,FALSE,"14";#N/A,#N/A,FALSE,"15";#N/A,#N/A,FALSE,"16"}</definedName>
    <definedName function="false" hidden="true" name="Issue" vbProcedure="false">"BL7FKFTY6NDALOTZZF8PFRAS6"</definedName>
    <definedName function="false" hidden="true" name="isto2" vbProcedure="false">{"up stand alones",#N/A,FALSE,"Acquiror"}</definedName>
    <definedName function="false" hidden="true" name="itjo" vbProcedure="false">{#N/A,#N/A,FALSE,"TB";#N/A,#N/A,FALSE,"AR";#N/A,#N/A,FALSE,"BS";#N/A,#N/A,FALSE,"PL";#N/A,#N/A,FALSE,"NOTES";#N/A,#N/A,FALSE,"NOTES (2)";#N/A,#N/A,FALSE,"NOTES (3)";#N/A,#N/A,FALSE,"TAXC.INDEX";#N/A,#N/A,FALSE,"Schedule I";#N/A,#N/A,FALSE,"DPL";#N/A,#N/A,FALSE,"Schedule IV";#N/A,#N/A,FALSE,"Adjustments"}</definedName>
    <definedName function="false" hidden="true" name="ITLeXToEUR" vbProcedure="false">1/eurextoitl</definedName>
    <definedName function="false" hidden="true" name="iuiuiu" vbProcedure="false">#REF!</definedName>
    <definedName function="false" hidden="true" name="iultuio"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iungds" vbProcedure="false">{"detail",#N/A,FALSE,"mfg";"summary",#N/A,FALSE,"mfg"}</definedName>
    <definedName function="false" hidden="true" name="iuoiuoiu" vbProcedure="false">{#N/A,#N/A,FALSE,"3";#N/A,#N/A,FALSE,"5";#N/A,#N/A,FALSE,"6";#N/A,#N/A,FALSE,"8";#N/A,#N/A,FALSE,"10";#N/A,#N/A,FALSE,"13";#N/A,#N/A,FALSE,"14";#N/A,#N/A,FALSE,"15";#N/A,#N/A,FALSE,"16"}</definedName>
    <definedName function="false" hidden="true" name="iuoiuouio" vbProcedure="false">{#N/A,#N/A,FALSE,"3";#N/A,#N/A,FALSE,"5";#N/A,#N/A,FALSE,"6";#N/A,#N/A,FALSE,"8";#N/A,#N/A,FALSE,"10";#N/A,#N/A,FALSE,"13";#N/A,#N/A,FALSE,"14";#N/A,#N/A,FALSE,"15";#N/A,#N/A,FALSE,"16"}</definedName>
    <definedName function="false" hidden="true" name="iuoiuouiouiou" vbProcedure="false">{#N/A,#N/A,FALSE,"3";#N/A,#N/A,FALSE,"5";#N/A,#N/A,FALSE,"6";#N/A,#N/A,FALSE,"8";#N/A,#N/A,FALSE,"10";#N/A,#N/A,FALSE,"13";#N/A,#N/A,FALSE,"14";#N/A,#N/A,FALSE,"15";#N/A,#N/A,FALSE,"16"}</definedName>
    <definedName function="false" hidden="true" name="iuouiouio" vbProcedure="false">{#N/A,#N/A,FALSE,"3";#N/A,#N/A,FALSE,"5";#N/A,#N/A,FALSE,"6";#N/A,#N/A,FALSE,"8";#N/A,#N/A,FALSE,"10";#N/A,#N/A,FALSE,"13";#N/A,#N/A,FALSE,"14";#N/A,#N/A,FALSE,"15";#N/A,#N/A,FALSE,"16"}</definedName>
    <definedName function="false" hidden="true" name="iuouiouiouio" vbProcedure="false">{#N/A,#N/A,FALSE,"3";#N/A,#N/A,FALSE,"5";#N/A,#N/A,FALSE,"6";#N/A,#N/A,FALSE,"8";#N/A,#N/A,FALSE,"10";#N/A,#N/A,FALSE,"13";#N/A,#N/A,FALSE,"14";#N/A,#N/A,FALSE,"15";#N/A,#N/A,FALSE,"16"}</definedName>
    <definedName function="false" hidden="true" name="iuyt" vbProcedure="false">{"AS REP",#N/A,FALSE,"EEFSNAP2";"PROP",#N/A,FALSE,"EEFSNAP2";"RISKS",#N/A,FALSE,"EEFSNAP2";"VIEW ALL",#N/A,FALSE,"EEFSNAP2"}</definedName>
    <definedName function="false" hidden="false" name="IU_Dropdown" vbProcedure="false">#REF!</definedName>
    <definedName function="false" hidden="true" name="ixa" vbProcedure="false">{#N/A,#N/A,FALSE,"Cristal D'Oro (Tabela)";#N/A,#N/A,FALSE,"Cond Rio Tietê (Tabela)";#N/A,#N/A,FALSE,"Jacyr Leal (Tabela)";#N/A,#N/A,FALSE,"Paul Cézanne (Tabela)";#N/A,#N/A,FALSE,"Tom Jobim  (Tabela)"}</definedName>
    <definedName function="false" hidden="true" name="iy" vbProcedure="false">{"AS REP",#N/A,FALSE,"EEFSNAP2";"PROP",#N/A,FALSE,"EEFSNAP2";"RISKS",#N/A,FALSE,"EEFSNAP2";"VIEW ALL",#N/A,FALSE,"EEFSNAP2"}</definedName>
    <definedName function="false" hidden="true" name="iyiy" vbProcedure="false">{#N/A,#N/A,FALSE,"3";#N/A,#N/A,FALSE,"5";#N/A,#N/A,FALSE,"6";#N/A,#N/A,FALSE,"8";#N/A,#N/A,FALSE,"10";#N/A,#N/A,FALSE,"13";#N/A,#N/A,FALSE,"14";#N/A,#N/A,FALSE,"15";#N/A,#N/A,FALSE,"16"}</definedName>
    <definedName function="false" hidden="true" name="iyuid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 vbProcedure="false">{#N/A,#N/A,FALSE,"REPORT"}</definedName>
    <definedName function="false" hidden="true" name="jafjeofja" vbProcedure="false">{#N/A,#N/A,FALSE,"TB";#N/A,#N/A,FALSE,"AR";#N/A,#N/A,FALSE,"BS";#N/A,#N/A,FALSE,"PL";#N/A,#N/A,FALSE,"NOTES";#N/A,#N/A,FALSE,"NOTES (2)";#N/A,#N/A,FALSE,"NOTES (3)";#N/A,#N/A,FALSE,"TAXC.INDEX";#N/A,#N/A,FALSE,"Schedule I";#N/A,#N/A,FALSE,"DPL";#N/A,#N/A,FALSE,"Schedule IV";#N/A,#N/A,FALSE,"Adjustments"}</definedName>
    <definedName function="false" hidden="true" name="jafo" vbProcedure="false">{#N/A,#N/A,FALSE,"TB";#N/A,#N/A,FALSE,"DR";#N/A,#N/A,FALSE,"AR";#N/A,#N/A,FALSE,"BS";#N/A,#N/A,FALSE,"PL";#N/A,#N/A,FALSE,"NOTES";#N/A,#N/A,FALSE,"NOTES (2)";#N/A,#N/A,FALSE,"NOTES (3)";#N/A,#N/A,FALSE,"DPL";#N/A,#N/A,FALSE,"DPL"}</definedName>
    <definedName function="false" hidden="true" name="jal" vbProcedure="false">{#N/A,#N/A,FALSE,"TAXC.INDEX";#N/A,#N/A,FALSE,"Schedule I";#N/A,#N/A,FALSE,"Schedule  II";#N/A,#N/A,FALSE,"Schedule III"}</definedName>
    <definedName function="false" hidden="true" name="jam"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jaos" vbProcedure="false">{#N/A,#N/A,FALSE,"DIR-REP";#N/A,#N/A,FALSE,"AUD-REPORT";#N/A,#N/A,FALSE,"P7L&amp;BS";#N/A,#N/A,FALSE,"NOTES";#N/A,#N/A,FALSE,"FA";#N/A,#N/A,FALSE,"NOTES (2)";#N/A,#N/A,FALSE,"Schedule  IV";#N/A,#N/A,FALSE,"Schedule V"}</definedName>
    <definedName function="false" hidden="true" name="japoe" vbProcedure="false">{#N/A,#N/A,FALSE,"TB";#N/A,#N/A,FALSE,"DR";#N/A,#N/A,FALSE,"AR";#N/A,#N/A,FALSE,"PL";#N/A,#N/A,FALSE,"BS";#N/A,#N/A,FALSE,"NOTES";#N/A,#N/A,FALSE,"NOTES (2)";#N/A,#N/A,FALSE,"NOTES (3)";#N/A,#N/A,FALSE,"DPL";#N/A,#N/A,FALSE,"TAXC.INDEX";#N/A,#N/A,FALSE,"Schedule I";#N/A,#N/A,FALSE,"Adjustments"}</definedName>
    <definedName function="false" hidden="true" name="jaso" vbProcedure="false">{#N/A,#N/A,FALSE,"TB";#N/A,#N/A,FALSE,"DR";#N/A,#N/A,FALSE,"AR";#N/A,#N/A,FALSE,"BS";#N/A,#N/A,FALSE,"PL";#N/A,#N/A,FALSE,"NOTES";#N/A,#N/A,FALSE,"NOTES (2)";#N/A,#N/A,FALSE,"NOTES (3)";#N/A,#N/A,FALSE,"DPL";#N/A,#N/A,FALSE,"DPL"}</definedName>
    <definedName function="false" hidden="true" name="jay" vbProcedure="false">{#N/A,#N/A,FALSE,"TB";#N/A,#N/A,FALSE,"AR";#N/A,#N/A,FALSE,"BS";#N/A,#N/A,FALSE,"PL";#N/A,#N/A,FALSE,"NOTES";#N/A,#N/A,FALSE,"NOTES (2)";#N/A,#N/A,FALSE,"NOTES (3)";#N/A,#N/A,FALSE,"TAXC.INDEX";#N/A,#N/A,FALSE,"Schedule I";#N/A,#N/A,FALSE,"DPL";#N/A,#N/A,FALSE,"Schedule IV";#N/A,#N/A,FALSE,"Adjustments"}</definedName>
    <definedName function="false" hidden="true" name="jazz" vbProcedure="false">{#N/A,#N/A,FALSE,"Spain MKT";#N/A,#N/A,FALSE,"Assumptions";#N/A,#N/A,FALSE,"Adve";#N/A,#N/A,FALSE,"E-Commerce";#N/A,#N/A,FALSE,"Opex";#N/A,#N/A,FALSE,"P&amp;L";#N/A,#N/A,FALSE,"FCF &amp; DCF"}</definedName>
    <definedName function="false" hidden="true" name="jb"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jbaoe" vbProcedure="false">{#N/A,#N/A,FALSE,"TB";#N/A,#N/A,FALSE,"DR";#N/A,#N/A,FALSE,"AR";#N/A,#N/A,FALSE,"PL";#N/A,#N/A,FALSE,"BS";#N/A,#N/A,FALSE,"NOTES";#N/A,#N/A,FALSE,"NOTES (2)";#N/A,#N/A,FALSE,"NOTES (3)";#N/A,#N/A,FALSE,"DPL";#N/A,#N/A,FALSE,"TAXC.INDEX";#N/A,#N/A,FALSE,"Schedule I";#N/A,#N/A,FALSE,"Adjustments"}</definedName>
    <definedName function="false" hidden="true" name="jbaofe" vbProcedure="false">{#N/A,#N/A,FALSE,"TAXC.INDEX";#N/A,#N/A,FALSE,"Schedule I";#N/A,#N/A,FALSE,"Schedule  II";#N/A,#N/A,FALSE,"Schedule III"}</definedName>
    <definedName function="false" hidden="true" name="jbo" vbProcedure="false">{#N/A,#N/A,FALSE,"TAXC.INDEX";#N/A,#N/A,FALSE,"Schedule I";#N/A,#N/A,FALSE,"Schedule  II";#N/A,#N/A,FALSE,"Schedule III";#N/A,#N/A,FALSE,"Schedule IV";#N/A,#N/A,FALSE,"Schedule IV (Cont'd)";#N/A,#N/A,FALSE,"Schedule V";#N/A,#N/A,FALSE,"Schedule VI";#N/A,#N/A,FALSE,"Schedule VII"}</definedName>
    <definedName function="false" hidden="true" name="jboejaf" vbProcedure="false">{#N/A,#N/A,FALSE,"DIR-REP";#N/A,#N/A,FALSE,"AUD-REPORT";#N/A,#N/A,FALSE,"P7L&amp;BS";#N/A,#N/A,FALSE,"NOTES";#N/A,#N/A,FALSE,"FA";#N/A,#N/A,FALSE,"NOTES (2)";#N/A,#N/A,FALSE,"Schedule  IV";#N/A,#N/A,FALSE,"Schedule V"}</definedName>
    <definedName function="false" hidden="true" name="jbos" vbProcedure="false">{#N/A,#N/A,FALSE,"TB";#N/A,#N/A,FALSE,"DR";#N/A,#N/A,FALSE,"AR";#N/A,#N/A,FALSE,"PL";#N/A,#N/A,FALSE,"BS";#N/A,#N/A,FALSE,"NOTES";#N/A,#N/A,FALSE,"NOTES (2)";#N/A,#N/A,FALSE,"NOTES (3)";#N/A,#N/A,FALSE,"DPL";#N/A,#N/A,FALSE,"TAXC.INDEX";#N/A,#N/A,FALSE,"Schedule I";#N/A,#N/A,FALSE,"Adjustments"}</definedName>
    <definedName function="false" hidden="true" name="jbvod" vbProcedure="false">{#N/A,#N/A,FALSE,"TB";#N/A,#N/A,FALSE,"DR";#N/A,#N/A,FALSE,"AR";#N/A,#N/A,FALSE,"PL";#N/A,#N/A,FALSE,"BS";#N/A,#N/A,FALSE,"NOTES";#N/A,#N/A,FALSE,"NOTES (2)";#N/A,#N/A,FALSE,"NOTES (3)";#N/A,#N/A,FALSE,"DPL";#N/A,#N/A,FALSE,"TAXC.INDEX";#N/A,#N/A,FALSE,"Schedule I";#N/A,#N/A,FALSE,"Adjustments"}</definedName>
    <definedName function="false" hidden="true" name="jco" vbProcedure="false">{#N/A,#N/A,FALSE,"TAXC.INDEX";#N/A,#N/A,FALSE,"Schedule I";#N/A,#N/A,FALSE,"Schedule  II";#N/A,#N/A,FALSE,"Schedule III";#N/A,#N/A,FALSE,"Schedule IV";#N/A,#N/A,FALSE,"Schedule IV (Cont'd)";#N/A,#N/A,FALSE,"Schedule V";#N/A,#N/A,FALSE,"Schedule VI";#N/A,#N/A,FALSE,"Schedule VII"}</definedName>
    <definedName function="false" hidden="true" name="jcof" vbProcedure="false">{#N/A,#N/A,FALSE,"TB";#N/A,#N/A,FALSE,"DR";#N/A,#N/A,FALSE,"AR";#N/A,#N/A,FALSE,"PL";#N/A,#N/A,FALSE,"BS";#N/A,#N/A,FALSE,"NOTES";#N/A,#N/A,FALSE,"NOTES (2)";#N/A,#N/A,FALSE,"NOTES (3)";#N/A,#N/A,FALSE,"DPL";#N/A,#N/A,FALSE,"TAXC.INDEX";#N/A,#N/A,FALSE,"Schedule I";#N/A,#N/A,FALSE,"Adjustments"}</definedName>
    <definedName function="false" hidden="true" name="jcog" vbProcedure="false">{#N/A,#N/A,FALSE,"TB";#N/A,#N/A,FALSE,"AR";#N/A,#N/A,FALSE,"BS";#N/A,#N/A,FALSE,"PL";#N/A,#N/A,FALSE,"NOTES";#N/A,#N/A,FALSE,"NOTES (2)";#N/A,#N/A,FALSE,"NOTES (3)";#N/A,#N/A,FALSE,"TAXC.INDEX";#N/A,#N/A,FALSE,"Schedule I";#N/A,#N/A,FALSE,"DPL";#N/A,#N/A,FALSE,"Schedule IV";#N/A,#N/A,FALSE,"Adjustments"}</definedName>
    <definedName function="false" hidden="true" name="jdghjdyt" vbProcedure="false">{"Sum WW A",#N/A,FALSE,"FY95SLS";"Sum WW B",#N/A,FALSE,"FY95SLS";"Sum US A",#N/A,FALSE,"FY95SLS";"Sum US B",#N/A,FALSE,"FY95SLS";"Sum US Bocg",#N/A,FALSE,"FY95SLS";"Sum Can A",#N/A,FALSE,"FY95SLS";"Sum Can B",#N/A,FALSE,"FY95SLS";"Sum Europe",#N/A,FALSE,"FY95SLS";"Sum Row",#N/A,FALSE,"FY95SLS"}</definedName>
    <definedName function="false" hidden="true" name="jdsf" vbProcedure="false">{#N/A,#N/A,FALSE,"FAB VENDORS";"BUD SUM",#N/A,FALSE,"BUD SUM WO TEX"}</definedName>
    <definedName function="false" hidden="true" name="je" vbProcedure="false">{#N/A,#N/A,FALSE,"3";#N/A,#N/A,FALSE,"5";#N/A,#N/A,FALSE,"6";#N/A,#N/A,FALSE,"8";#N/A,#N/A,FALSE,"10";#N/A,#N/A,FALSE,"13";#N/A,#N/A,FALSE,"14";#N/A,#N/A,FALSE,"15";#N/A,#N/A,FALSE,"16"}</definedName>
    <definedName function="false" hidden="true" name="jeanne" vbProcedure="false">{#N/A,#N/A,FALSE,"Eastern";#N/A,#N/A,FALSE,"Western"}</definedName>
    <definedName function="false" hidden="true" name="jfaoej" vbProcedure="false">{#N/A,#N/A,FALSE,"CONTENTS";#N/A,#N/A,FALSE,"DR";#N/A,#N/A,FALSE,"PL";#N/A,#N/A,FALSE,"BS";#N/A,#N/A,FALSE,"Cash Flow";#N/A,#N/A,FALSE,"NOTES";#N/A,#N/A,FALSE,"NOTES (FA)";#N/A,#N/A,FALSE,"Notes(3)";#N/A,#N/A,FALSE,"NOTES (4)";#N/A,#N/A,FALSE,"DP&amp;L";#N/A,#N/A,FALSE,"EXPENSES";#N/A,#N/A,FALSE,"EXPENSES-1"}</definedName>
    <definedName function="false" hidden="true" name="jfdsir" vbProcedure="false">{"YTD",#N/A,FALSE,"SUM"}</definedName>
    <definedName function="false" hidden="true" name="jfgjfgj" vbProcedure="false">{"Units A",#N/A,FALSE,"FY95SLS";"Units B",#N/A,FALSE,"FY95SLS"}</definedName>
    <definedName function="false" hidden="true" name="jfjfj" vbProcedure="false">{#N/A,#N/A,TRUE,"Cover sheet";#N/A,#N/A,TRUE,"DCF analysis";#N/A,#N/A,TRUE,"WACC calculation"}</definedName>
    <definedName function="false" hidden="true" name="jg"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jgaoejf" vbProcedure="false">{#N/A,#N/A,FALSE,"TAXC.INDEX";#N/A,#N/A,FALSE,"Schedule I";#N/A,#N/A,FALSE,"Schedule  II";#N/A,#N/A,FALSE,"Schedule III"}</definedName>
    <definedName function="false" hidden="true" name="jgaoejfa" vbProcedure="false">{#N/A,#N/A,FALSE,"TB";#N/A,#N/A,FALSE,"AR";#N/A,#N/A,FALSE,"BS";#N/A,#N/A,FALSE,"PL";#N/A,#N/A,FALSE,"NOTES";#N/A,#N/A,FALSE,"NOTES (2)";#N/A,#N/A,FALSE,"NOTES (3)";#N/A,#N/A,FALSE,"TAXC.INDEX";#N/A,#N/A,FALSE,"Schedule I";#N/A,#N/A,FALSE,"DPL";#N/A,#N/A,FALSE,"Schedule IV";#N/A,#N/A,FALSE,"Adjustments"}</definedName>
    <definedName function="false" hidden="true" name="jgaof" vbProcedure="false">{#N/A,#N/A,FALSE,"TAXC.INDEX";#N/A,#N/A,FALSE,"Schedule I";#N/A,#N/A,FALSE,"Schedule  II";#N/A,#N/A,FALSE,"Schedule III";#N/A,#N/A,FALSE,"Schedule IV";#N/A,#N/A,FALSE,"Schedule IV (Cont'd)";#N/A,#N/A,FALSE,"Schedule V";#N/A,#N/A,FALSE,"Schedule VI";#N/A,#N/A,FALSE,"Schedule VII"}</definedName>
    <definedName function="false" hidden="true" name="jgaofen" vbProcedure="false">{#N/A,#N/A,FALSE,"DIR-REP";#N/A,#N/A,FALSE,"AUD-REPORT";#N/A,#N/A,FALSE,"P7L&amp;BS";#N/A,#N/A,FALSE,"NOTES";#N/A,#N/A,FALSE,"FA";#N/A,#N/A,FALSE,"NOTES (2)";#N/A,#N/A,FALSE,"Schedule  IV";#N/A,#N/A,FALSE,"Schedule V"}</definedName>
    <definedName function="false" hidden="true" name="jgaofje" vbProcedure="false">{#N/A,#N/A,FALSE,"DIR-REP";#N/A,#N/A,FALSE,"AUD-REPORT";#N/A,#N/A,FALSE,"P7L&amp;BS";#N/A,#N/A,FALSE,"NOTES";#N/A,#N/A,FALSE,"FA";#N/A,#N/A,FALSE,"NOTES (2)";#N/A,#N/A,FALSE,"Schedule  IV";#N/A,#N/A,FALSE,"Schedule V"}</definedName>
    <definedName function="false" hidden="true" name="jgaojef" vbProcedure="false">{#N/A,#N/A,FALSE,"TAXC.INDEX";#N/A,#N/A,FALSE,"Schedule I";#N/A,#N/A,FALSE,"Schedule  II";#N/A,#N/A,FALSE,"Schedule III"}</definedName>
    <definedName function="false" hidden="true" name="jgfhtr" vbProcedure="false">{"Units A",#N/A,FALSE,"FY95SLS";"Units B",#N/A,FALSE,"FY95SLS"}</definedName>
    <definedName function="false" hidden="true" name="jgfjgfj" vbProcedure="false">{"Sum WW A",#N/A,FALSE,"FY95SLS";"Sum WW B",#N/A,FALSE,"FY95SLS";"Sum US A",#N/A,FALSE,"FY95SLS";"Sum US B",#N/A,FALSE,"FY95SLS";"Sum US Bocg",#N/A,FALSE,"FY95SLS";"Sum Can A",#N/A,FALSE,"FY95SLS";"Sum Can B",#N/A,FALSE,"FY95SLS";"Sum Europe",#N/A,FALSE,"FY95SLS";"Sum Row",#N/A,FALSE,"FY95SLS"}</definedName>
    <definedName function="false" hidden="true" name="jgh" vbProcedure="false">{"Units A",#N/A,FALSE,"FY95SLS";"Units B",#N/A,FALSE,"FY95SLS"}</definedName>
    <definedName function="false" hidden="true" name="jghjg" vbProcedure="false">{#N/A,#N/A,FALSE,"Produkte Erw.";#N/A,#N/A,FALSE,"Produkte Plan";#N/A,#N/A,FALSE,"Leistungen Erw.";#N/A,#N/A,FALSE,"Leistungen Plan";#N/A,#N/A,FALSE,"KA Allg.Kosten (2)";#N/A,#N/A,FALSE,"KA All.Kosten"}</definedName>
    <definedName function="false" hidden="true" name="jghjghjghj" vbProcedure="false">{#N/A,#N/A,FALSE,"3";#N/A,#N/A,FALSE,"5";#N/A,#N/A,FALSE,"6";#N/A,#N/A,FALSE,"8";#N/A,#N/A,FALSE,"10";#N/A,#N/A,FALSE,"13";#N/A,#N/A,FALSE,"14";#N/A,#N/A,FALSE,"15";#N/A,#N/A,FALSE,"16"}</definedName>
    <definedName function="false" hidden="true" name="jghjghjhg" vbProcedure="false">{"Sum WW A",#N/A,FALSE,"FY95SLS";"Sum WW B",#N/A,FALSE,"FY95SLS";"Sum US A",#N/A,FALSE,"FY95SLS";"Sum US B",#N/A,FALSE,"FY95SLS";"Sum US Bocg",#N/A,FALSE,"FY95SLS";"Sum Can A",#N/A,FALSE,"FY95SLS";"Sum Can B",#N/A,FALSE,"FY95SLS";"Sum Europe",#N/A,FALSE,"FY95SLS";"Sum Row",#N/A,FALSE,"FY95SLS"}</definedName>
    <definedName function="false" hidden="true" name="jghjgyhjgh" vbProcedure="false">{#N/A,#N/A,FALSE,"3";#N/A,#N/A,FALSE,"5";#N/A,#N/A,FALSE,"6";#N/A,#N/A,FALSE,"8";#N/A,#N/A,FALSE,"10";#N/A,#N/A,FALSE,"13";#N/A,#N/A,FALSE,"14";#N/A,#N/A,FALSE,"15";#N/A,#N/A,FALSE,"16"}</definedName>
    <definedName function="false" hidden="true" name="jghjhlldc" vbProcedure="false">{#N/A,#N/A,FALSE,"Umsatz CH";#N/A,#N/A,FALSE,"ER CH";#N/A,#N/A,FALSE,"EA CH (2) ";#N/A,#N/A,FALSE,"EA CH";#N/A,#N/A,FALSE,"EA CH (3) ";#N/A,#N/A,FALSE,"EA CH (4)";#N/A,#N/A,FALSE,"KA CH";#N/A,#N/A,FALSE,"KA CH  (2)";#N/A,#N/A,FALSE,"KA CH  (3)";#N/A,#N/A,FALSE,"KA CH (4)"}</definedName>
    <definedName function="false" hidden="true" name="jghjudtyu" vbProcedure="false">{"Units A",#N/A,FALSE,"FY95SLS";"Units B",#N/A,FALSE,"FY95SLS"}</definedName>
    <definedName function="false" hidden="true" name="jgj" vbProcedure="false">{"Pound Sterling",#N/A,TRUE,"PPD";"Pound Sterling",#N/A,TRUE,"Anaquest";"Pound Sterling",#N/A,TRUE,"Delta";"Pound Sterling",#N/A,TRUE,"INO"}</definedName>
    <definedName function="false" hidden="true" name="jh" vbProcedure="false">{#N/A,#N/A,FALSE,"CreditStat";#N/A,#N/A,FALSE,"SPbrkup";#N/A,#N/A,FALSE,"MerSPsyn";#N/A,#N/A,FALSE,"MerSPwKCsyn";#N/A,#N/A,FALSE,"MerSPwKCsyn (2)";#N/A,#N/A,FALSE,"CreditStat (2)"}</definedName>
    <definedName function="false" hidden="true" name="jhe"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hg" vbProcedure="false">{#N/A,#N/A,FALSE,"3";#N/A,#N/A,FALSE,"5";#N/A,#N/A,FALSE,"6";#N/A,#N/A,FALSE,"8";#N/A,#N/A,FALSE,"10";#N/A,#N/A,FALSE,"13";#N/A,#N/A,FALSE,"14";#N/A,#N/A,FALSE,"15";#N/A,#N/A,FALSE,"16"}</definedName>
    <definedName function="false" hidden="true" name="jhgf" vbProcedure="false">{"Commentary",#N/A,FALSE,"May"}</definedName>
    <definedName function="false" hidden="true" name="jhghj" vbProcedure="false">{#N/A,#N/A,FALSE,"3";#N/A,#N/A,FALSE,"5";#N/A,#N/A,FALSE,"6";#N/A,#N/A,FALSE,"8";#N/A,#N/A,FALSE,"10";#N/A,#N/A,FALSE,"13";#N/A,#N/A,FALSE,"14";#N/A,#N/A,FALSE,"15";#N/A,#N/A,FALSE,"16"}</definedName>
    <definedName function="false" hidden="true" name="jhhgjh" vbProcedure="false">{#N/A,#N/A,FALSE,"KA CH  (2)"}</definedName>
    <definedName function="false" hidden="true" name="jh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hjhg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hk" vbProcedure="false">{"print 1",#N/A,FALSE,"PrimeCo PCS";"print 2",#N/A,FALSE,"PrimeCo PCS";"valuation",#N/A,FALSE,"PrimeCo PCS"}</definedName>
    <definedName function="false" hidden="true" name="jhll" vbProcedure="false">{#N/A,#N/A,FALSE,"PMW Gruppe 99_98";#N/A,#N/A,FALSE,"PMW KG 98_99";#N/A,#N/A,FALSE,"PMW Inc. 99_98";#N/A,#N/A,FALSE,"PMW VTECH 99_98";#N/A,#N/A,FALSE,"PMW Thail. 99_98";#N/A,#N/A,FALSE,"PMW Canada 99_98";#N/A,#N/A,FALSE,"Währungsabw. 99_98"}</definedName>
    <definedName function="false" hidden="true" name="jhsfhj" vbProcedure="false">{"Pound Sterling",#N/A,TRUE,"PPD";"Pound Sterling",#N/A,TRUE,"Anaquest";"Pound Sterling",#N/A,TRUE,"Delta";"Pound Sterling",#N/A,TRUE,"INO"}</definedName>
    <definedName function="false" hidden="true" name="jhu" vbProcedure="false">{#N/A,"PURADD",FALSE,"Business Analysis";#N/A,"PURSPP",FALSE,"Business Analysis";#N/A,"CTGIND",FALSE,"Business Analysis";#N/A,"PURCHM",FALSE,"Business Analysis";#N/A,"SPADD",FALSE,"Business Analysis";#N/A,"EPOXY",FALSE,"Business Analysis";#N/A,"PURPER",FALSE,"Business Analysis"}</definedName>
    <definedName function="false" hidden="true" name="ji" vbProcedure="false">{"'Highlights'!$A$1:$M$123"}</definedName>
    <definedName function="false" hidden="true" name="JIE" vbProcedure="false">{#N/A,#N/A,FALSE,"DIR-REP";#N/A,#N/A,FALSE,"AUD-REPORT";#N/A,#N/A,FALSE,"P7L&amp;BS";#N/A,#N/A,FALSE,"NOTES";#N/A,#N/A,FALSE,"FA";#N/A,#N/A,FALSE,"NOTES (2)";#N/A,#N/A,FALSE,"Schedule  IV";#N/A,#N/A,FALSE,"Schedule V"}</definedName>
    <definedName function="false" hidden="true" name="jih" vbProcedure="fals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function="false" hidden="true" name="jim" vbProcedure="false">{"'Directory'!$A$72:$E$91"}</definedName>
    <definedName function="false" hidden="true" name="jimm" vbProcedure="false">{"'Directory'!$A$72:$E$91"}</definedName>
    <definedName function="false" hidden="true" name="jip" vbProcedure="false">{"'Highlights'!$A$1:$M$123"}</definedName>
    <definedName function="false" hidden="true" name="jj"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jj.l" vbProcedure="false">{#N/A,#N/A,FALSE,"Umsatz EO BP";#N/A,#N/A,FALSE,"Umsatz EO OP";#N/A,#N/A,FALSE,"ER EO BP";#N/A,#N/A,FALSE,"ER EO OP";#N/A,#N/A,FALSE,"EA EO (2)";#N/A,#N/A,FALSE,"EA EO";#N/A,#N/A,FALSE,"EA EO (3)";#N/A,#N/A,FALSE,"EA EO (4)";#N/A,#N/A,FALSE,"KA EO  (2)";#N/A,#N/A,FALSE,"KA EO";#N/A,#N/A,FALSE,"KA EO  (3)";#N/A,#N/A,FALSE,"KA EO (4)"}</definedName>
    <definedName function="false" hidden="true" name="jjhg.lllll" vbProcedure="false">{#N/A,#N/A,FALSE,"Umsatz HM";#N/A,#N/A,FALSE,"ER HM";#N/A,#N/A,FALSE,"EA HM  (2)";#N/A,#N/A,FALSE,"EA HM ";#N/A,#N/A,FALSE,"EA HM  (4)";#N/A,#N/A,FALSE,"EA HM  (3)";#N/A,#N/A,FALSE,"KA HM  (2)";#N/A,#N/A,FALSE,"KA HM";#N/A,#N/A,FALSE,"KA HM  (3)";#N/A,#N/A,FALSE,"KA HM (4)"}</definedName>
    <definedName function="false" hidden="true" name="jjj" vbProcedure="false">{#N/A,#N/A,FALSE,"REPORT"}</definedName>
    <definedName function="false" hidden="true" name="JJJBBB"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jjjj" vbProcedure="false">{#N/A,#N/A,FALSE,"TAXC.INDEX";#N/A,#N/A,FALSE,"Schedule I";#N/A,#N/A,FALSE,"Schedule  II";#N/A,#N/A,FALSE,"Schedule III"}</definedName>
    <definedName function="false" hidden="true" name="jjjj2" vbProcedure="false">{#N/A,#N/A,FALSE,"TAXC.INDEX";#N/A,#N/A,FALSE,"Schedule I";#N/A,#N/A,FALSE,"Schedule  II";#N/A,#N/A,FALSE,"Schedule III"}</definedName>
    <definedName function="false" hidden="true" name="jjjjjjjj" vbProcedure="false">{#N/A,#N/A,FALSE,"3";#N/A,#N/A,FALSE,"5";#N/A,#N/A,FALSE,"6";#N/A,#N/A,FALSE,"8";#N/A,#N/A,FALSE,"10";#N/A,#N/A,FALSE,"13";#N/A,#N/A,FALSE,"14";#N/A,#N/A,FALSE,"15";#N/A,#N/A,FALSE,"16"}</definedName>
    <definedName function="false" hidden="true" name="jk" vbProcedure="false">{#N/A,#N/A,FALSE,"VIVENDI SOP";#N/A,#N/A,FALSE,"Water division SOP";#N/A,#N/A,FALSE,"Water multiple valuation"}</definedName>
    <definedName function="false" hidden="true" name="jkgjh" vbProcedure="false">{"consolidated",#N/A,FALSE,"Sheet1";"cms",#N/A,FALSE,"Sheet1";"fse",#N/A,FALSE,"Sheet1"}</definedName>
    <definedName function="false" hidden="true" name="jkiu" vbProcedure="false">{#N/A,"PURCHM",FALSE,"Business Analysis";#N/A,"SPADD",FALSE,"Business Analysis"}</definedName>
    <definedName function="false" hidden="true" name="jkjhk" vbProcedure="false">{#N/A,#N/A,FALSE,"Produkte Erw.";#N/A,#N/A,FALSE,"Produkte Plan";#N/A,#N/A,FALSE,"Leistungen Erw.";#N/A,#N/A,FALSE,"Leistungen Plan";#N/A,#N/A,FALSE,"KA Allg.Kosten (2)";#N/A,#N/A,FALSE,"KA All.Kosten"}</definedName>
    <definedName function="false" hidden="true" name="jkjk"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kjkljkljlk" vbProcedure="false">{"Units A",#N/A,FALSE,"FY95SLS";"Units B",#N/A,FALSE,"FY95SLS"}</definedName>
    <definedName function="false" hidden="true" name="jkkjhk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kkjkljlkj" vbProcedure="false">{"US Dollars",#N/A,TRUE,"PPD";"US Dollar",#N/A,TRUE,"Anaquest";"US Dollar",#N/A,TRUE,"Delta";"US Dollar",#N/A,TRUE,"INO"}</definedName>
    <definedName function="false" hidden="true" name="jkl" vbProcedure="false">{#N/A,#N/A,FALSE,"REPORT"}</definedName>
    <definedName function="false" hidden="true" name="jkl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kljklj" vbProcedure="false">{"Sum WW A",#N/A,FALSE,"FY95SLS";"Sum WW B",#N/A,FALSE,"FY95SLS";"Sum US A",#N/A,FALSE,"FY95SLS";"Sum US B",#N/A,FALSE,"FY95SLS";"Sum US Bocg",#N/A,FALSE,"FY95SLS";"Sum Can A",#N/A,FALSE,"FY95SLS";"Sum Can B",#N/A,FALSE,"FY95SLS";"Sum Europe",#N/A,FALSE,"FY95SLS";"Sum Row",#N/A,FALSE,"FY95SLS"}</definedName>
    <definedName function="false" hidden="true" name="jkljlk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jklk" vbProcedure="false">{#N/A,#N/A,FALSE,"Umsatz OK";#N/A,#N/A,FALSE,"ER OK ";#N/A,#N/A,FALSE,"EA OK (2)";#N/A,#N/A,FALSE,"EA OK";#N/A,#N/A,FALSE,"EA OK (3)";#N/A,#N/A,FALSE,"EA OK (4)";#N/A,#N/A,FALSE,"KA OK  (2)";#N/A,#N/A,FALSE,"KA OK";#N/A,#N/A,FALSE,"KA OK  (3)";#N/A,#N/A,FALSE,"KA OK (4)"}</definedName>
    <definedName function="false" hidden="true" name="jkll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klñ"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jkri"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jkwsd" vbProcedure="false">{"detail",#N/A,FALSE,"mfg";"summary",#N/A,FALSE,"mfg"}</definedName>
    <definedName function="false" hidden="true" name="jlhhjlhjlhjl" vbProcedure="false">{#N/A,#N/A,FALSE,"3";#N/A,#N/A,FALSE,"5";#N/A,#N/A,FALSE,"6";#N/A,#N/A,FALSE,"8";#N/A,#N/A,FALSE,"10";#N/A,#N/A,FALSE,"13";#N/A,#N/A,FALSE,"14";#N/A,#N/A,FALSE,"15";#N/A,#N/A,FALSE,"16"}</definedName>
    <definedName function="false" hidden="true" name="jlhjlhjl" vbProcedure="false">{#N/A,#N/A,FALSE,"3";#N/A,#N/A,FALSE,"5";#N/A,#N/A,FALSE,"6";#N/A,#N/A,FALSE,"8";#N/A,#N/A,FALSE,"10";#N/A,#N/A,FALSE,"13";#N/A,#N/A,FALSE,"14";#N/A,#N/A,FALSE,"15";#N/A,#N/A,FALSE,"16"}</definedName>
    <definedName function="false" hidden="true" name="jlj" vbProcedure="false">{#N/A,#N/A,FALSE,"3";#N/A,#N/A,FALSE,"5";#N/A,#N/A,FALSE,"6";#N/A,#N/A,FALSE,"8";#N/A,#N/A,FALSE,"10";#N/A,#N/A,FALSE,"13";#N/A,#N/A,FALSE,"14";#N/A,#N/A,FALSE,"15";#N/A,#N/A,FALSE,"16"}</definedName>
    <definedName function="false" hidden="true" name="jljlkj" vbProcedure="false">{"Pound Sterling",#N/A,TRUE,"PPD";"Pound Sterling",#N/A,TRUE,"Anaquest";"Pound Sterling",#N/A,TRUE,"Delta";"Pound Sterling",#N/A,TRUE,"INO"}</definedName>
    <definedName function="false" hidden="true" name="jlkj" vbProcedure="false">{#N/A,#N/A,FALSE,"3";#N/A,#N/A,FALSE,"5";#N/A,#N/A,FALSE,"6";#N/A,#N/A,FALSE,"8";#N/A,#N/A,FALSE,"10";#N/A,#N/A,FALSE,"13";#N/A,#N/A,FALSE,"14";#N/A,#N/A,FALSE,"15";#N/A,#N/A,FALSE,"16"}</definedName>
    <definedName function="false" hidden="true" name="jlkjkjl" vbProcedure="false">{"Units A",#N/A,FALSE,"FY95SLS";"Units B",#N/A,FALSE,"FY95SLS"}</definedName>
    <definedName function="false" hidden="true" name="jlyulhjl" vbProcedure="false">{#N/A,#N/A,FALSE,"3";#N/A,#N/A,FALSE,"5";#N/A,#N/A,FALSE,"6";#N/A,#N/A,FALSE,"8";#N/A,#N/A,FALSE,"10";#N/A,#N/A,FALSE,"13";#N/A,#N/A,FALSE,"14";#N/A,#N/A,FALSE,"15";#N/A,#N/A,FALSE,"16"}</definedName>
    <definedName function="false" hidden="true" name="jn" vbProcedure="false">{#N/A,#N/A,FALSE,"TAXC.INDEX";#N/A,#N/A,FALSE,"Schedule I";#N/A,#N/A,FALSE,"Schedule  II";#N/A,#N/A,FALSE,"Schedule III"}</definedName>
    <definedName function="false" hidden="true" name="jnbid" vbProcedure="false">{"detail",#N/A,FALSE,"mfg";"summary",#N/A,FALSE,"mfg"}</definedName>
    <definedName function="false" hidden="true" name="JNPRpublish" vbProcedure="false">{#N/A,#N/A,FALSE,"Index";"Stmts_Qtrs",#N/A,FALSE,"Summary";"Stmts_24 mo",#N/A,FALSE,"Summary";"Summary_24",#N/A,FALSE,"Revenue";"Month_24",#N/A,FALSE,"Engineering";"Month_24",#N/A,FALSE,"Marketing";"Month_24",#N/A,FALSE,"G &amp; A";"Month_24",#N/A,FALSE,"Manufacturing"}</definedName>
    <definedName function="false" hidden="true" name="jnv" vbProcedure="false">{#N/A,#N/A,FALSE,"Hoja1";#N/A,#N/A,FALSE,"Hoja2"}</definedName>
    <definedName function="false" hidden="true" name="job" vbProcedure="false">{#N/A,#N/A,FALSE,"TB";#N/A,#N/A,FALSE,"DR";#N/A,#N/A,FALSE,"AR";#N/A,#N/A,FALSE,"PL";#N/A,#N/A,FALSE,"BS";#N/A,#N/A,FALSE,"NOTES";#N/A,#N/A,FALSE,"NOTES (2)";#N/A,#N/A,FALSE,"NOTES (3)";#N/A,#N/A,FALSE,"DPL";#N/A,#N/A,FALSE,"TAXC.INDEX";#N/A,#N/A,FALSE,"Schedule I";#N/A,#N/A,FALSE,"Adjustments"}</definedName>
    <definedName function="false" hidden="true" name="jodfjeog" vbProcedure="false">{#N/A,#N/A,FALSE,"TB";#N/A,#N/A,FALSE,"DR";#N/A,#N/A,FALSE,"AR";#N/A,#N/A,FALSE,"BS";#N/A,#N/A,FALSE,"PL";#N/A,#N/A,FALSE,"NOTES";#N/A,#N/A,FALSE,"NOTES (2)";#N/A,#N/A,FALSE,"NOTES (3)";#N/A,#N/A,FALSE,"DPL";#N/A,#N/A,FALSE,"DPL"}</definedName>
    <definedName function="false" hidden="true" name="jodl" vbProcedure="false">{#N/A,#N/A,FALSE,"TAXC.INDEX";#N/A,#N/A,FALSE,"Schedule I";#N/A,#N/A,FALSE,"Schedule  II";#N/A,#N/A,FALSE,"Schedule III"}</definedName>
    <definedName function="false" hidden="true" name="joejas" vbProcedure="false">{#N/A,#N/A,FALSE,"DIR-REP";#N/A,#N/A,FALSE,"AUD-REPORT";#N/A,#N/A,FALSE,"P7L&amp;BS";#N/A,#N/A,FALSE,"NOTES";#N/A,#N/A,FALSE,"FA";#N/A,#N/A,FALSE,"NOTES (2)";#N/A,#N/A,FALSE,"Schedule  IV";#N/A,#N/A,FALSE,"Schedule V"}</definedName>
    <definedName function="false" hidden="true" name="jojo" vbProcedure="false">{#N/A,#N/A,FALSE,"EV.D.P.BC";#N/A,#N/A,FALSE,"EV.D.P.HC";#N/A,#N/A,FALSE,"EV.D.P.LC";#N/A,#N/A,FALSE,"AN.CIV.BC";#N/A,#N/A,FALSE,"AN.CIV.HC";#N/A,#N/A,FALSE,"AN.CIV.LC";#N/A,#N/A,FALSE,"Res.1";#N/A,#N/A,FALSE,"AN.GAZ.BC";#N/A,#N/A,FALSE,"AN.GAZ.HC";#N/A,#N/A,FALSE,"AN.GAZ.LC";#N/A,#N/A,FALSE,"AN.GAZ.BC M3";#N/A,#N/A,FALSE,"AN.GAZ.HC M3";#N/A,#N/A,FALSE,"AN.GAZ.LC M3";#N/A,#N/A,FALSE,"Res.2"}</definedName>
    <definedName function="false" hidden="true" name="jokking" vbProcedure="false">{#N/A,#N/A,FALSE,"CONTENTS";#N/A,#N/A,FALSE,"DR";#N/A,#N/A,FALSE,"PL";#N/A,#N/A,FALSE,"BS";#N/A,#N/A,FALSE,"Cash Flow";#N/A,#N/A,FALSE,"NOTES";#N/A,#N/A,FALSE,"NOTES (FA)";#N/A,#N/A,FALSE,"Notes(3)";#N/A,#N/A,FALSE,"NOTES (4)";#N/A,#N/A,FALSE,"DP&amp;L";#N/A,#N/A,FALSE,"EXPENSES";#N/A,#N/A,FALSE,"EXPENSES-1"}</definedName>
    <definedName function="false" hidden="true" name="jolt" vbProcedure="false">{#N/A,#N/A,FALSE,"DIR-REP";#N/A,#N/A,FALSE,"AUD-REPORT";#N/A,#N/A,FALSE,"P7L&amp;BS";#N/A,#N/A,FALSE,"NOTES";#N/A,#N/A,FALSE,"FA";#N/A,#N/A,FALSE,"NOTES (2)";#N/A,#N/A,FALSE,"Schedule  IV";#N/A,#N/A,FALSE,"Schedule V"}</definedName>
    <definedName function="false" hidden="true" name="jomn" vbProcedure="false">{"pro_view",#N/A,FALSE,"EEFSNAP2";"rep_view",#N/A,FALSE,"EEFSNAP2"}</definedName>
    <definedName function="false" hidden="true" name="jos" vbProcedure="false">{#N/A,#N/A,FALSE,"TB";#N/A,#N/A,FALSE,"DR";#N/A,#N/A,FALSE,"AR";#N/A,#N/A,FALSE,"BS";#N/A,#N/A,FALSE,"PL";#N/A,#N/A,FALSE,"NOTES";#N/A,#N/A,FALSE,"NOTES (2)";#N/A,#N/A,FALSE,"NOTES (3)";#N/A,#N/A,FALSE,"DPL";#N/A,#N/A,FALSE,"DPL"}</definedName>
    <definedName function="false" hidden="true" name="jseoag" vbProcedure="false">{#N/A,#N/A,FALSE,"TB";#N/A,#N/A,FALSE,"AR";#N/A,#N/A,FALSE,"BS";#N/A,#N/A,FALSE,"PL";#N/A,#N/A,FALSE,"NOTES";#N/A,#N/A,FALSE,"NOTES (2)";#N/A,#N/A,FALSE,"NOTES (3)";#N/A,#N/A,FALSE,"TAXC.INDEX";#N/A,#N/A,FALSE,"Schedule I";#N/A,#N/A,FALSE,"DPL";#N/A,#N/A,FALSE,"Schedule IV";#N/A,#N/A,FALSE,"Adjustments"}</definedName>
    <definedName function="false" hidden="true" name="jsoe" vbProcedure="false">{#N/A,#N/A,FALSE,"TAXC.INDEX";#N/A,#N/A,FALSE,"Schedule I";#N/A,#N/A,FALSE,"Schedule  II";#N/A,#N/A,FALSE,"Schedule III";#N/A,#N/A,FALSE,"Schedule IV";#N/A,#N/A,FALSE,"Schedule IV (Cont'd)";#N/A,#N/A,FALSE,"Schedule V";#N/A,#N/A,FALSE,"Schedule VI";#N/A,#N/A,FALSE,"Schedule VII"}</definedName>
    <definedName function="false" hidden="true" name="jt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jtrhtrh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trhyt" vbProcedure="false">{"US Dollars",#N/A,TRUE,"PPD";"US Dollar",#N/A,TRUE,"Anaquest";"US Dollar",#N/A,TRUE,"Delta";"US Dollar",#N/A,TRUE,"INO"}</definedName>
    <definedName function="false" hidden="true" name="jtrjtrh" vbProcedure="false">{"Pound Sterling",#N/A,TRUE,"PPD";"Pound Sterling",#N/A,TRUE,"Anaquest";"Pound Sterling",#N/A,TRUE,"Delta";"Pound Sterling",#N/A,TRUE,"INO"}</definedName>
    <definedName function="false" hidden="true" name="jtrjtw"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jtryw" vbProcedure="false">{"Pound Sterling",#N/A,TRUE,"PPD";"Pound Sterling",#N/A,TRUE,"Anaquest";"Pound Sterling",#N/A,TRUE,"Delta";"Pound Sterling",#N/A,TRUE,"INO"}</definedName>
    <definedName function="false" hidden="true" name="jtu" vbProcedure="false">{"Pound Sterling",#N/A,TRUE,"PPD";"Pound Sterling",#N/A,TRUE,"Anaquest";"Pound Sterling",#N/A,TRUE,"Delta";"Pound Sterling",#N/A,TRUE,"INO"}</definedName>
    <definedName function="false" hidden="true" name="jtwhrtywe" vbProcedure="false">{"Pound Sterling",#N/A,TRUE,"PPD";"Pound Sterling",#N/A,TRUE,"Anaquest";"Pound Sterling",#N/A,TRUE,"Delta";"Pound Sterling",#N/A,TRUE,"INO"}</definedName>
    <definedName function="false" hidden="true" name="jtyj" vbProcedure="false">{"Units A",#N/A,FALSE,"FY95SLS";"Units B",#N/A,FALSE,"FY95SLS"}</definedName>
    <definedName function="false" hidden="true" name="jtyjtjutr" vbProcedure="false">{"Units A",#N/A,FALSE,"FY95SLS";"Units B",#N/A,FALSE,"FY95SLS"}</definedName>
    <definedName function="false" hidden="true" name="jtyjue"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tyjwryj" vbProcedure="false">{"Sum WW A",#N/A,FALSE,"FY95SLS";"Sum WW B",#N/A,FALSE,"FY95SLS";"Sum US A",#N/A,FALSE,"FY95SLS";"Sum US B",#N/A,FALSE,"FY95SLS";"Sum US Bocg",#N/A,FALSE,"FY95SLS";"Sum Can A",#N/A,FALSE,"FY95SLS";"Sum Can B",#N/A,FALSE,"FY95SLS";"Sum Europe",#N/A,FALSE,"FY95SLS";"Sum Row",#N/A,FALSE,"FY95SLS"}</definedName>
    <definedName function="false" hidden="true" name="ju" vbProcedure="false">{"detail",#N/A,FALSE,"mfg";"summary",#N/A,FALSE,"mfg"}</definedName>
    <definedName function="false" hidden="true" name="Juan" vbProcedure="false">{"Sum WW A",#N/A,FALSE,"FY95SLS";"Sum WW B",#N/A,FALSE,"FY95SLS";"Sum US A",#N/A,FALSE,"FY95SLS";"Sum US B",#N/A,FALSE,"FY95SLS";"Sum US Bocg",#N/A,FALSE,"FY95SLS";"Sum Can A",#N/A,FALSE,"FY95SLS";"Sum Can B",#N/A,FALSE,"FY95SLS";"Sum Europe",#N/A,FALSE,"FY95SLS";"Sum Row",#N/A,FALSE,"FY95SLS"}</definedName>
    <definedName function="false" hidden="true" name="judy" vbProcedure="false">{#N/A,#N/A,FALSE,"Pharm";#N/A,#N/A,FALSE,"WWCM"}</definedName>
    <definedName function="false" hidden="true" name="judy1" vbProcedure="false">{#N/A,#N/A,FALSE,"Pharm";#N/A,#N/A,FALSE,"WWCM"}</definedName>
    <definedName function="false" hidden="true" name="jufn" vbProcedure="false">{"stepel",#N/A,FALSE,"AHFSTEP"}</definedName>
    <definedName function="false" hidden="true" name="jui" vbProcedure="false">{"YD OTHER",#N/A,FALSE,"YTD"}</definedName>
    <definedName function="false" hidden="true" name="juio" vbProcedure="false">{"Page 1",#N/A,FALSE,"OpExJanVsPY";"Page 2",#N/A,FALSE,"OpExJanVsPY"}</definedName>
    <definedName function="false" hidden="true" name="July" vbProcedure="false">#N/A</definedName>
    <definedName function="false" hidden="true" name="junk" vbProcedure="false">{#N/A,#N/A,FALSE,"CHANGES";#N/A,#N/A,FALSE,"PROD SUMMARY";#N/A,#N/A,FALSE,"1995 PO SUM";#N/A,#N/A,FALSE,"1995 GEOG SUM";#N/A,#N/A,FALSE,"1996 PO SUM";#N/A,#N/A,FALSE,"1996 GEOG SUM"}</definedName>
    <definedName function="false" hidden="true" name="jwebnrf" vbProcedure="false">{"werbung",#N/A,FALSE,"GuV9900-0399";"betrieb",#N/A,FALSE,"GuV9900-0399";"personal",#N/A,FALSE,"GuV9900-0399";"tvg",#N/A,FALSE,"GuV9900-0399";"verwaltung",#N/A,FALSE,"GuV9900-0399"}</definedName>
    <definedName function="false" hidden="true" name="jwrtjr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jwtywy" vbProcedure="false">{"Pound Sterling",#N/A,TRUE,"PPD";"Pound Sterling",#N/A,TRUE,"Anaquest";"Pound Sterling",#N/A,TRUE,"Delta";"Pound Sterling",#N/A,TRUE,"INO"}</definedName>
    <definedName function="false" hidden="true" name="jwyjwj" vbProcedure="false">{"Sum WW A",#N/A,FALSE,"FY95SLS";"Sum WW B",#N/A,FALSE,"FY95SLS";"Sum US A",#N/A,FALSE,"FY95SLS";"Sum US B",#N/A,FALSE,"FY95SLS";"Sum US Bocg",#N/A,FALSE,"FY95SLS";"Sum Can A",#N/A,FALSE,"FY95SLS";"Sum Can B",#N/A,FALSE,"FY95SLS";"Sum Europe",#N/A,FALSE,"FY95SLS";"Sum Row",#N/A,FALSE,"FY95SLS"}</definedName>
    <definedName function="false" hidden="true" name="jxol" vbProcedure="false">{#N/A,#N/A,FALSE,"TB";#N/A,#N/A,FALSE,"DR";#N/A,#N/A,FALSE,"AR";#N/A,#N/A,FALSE,"PL";#N/A,#N/A,FALSE,"BS";#N/A,#N/A,FALSE,"NOTES";#N/A,#N/A,FALSE,"NOTES (2)";#N/A,#N/A,FALSE,"NOTES (3)";#N/A,#N/A,FALSE,"DPL";#N/A,#N/A,FALSE,"TAXC.INDEX";#N/A,#N/A,FALSE,"Schedule I";#N/A,#N/A,FALSE,"Adjustments"}</definedName>
    <definedName function="false" hidden="true" name="jytjktyji" vbProcedure="false">{"Pound Sterling",#N/A,TRUE,"PPD";"Pound Sterling",#N/A,TRUE,"Anaquest";"Pound Sterling",#N/A,TRUE,"Delta";"Pound Sterling",#N/A,TRUE,"INO"}</definedName>
    <definedName function="false" hidden="true" name="jytrj" vbProcedure="false">{"Pound Sterling",#N/A,TRUE,"PPD";"Pound Sterling",#N/A,TRUE,"Anaquest";"Pound Sterling",#N/A,TRUE,"Delta";"Pound Sterling",#N/A,TRUE,"INO"}</definedName>
    <definedName function="false" hidden="true" name="jywryjrt" vbProcedure="false">{"Units A",#N/A,FALSE,"FY95SLS";"Units B",#N/A,FALSE,"FY95SLS"}</definedName>
    <definedName function="false" hidden="true" name="jöuiuiuzi" vbProcedure="false">{#N/A,#N/A,FALSE,"Umsatz 99";#N/A,#N/A,FALSE,"ER 99 "}</definedName>
    <definedName function="false" hidden="true" name="k"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K2_WBEVMODE" vbProcedure="false">-1</definedName>
    <definedName function="false" hidden="true" name="K2__LOCKEDCVW__" vbProcedure="false">"MAIN,OTHERREV,ACTUAL,USD,E.2990,ALL_JOBS,ALL_ORGS,ALL_PROD,2004.JAN,PERIODIC,;"</definedName>
    <definedName function="false" hidden="true" name="K2__LOCKSTATUS__" vbProcedure="false">2</definedName>
    <definedName function="false" hidden="true" name="K2__MAXEXPCOLS__" vbProcedure="false">100</definedName>
    <definedName function="false" hidden="true" name="K2__MAXEXPROWS__" vbProcedure="false">1000</definedName>
    <definedName function="false" hidden="true" name="K2__WBEVMODE__" vbProcedure="false">0</definedName>
    <definedName function="false" hidden="true" name="K2__WBREFOPTIONS__" vbProcedure="false">134217728</definedName>
    <definedName function="false" hidden="true" name="kal" vbProcedure="false">{#N/A,#N/A,FALSE,"TB";#N/A,#N/A,FALSE,"DR";#N/A,#N/A,FALSE,"AR";#N/A,#N/A,FALSE,"BS";#N/A,#N/A,FALSE,"PL";#N/A,#N/A,FALSE,"NOTES";#N/A,#N/A,FALSE,"NOTES (2)";#N/A,#N/A,FALSE,"NOTES (3)";#N/A,#N/A,FALSE,"DPL";#N/A,#N/A,FALSE,"DPL"}</definedName>
    <definedName function="false" hidden="true" name="kay" vbProcedure="false">{#N/A,#N/A,FALSE,"DIR-REP";#N/A,#N/A,FALSE,"AUD-REPORT";#N/A,#N/A,FALSE,"P7L&amp;BS";#N/A,#N/A,FALSE,"NOTES";#N/A,#N/A,FALSE,"FA";#N/A,#N/A,FALSE,"NOTES (2)";#N/A,#N/A,FALSE,"Schedule  IV";#N/A,#N/A,FALSE,"Schedule V"}</definedName>
    <definedName function="false" hidden="true" name="kbkj" vbProcedure="false">{#N/A,#N/A,FALSE,"TAXC.INDEX";#N/A,#N/A,FALSE,"Schedule I";#N/A,#N/A,FALSE,"Schedule  II";#N/A,#N/A,FALSE,"Schedule III"}</definedName>
    <definedName function="false" hidden="true" name="kcg" vbProcedure="false">{#N/A,#N/A,FALSE,"TB";#N/A,#N/A,FALSE,"AR";#N/A,#N/A,FALSE,"BS";#N/A,#N/A,FALSE,"PL";#N/A,#N/A,FALSE,"NOTES";#N/A,#N/A,FALSE,"NOTES (2)";#N/A,#N/A,FALSE,"NOTES (3)";#N/A,#N/A,FALSE,"TAXC.INDEX";#N/A,#N/A,FALSE,"Schedule I";#N/A,#N/A,FALSE,"DPL";#N/A,#N/A,FALSE,"Schedule IV";#N/A,#N/A,FALSE,"Adjustments"}</definedName>
    <definedName function="false" hidden="true" name="kch" vbProcedure="false">{#N/A,#N/A,FALSE,"TB";#N/A,#N/A,FALSE,"DR";#N/A,#N/A,FALSE,"AR";#N/A,#N/A,FALSE,"PL";#N/A,#N/A,FALSE,"BS";#N/A,#N/A,FALSE,"NOTES";#N/A,#N/A,FALSE,"NOTES (2)";#N/A,#N/A,FALSE,"NOTES (3)";#N/A,#N/A,FALSE,"DPL";#N/A,#N/A,FALSE,"TAXC.INDEX";#N/A,#N/A,FALSE,"Schedule I";#N/A,#N/A,FALSE,"Adjustments"}</definedName>
    <definedName function="false" hidden="true" name="ke" vbProcedure="false">{#N/A,#N/A,FALSE,"DIR-REP";#N/A,#N/A,FALSE,"AUD-REPORT";#N/A,#N/A,FALSE,"P7L&amp;BS";#N/A,#N/A,FALSE,"NOTES";#N/A,#N/A,FALSE,"FA";#N/A,#N/A,FALSE,"NOTES (2)";#N/A,#N/A,FALSE,"Schedule  IV";#N/A,#N/A,FALSE,"Schedule V"}</definedName>
    <definedName function="false" hidden="true" name="KEOLIS" vbProcedure="false">{#N/A,#N/A,FALSE,"Aging Summary";#N/A,#N/A,FALSE,"Ratio Analysis";#N/A,#N/A,FALSE,"Test 120 Day Accts";#N/A,#N/A,FALSE,"Tickmarks"}</definedName>
    <definedName function="false" hidden="true" name="keolis2" vbProcedure="false">{#N/A,#N/A,FALSE,"Aging Summary";#N/A,#N/A,FALSE,"Ratio Analysis";#N/A,#N/A,FALSE,"Test 120 Day Accts";#N/A,#N/A,FALSE,"Tickmarks"}</definedName>
    <definedName function="false" hidden="true" name="key" vbProcedure="false">{#N/A,#N/A,FALSE,"CONTENTS";#N/A,#N/A,FALSE,"DR";#N/A,#N/A,FALSE,"PL";#N/A,#N/A,FALSE,"BS";#N/A,#N/A,FALSE,"Cash Flow";#N/A,#N/A,FALSE,"NOTES";#N/A,#N/A,FALSE,"NOTES (FA)";#N/A,#N/A,FALSE,"Notes(3)";#N/A,#N/A,FALSE,"NOTES (4)";#N/A,#N/A,FALSE,"DP&amp;L";#N/A,#N/A,FALSE,"EXPENSES";#N/A,#N/A,FALSE,"EXPENSES-1"}</definedName>
    <definedName function="false" hidden="true" name="kfgkgkgh" vbProcedure="false">{#N/A,#N/A,FALSE,"3";#N/A,#N/A,FALSE,"5";#N/A,#N/A,FALSE,"6";#N/A,#N/A,FALSE,"8";#N/A,#N/A,FALSE,"10";#N/A,#N/A,FALSE,"13";#N/A,#N/A,FALSE,"14";#N/A,#N/A,FALSE,"15";#N/A,#N/A,FALSE,"16"}</definedName>
    <definedName function="false" hidden="true" name="kgghkgh" vbProcedure="false">{#N/A,#N/A,FALSE,"3";#N/A,#N/A,FALSE,"5";#N/A,#N/A,FALSE,"6";#N/A,#N/A,FALSE,"8";#N/A,#N/A,FALSE,"10";#N/A,#N/A,FALSE,"13";#N/A,#N/A,FALSE,"14";#N/A,#N/A,FALSE,"15";#N/A,#N/A,FALSE,"16"}</definedName>
    <definedName function="false" hidden="true" name="kgghkgk" vbProcedure="false">{#N/A,#N/A,FALSE,"3";#N/A,#N/A,FALSE,"5";#N/A,#N/A,FALSE,"6";#N/A,#N/A,FALSE,"8";#N/A,#N/A,FALSE,"10";#N/A,#N/A,FALSE,"13";#N/A,#N/A,FALSE,"14";#N/A,#N/A,FALSE,"15";#N/A,#N/A,FALSE,"16"}</definedName>
    <definedName function="false" hidden="true" name="kghgk" vbProcedure="false">{#N/A,#N/A,FALSE,"3";#N/A,#N/A,FALSE,"5";#N/A,#N/A,FALSE,"6";#N/A,#N/A,FALSE,"8";#N/A,#N/A,FALSE,"10";#N/A,#N/A,FALSE,"13";#N/A,#N/A,FALSE,"14";#N/A,#N/A,FALSE,"15";#N/A,#N/A,FALSE,"16"}</definedName>
    <definedName function="false" hidden="true" name="kghkghkghkf" vbProcedure="false">{#N/A,#N/A,FALSE,"3";#N/A,#N/A,FALSE,"5";#N/A,#N/A,FALSE,"6";#N/A,#N/A,FALSE,"8";#N/A,#N/A,FALSE,"10";#N/A,#N/A,FALSE,"13";#N/A,#N/A,FALSE,"14";#N/A,#N/A,FALSE,"15";#N/A,#N/A,FALSE,"16"}</definedName>
    <definedName function="false" hidden="true" name="kghkghkgk" vbProcedure="false">{#N/A,#N/A,FALSE,"3";#N/A,#N/A,FALSE,"5";#N/A,#N/A,FALSE,"6";#N/A,#N/A,FALSE,"8";#N/A,#N/A,FALSE,"10";#N/A,#N/A,FALSE,"13";#N/A,#N/A,FALSE,"14";#N/A,#N/A,FALSE,"15";#N/A,#N/A,FALSE,"16"}</definedName>
    <definedName function="false" hidden="true" name="kghkhgk" vbProcedure="false">{#N/A,#N/A,FALSE,"3";#N/A,#N/A,FALSE,"5";#N/A,#N/A,FALSE,"6";#N/A,#N/A,FALSE,"8";#N/A,#N/A,FALSE,"10";#N/A,#N/A,FALSE,"13";#N/A,#N/A,FALSE,"14";#N/A,#N/A,FALSE,"15";#N/A,#N/A,FALSE,"16"}</definedName>
    <definedName function="false" hidden="true" name="kgkgk" vbProcedure="false">{#N/A,#N/A,TRUE,"Cover sheet";#N/A,#N/A,TRUE,"DCF analysis";#N/A,#N/A,TRUE,"WACC calculation"}</definedName>
    <definedName function="false" hidden="true" name="kh"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khbkl" vbProcedure="false">{#N/A,#N/A,FALSE,"CONTENTS";#N/A,#N/A,FALSE,"DR";#N/A,#N/A,FALSE,"PL";#N/A,#N/A,FALSE,"BS";#N/A,#N/A,FALSE,"Cash Flow";#N/A,#N/A,FALSE,"NOTES";#N/A,#N/A,FALSE,"NOTES (FA)";#N/A,#N/A,FALSE,"Notes(3)";#N/A,#N/A,FALSE,"NOTES (4)";#N/A,#N/A,FALSE,"DP&amp;L";#N/A,#N/A,FALSE,"EXPENSES";#N/A,#N/A,FALSE,"EXPENSES-1"}</definedName>
    <definedName function="false" hidden="true" name="khggkghk" vbProcedure="false">{#N/A,#N/A,FALSE,"3";#N/A,#N/A,FALSE,"5";#N/A,#N/A,FALSE,"6";#N/A,#N/A,FALSE,"8";#N/A,#N/A,FALSE,"10";#N/A,#N/A,FALSE,"13";#N/A,#N/A,FALSE,"14";#N/A,#N/A,FALSE,"15";#N/A,#N/A,FALSE,"16"}</definedName>
    <definedName function="false" hidden="true" name="khk" vbProcedure="false">{#N/A,#N/A,FALSE,"3";#N/A,#N/A,FALSE,"5";#N/A,#N/A,FALSE,"6";#N/A,#N/A,FALSE,"8";#N/A,#N/A,FALSE,"10";#N/A,#N/A,FALSE,"13";#N/A,#N/A,FALSE,"14";#N/A,#N/A,FALSE,"15";#N/A,#N/A,FALSE,"16"}</definedName>
    <definedName function="false" hidden="true" name="khkh" vbProcedure="false">{#N/A,#N/A,FALSE,"3";#N/A,#N/A,FALSE,"5";#N/A,#N/A,FALSE,"6";#N/A,#N/A,FALSE,"8";#N/A,#N/A,FALSE,"10";#N/A,#N/A,FALSE,"13";#N/A,#N/A,FALSE,"14";#N/A,#N/A,FALSE,"15";#N/A,#N/A,FALSE,"16"}</definedName>
    <definedName function="false" hidden="true" name="khkhk" vbProcedure="false">{#N/A,#N/A,FALSE,"3";#N/A,#N/A,FALSE,"5";#N/A,#N/A,FALSE,"6";#N/A,#N/A,FALSE,"8";#N/A,#N/A,FALSE,"10";#N/A,#N/A,FALSE,"13";#N/A,#N/A,FALSE,"14";#N/A,#N/A,FALSE,"15";#N/A,#N/A,FALSE,"16"}</definedName>
    <definedName function="false" hidden="true" name="KIBSCASHFLOW" vbProcedure="false">TRUE()</definedName>
    <definedName function="false" hidden="true" name="KIBS_DIMREP" vbProcedure="false">" "</definedName>
    <definedName function="false" hidden="true" name="kijblb" vbProcedure="false">{#N/A,#N/A,FALSE,"TAXC.INDEX";#N/A,#N/A,FALSE,"Schedule I";#N/A,#N/A,FALSE,"Schedule  II";#N/A,#N/A,FALSE,"Schedule III";#N/A,#N/A,FALSE,"Schedule IV";#N/A,#N/A,FALSE,"Schedule IV (Cont'd)";#N/A,#N/A,FALSE,"Schedule V";#N/A,#N/A,FALSE,"Schedule VI";#N/A,#N/A,FALSE,"Schedule VII"}</definedName>
    <definedName function="false" hidden="true" name="kinjs" vbProcedure="false">{"detail",#N/A,FALSE,"mfg";"summary",#N/A,FALSE,"mfg"}</definedName>
    <definedName function="false" hidden="true" name="kip" vbProcedure="false">{"detail",#N/A,FALSE,"mfg";"summary",#N/A,FALSE,"mfg"}</definedName>
    <definedName function="false" hidden="true" name="KIT" vbProcedure="false">{"equity comps",#N/A,FALSE,"CS Comps";"equity comps",#N/A,FALSE,"PS Comps";"equity comps",#N/A,FALSE,"GIC_Comps";"equity comps",#N/A,FALSE,"GIC2_Comps"}</definedName>
    <definedName function="false" hidden="true" name="kj" vbProcedure="false">{#N/A,#N/A,FALSE,"TAXC.INDEX";#N/A,#N/A,FALSE,"Schedule I";#N/A,#N/A,FALSE,"Schedule  II";#N/A,#N/A,FALSE,"Schedule III"}</definedName>
    <definedName function="false" hidden="true" name="kjg" vbProcedure="false">{"Cover",#N/A,FALSE,"Cover";"Comments",#N/A,FALSE,"Quarterly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function="false" hidden="true" name="kjhg" vbProcedure="false">{"ICD Details",#N/A,FALSE,"Current Yr";"ICD Details",#N/A,FALSE,"Budget";"ICD Details",#N/A,FALSE,"Prior Year"}</definedName>
    <definedName function="false" hidden="true" name="kjip" vbProcedure="false">{"detail",#N/A,FALSE,"mfg";"summary",#N/A,FALSE,"mfg"}</definedName>
    <definedName function="false" hidden="true" name="kjk" vbProcedure="false">{"Units A",#N/A,FALSE,"FY95SLS";"Units B",#N/A,FALSE,"FY95SLS"}</definedName>
    <definedName function="false" hidden="true" name="kjk.l" vbProcedure="false">{#N/A,#N/A,FALSE,"Produkte Erw.";#N/A,#N/A,FALSE,"Produkte Plan";#N/A,#N/A,FALSE,"Leistungen Erw.";#N/A,#N/A,FALSE,"Leistungen Plan";#N/A,#N/A,FALSE,"KA Allg.Kosten (2)";#N/A,#N/A,FALSE,"KA All.Kosten"}</definedName>
    <definedName function="false" hidden="true" name="kjkljl" vbProcedure="false">{"Pound Sterling",#N/A,TRUE,"PPD";"Pound Sterling",#N/A,TRUE,"Anaquest";"Pound Sterling",#N/A,TRUE,"Delta";"Pound Sterling",#N/A,TRUE,"INO"}</definedName>
    <definedName function="false" hidden="true" name="kjljkölhklh" vbProcedure="false">{#N/A,#N/A,FALSE,"Produkte Erw.";#N/A,#N/A,FALSE,"Produkte Plan";#N/A,#N/A,FALSE,"Leistungen Erw.";#N/A,#N/A,FALSE,"Leistungen Plan";#N/A,#N/A,FALSE,"KA Allg.Kosten (2)";#N/A,#N/A,FALSE,"KA All.Kosten"}</definedName>
    <definedName function="false" hidden="true" name="kjs"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KK" vbProcedure="false">{#N/A,"PURCHM",FALSE,"Business Analysis";#N/A,"SPADD",FALSE,"Business Analysis"}</definedName>
    <definedName function="false" hidden="true" name="kk.l" vbProcedure="false">{#N/A,#N/A,FALSE,"Produkte Erw.";#N/A,#N/A,FALSE,"Produkte Plan";#N/A,#N/A,FALSE,"Leistungen Erw.";#N/A,#N/A,FALSE,"Leistungen Plan";#N/A,#N/A,FALSE,"KA Allg.Kosten (2)";#N/A,#N/A,FALSE,"KA All.Kosten"}</definedName>
    <definedName function="false" hidden="true" name="kkk" vbProcedure="false">{#N/A,#N/A,FALSE,"Pharm";#N/A,#N/A,FALSE,"WWCM"}</definedName>
    <definedName function="false" hidden="true" name="kkk.llll" vbProcedure="false">{#N/A,#N/A,FALSE,"Umsatz CH";#N/A,#N/A,FALSE,"ER CH";#N/A,#N/A,FALSE,"EA CH (2) ";#N/A,#N/A,FALSE,"EA CH";#N/A,#N/A,FALSE,"EA CH (3) ";#N/A,#N/A,FALSE,"EA CH (4)";#N/A,#N/A,FALSE,"KA CH";#N/A,#N/A,FALSE,"KA CH  (2)";#N/A,#N/A,FALSE,"KA CH  (3)";#N/A,#N/A,FALSE,"KA CH (4)"}</definedName>
    <definedName function="false" hidden="true" name="kkkk.llll" vbProcedure="false">{#N/A,#N/A,FALSE,"Umsatz 99";#N/A,#N/A,FALSE,"ER 99 "}</definedName>
    <definedName function="false" hidden="true" name="kkkkk" vbProcedure="false">{"Sum WW A",#N/A,FALSE,"FY95SLS";"Sum WW B",#N/A,FALSE,"FY95SLS";"Sum US A",#N/A,FALSE,"FY95SLS";"Sum US B",#N/A,FALSE,"FY95SLS";"Sum US Bocg",#N/A,FALSE,"FY95SLS";"Sum Can A",#N/A,FALSE,"FY95SLS";"Sum Can B",#N/A,FALSE,"FY95SLS";"Sum Europe",#N/A,FALSE,"FY95SLS";"Sum Row",#N/A,FALSE,"FY95SLS"}</definedName>
    <definedName function="false" hidden="true" name="KKR" vbProcedure="false">{#N/A,#N/A,FALSE,"DCF";#N/A,#N/A,FALSE,"WACC";#N/A,#N/A,FALSE,"Sales_EBIT";#N/A,#N/A,FALSE,"Capex_Depreciation";#N/A,#N/A,FALSE,"WC";#N/A,#N/A,FALSE,"Interest";#N/A,#N/A,FALSE,"Assumptions"}</definedName>
    <definedName function="false" hidden="true" name="kljk" vbProcedure="false">{#N/A,#N/A,FALSE,"Umsatz CH";#N/A,#N/A,FALSE,"ER CH";#N/A,#N/A,FALSE,"EA CH (2) ";#N/A,#N/A,FALSE,"EA CH";#N/A,#N/A,FALSE,"EA CH (3) ";#N/A,#N/A,FALSE,"EA CH (4)";#N/A,#N/A,FALSE,"KA CH";#N/A,#N/A,FALSE,"KA CH  (2)";#N/A,#N/A,FALSE,"KA CH  (3)";#N/A,#N/A,FALSE,"KA CH (4)"}</definedName>
    <definedName function="false" hidden="true" name="kljklkj" vbProcedure="false">{#N/A,#N/A,FALSE,"KA CH  (2)"}</definedName>
    <definedName function="false" hidden="true" name="klk" vbProcedure="false">{#N/A,#N/A,FALSE,"Umsatz CH";#N/A,#N/A,FALSE,"ER CH";#N/A,#N/A,FALSE,"EA CH (2) ";#N/A,#N/A,FALSE,"EA CH";#N/A,#N/A,FALSE,"EA CH (3) ";#N/A,#N/A,FALSE,"EA CH (4)";#N/A,#N/A,FALSE,"KA CH";#N/A,#N/A,FALSE,"KA CH  (2)";#N/A,#N/A,FALSE,"KA CH  (3)";#N/A,#N/A,FALSE,"KA CH (4)"}</definedName>
    <definedName function="false" hidden="true" name="klkj"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klklkl" vbProcedure="false">{#N/A,#N/A,FALSE,"Umsatz 99";#N/A,#N/A,FALSE,"ER 99 "}</definedName>
    <definedName function="false" hidden="true" name="klklklkl" vbProcedure="false">{#N/A,#N/A,FALSE,"Index";"Stmts_Qtrs",#N/A,FALSE,"Summary";"Stmts_24 mo",#N/A,FALSE,"Summary";"Summary_24",#N/A,FALSE,"Revenue";"Month_24",#N/A,FALSE,"Engineering";"Month_24",#N/A,FALSE,"Marketing";"Month_24",#N/A,FALSE,"G &amp; A";"Month_24",#N/A,FALSE,"Manufacturing"}</definedName>
    <definedName function="false" hidden="true" name="klklklklklkl"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klulo" vbProcedure="false">{"Units A",#N/A,FALSE,"FY95SLS";"Units B",#N/A,FALSE,"FY95SLS"}</definedName>
    <definedName function="false" hidden="true" name="klñ" vbProcedure="false">{"AS REP",#N/A,FALSE,"EEFSNAP2";"PROP",#N/A,FALSE,"EEFSNAP2";"RISKS",#N/A,FALSE,"EEFSNAP2";"VIEW ALL",#N/A,FALSE,"EEFSNAP2"}</definedName>
    <definedName function="false" hidden="true" name="km" vbProcedure="false">{"pro_view",#N/A,FALSE,"EEFSNAP2";"rep_view",#N/A,FALSE,"EEFSNAP2"}</definedName>
    <definedName function="false" hidden="true" name="kma" vbProcedure="false">{#N/A,#N/A,TRUE,"Cover sheet";#N/A,#N/A,TRUE,"DCF analysis";#N/A,#N/A,TRUE,"WACC calculation"}</definedName>
    <definedName function="false" hidden="true" name="kmh" vbProcedure="false">{#N/A,#N/A,TRUE,"Cover sheet";#N/A,#N/A,TRUE,"DCF analysis";#N/A,#N/A,TRUE,"WACC calculation"}</definedName>
    <definedName function="false" hidden="true" name="KMPF" vbProcedure="false">{#N/A,#N/A,FALSE,"Presentation by Unit";#N/A,#N/A,FALSE,"Presentation by BD";#N/A,#N/A,FALSE,"Presentation Split by Biggest U";#N/A,#N/A,FALSE,"Presentation Split by Area";#N/A,#N/A,FALSE,"Presentation Split by BD"}</definedName>
    <definedName function="false" hidden="true" name="kn" vbProcedure="false">{#N/A,#N/A,FALSE,"TB";#N/A,#N/A,FALSE,"DR";#N/A,#N/A,FALSE,"AR";#N/A,#N/A,FALSE,"PL";#N/A,#N/A,FALSE,"BS";#N/A,#N/A,FALSE,"NOTES";#N/A,#N/A,FALSE,"NOTES (2)";#N/A,#N/A,FALSE,"NOTES (3)";#N/A,#N/A,FALSE,"DPL";#N/A,#N/A,FALSE,"TAXC.INDEX";#N/A,#N/A,FALSE,"Schedule I";#N/A,#N/A,FALSE,"Adjustments"}</definedName>
    <definedName function="false" hidden="true" name="ko" vbProcedure="false">{#N/A,#N/A,TRUE,"COVER";#N/A,#N/A,TRUE,"DIR";#N/A,#N/A,TRUE,"AUDIT"}</definedName>
    <definedName function="false" hidden="true" name="kol" vbProcedure="false">{"away stand alones",#N/A,FALSE,"Target"}</definedName>
    <definedName function="false" hidden="true" name="KONCERN" vbProcedure="false">FALSE()</definedName>
    <definedName function="false" hidden="true" name="kou" vbProcedure="false">{"detail",#N/A,FALSE,"mfg";"summary",#N/A,FALSE,"mfg"}</definedName>
    <definedName function="false" hidden="true" name="krii" vbProcedure="false">{"US Dollars",#N/A,TRUE,"PPD";"US Dollar",#N/A,TRUE,"Anaquest";"US Dollar",#N/A,TRUE,"Delta";"US Dollar",#N/A,TRUE,"INO"}</definedName>
    <definedName function="false" hidden="true" name="kslkjkjlkjd" vbProcedure="false">{#N/A,#N/A,FALSE,"REPORT"}</definedName>
    <definedName function="false" hidden="true" name="ksp" vbProcedure="false">{#N/A,#N/A,FALSE,"TAXC.INDEX";#N/A,#N/A,FALSE,"Schedule I";#N/A,#N/A,FALSE,"Schedule  II";#N/A,#N/A,FALSE,"Schedule III"}</definedName>
    <definedName function="false" hidden="true" name="kuie"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kuir" vbProcedure="false">{"Units A",#N/A,FALSE,"FY95SLS";"Units B",#N/A,FALSE,"FY95SLS"}</definedName>
    <definedName function="false" hidden="true" name="Kumatage2" vbProcedure="false">"11000000000000000000000000000000000000000000000000000000000000000000000000000000000000000000000000000000000000000000000000000000000000000000000000000000000000000000000000000000000000000000000000000000"</definedName>
    <definedName function="false" hidden="true" name="kuyrk" vbProcedure="false">{"Units A",#N/A,FALSE,"FY95SLS";"Units B",#N/A,FALSE,"FY95SLS"}</definedName>
    <definedName function="false" hidden="true" name="ky" vbProcedure="false">{#N/A,#N/A,FALSE,"TB";#N/A,#N/A,FALSE,"DR";#N/A,#N/A,FALSE,"AR";#N/A,#N/A,FALSE,"BS";#N/A,#N/A,FALSE,"PL";#N/A,#N/A,FALSE,"NOTES";#N/A,#N/A,FALSE,"NOTES (2)";#N/A,#N/A,FALSE,"NOTES (3)";#N/A,#N/A,FALSE,"DPL";#N/A,#N/A,FALSE,"DPL"}</definedName>
    <definedName function="false" hidden="true" name="kyd.CounterLimitCell.01." vbProcedure="false">"x"</definedName>
    <definedName function="false" hidden="true" name="kyd.CounterLimitCell.02." vbProcedure="false">"x"</definedName>
    <definedName function="false" hidden="true" name="kyd.Dim.01." vbProcedure="false">"Count up"</definedName>
    <definedName function="false" hidden="true" name="kyd.Dim.02." vbProcedure="false">"currency"</definedName>
    <definedName function="false" hidden="true" name="kyd.ElementList.01." vbProcedure="false">"x"</definedName>
    <definedName function="false" hidden="true" name="kyd.ElementType.01." vbProcedure="false">3</definedName>
    <definedName function="false" hidden="true" name="kyd.ElementType.02." vbProcedure="false">3</definedName>
    <definedName function="false" hidden="true" name="kyd.ItemType.01." vbProcedure="false">3</definedName>
    <definedName function="false" hidden="true" name="kyd.ItemType.02." vbProcedure="false">2</definedName>
    <definedName function="false" hidden="true" name="kyd.MacroAfterMemoRow." vbProcedure="false">""</definedName>
    <definedName function="false" hidden="true" name="kyd.MacroAfterZap." vbProcedure="false">""</definedName>
    <definedName function="false" hidden="true" name="kyd.MacroAtEnd." vbProcedure="false">""</definedName>
    <definedName function="false" hidden="true" name="kyd.MacroEachCycle." vbProcedure="false">""</definedName>
    <definedName function="false" hidden="true" name="kyd.MacroEndOfEachCycle." vbProcedure="false">""</definedName>
    <definedName function="false" hidden="true" name="kyd.MacroStartOfProc." vbProcedure="false">""</definedName>
    <definedName function="false" hidden="true" name="kyd.MemoCtrlNum." vbProcedure="false">0</definedName>
    <definedName function="false" hidden="true" name="kyd.MemoSortHide." vbProcedure="false">FALSE()</definedName>
    <definedName function="false" hidden="true" name="kyd.NumLevels.01." vbProcedure="false">0</definedName>
    <definedName function="false" hidden="true" name="kyd.NumLevels.02." vbProcedure="false">999</definedName>
    <definedName function="false" hidden="true" name="kyd.PanicStop." vbProcedure="false">TRUE()</definedName>
    <definedName function="false" hidden="true" name="kyd.ParentName.01." vbProcedure="false">""</definedName>
    <definedName function="false" hidden="true" name="kyd.ParentName.02." vbProcedure="false">"AUD"</definedName>
    <definedName function="false" hidden="true" name="kyd.PreScreenData." vbProcedure="false">FALSE()</definedName>
    <definedName function="false" hidden="true" name="kyd.PrintMemo." vbProcedure="false">FALSE()</definedName>
    <definedName function="false" hidden="true" name="kyd.PrintParent.01." vbProcedure="false">FALSE()</definedName>
    <definedName function="false" hidden="true" name="kyd.PrintParent.02." vbProcedure="false">TRUE()</definedName>
    <definedName function="false" hidden="true" name="kyd.PrintStdWhen." vbProcedure="false">1</definedName>
    <definedName function="false" hidden="true" name="kyd.PrintToWbk." vbProcedure="false">FALSE()</definedName>
    <definedName function="false" hidden="true" name="kyd.ProcessInCycle." vbProcedure="false">FALSE()</definedName>
    <definedName function="false" hidden="true" name="kyd.SaveAsFile." vbProcedure="false">FALSE()</definedName>
    <definedName function="false" hidden="true" name="kyd.SaveMemo." vbProcedure="false">FALSE()</definedName>
    <definedName function="false" hidden="true" name="kyd.SelectString.01." vbProcedure="false">""</definedName>
    <definedName function="false" hidden="true" name="kyd.SelectString.02." vbProcedure="false">"*"</definedName>
    <definedName function="false" hidden="true" name="kyd.Shortcut." vbProcedure="false">FALSE()</definedName>
    <definedName function="false" hidden="true" name="kyd.StdSortHide." vbProcedure="false">FALSE()</definedName>
    <definedName function="false" hidden="true" name="kyd.StopRow." vbProcedure="false">65536</definedName>
    <definedName function="false" hidden="true" name="kyd.WriteMemWhenOptn." vbProcedure="false">3</definedName>
    <definedName function="false" hidden="true" name="kyuiuyi" vbProcedure="false">{"Pound Sterling",#N/A,TRUE,"PPD";"Pound Sterling",#N/A,TRUE,"Anaquest";"Pound Sterling",#N/A,TRUE,"Delta";"Pound Sterling",#N/A,TRUE,"INO"}</definedName>
    <definedName function="false" hidden="true" name="köäklöl"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L" vbProcedure="false">{"PAGE 1",#N/A,FALSE,"COS Excluding Geismar";"PAGE 2",#N/A,FALSE,"COS Excluding Geismar";"PAGE 3",#N/A,FALSE,"COS Excluding Geismar"}</definedName>
    <definedName function="false" hidden="true" name="lafiessta" vbProcedure="false">#REF!</definedName>
    <definedName function="false" hidden="true" name="lala" vbProcedure="false">{#N/A,#N/A,TRUE,"Cover sheet";#N/A,#N/A,TRUE,"DCF analysis";#N/A,#N/A,TRUE,"WACC calculation"}</definedName>
    <definedName function="false" hidden="true" name="lay" vbProcedure="false">{#N/A,#N/A,FALSE,"TB";#N/A,#N/A,FALSE,"DR";#N/A,#N/A,FALSE,"AR";#N/A,#N/A,FALSE,"BS";#N/A,#N/A,FALSE,"PL";#N/A,#N/A,FALSE,"NOTES";#N/A,#N/A,FALSE,"NOTES (2)";#N/A,#N/A,FALSE,"NOTES (3)";#N/A,#N/A,FALSE,"DPL";#N/A,#N/A,FALSE,"DPL"}</definedName>
    <definedName function="false" hidden="true" name="lbo" vbProcedure="false">{"a",#N/A,FALSE,"LBO - 100%, Sell C,CT 98......";"aa",#N/A,FALSE,"LBO - 100%, Sell C,CT 98......";"aaa",#N/A,FALSE,"LBO - 100%, Sell C,CT 98......";"aaaa",#N/A,FALSE,"LBO - 100%, Sell C,CT 98......";"aaaaa",#N/A,FALSE,"LBO - 100%, Sell C,CT 98......";"aaaaaa",#N/A,FALSE,"LBO - 100%, Sell C,CT 98......"}</definedName>
    <definedName function="false" hidden="true" name="ldkeir" vbProcedure="false">{#N/A,"PURCHM",FALSE,"Business Analysis";#N/A,"SPADD",FALSE,"Business Analysis"}</definedName>
    <definedName function="false" hidden="true" name="lds" vbProcedure="false">{#N/A,#N/A,FALSE,"CHANGES";#N/A,#N/A,FALSE,"PROD SUMMARY";#N/A,#N/A,FALSE,"1995 PO SUM";#N/A,#N/A,FALSE,"1995 GEOG SUM";#N/A,#N/A,FALSE,"1996 PO SUM";#N/A,#N/A,FALSE,"1996 GEOG SUM"}</definedName>
    <definedName function="false" hidden="true" name="lee" vbProcedure="false">{#N/A,#N/A,FALSE,"Pharm";#N/A,#N/A,FALSE,"WWCM"}</definedName>
    <definedName function="false" hidden="true" name="legend"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name="LEHM" vbProcedure="false">{#N/A,#N/A,FALSE,"DCF";#N/A,#N/A,FALSE,"WACC";#N/A,#N/A,FALSE,"Sales_EBIT";#N/A,#N/A,FALSE,"Capex_Depreciation";#N/A,#N/A,FALSE,"WC";#N/A,#N/A,FALSE,"Interest";#N/A,#N/A,FALSE,"Assumptions"}</definedName>
    <definedName function="false" hidden="true" name="lgm" vbProcedure="false">{"'Sample Status'!$A$1:$J$21"}</definedName>
    <definedName function="false" hidden="true" name="lhjfkl" vbProcedure="false">{"Units A",#N/A,FALSE,"FY95SLS";"Units B",#N/A,FALSE,"FY95SLS"}</definedName>
    <definedName function="false" hidden="true" name="lhjlhjlh" vbProcedure="false">{#N/A,#N/A,FALSE,"3";#N/A,#N/A,FALSE,"5";#N/A,#N/A,FALSE,"6";#N/A,#N/A,FALSE,"8";#N/A,#N/A,FALSE,"10";#N/A,#N/A,FALSE,"13";#N/A,#N/A,FALSE,"14";#N/A,#N/A,FALSE,"15";#N/A,#N/A,FALSE,"16"}</definedName>
    <definedName function="false" hidden="true" name="lhjlkjlhklhljl" vbProcedure="false">{#N/A,#N/A,FALSE,"PMW Gruppe 99_98";#N/A,#N/A,FALSE,"PMW KG 98_99";#N/A,#N/A,FALSE,"PMW Inc. 99_98";#N/A,#N/A,FALSE,"PMW VTECH 99_98";#N/A,#N/A,FALSE,"PMW Thail. 99_98";#N/A,#N/A,FALSE,"PMW Canada 99_98";#N/A,#N/A,FALSE,"Währungsabw. 99_98"}</definedName>
    <definedName function="false" hidden="true" name="liliy" vbProcedure="false">{#N/A,#N/A,FALSE,"3";#N/A,#N/A,FALSE,"5";#N/A,#N/A,FALSE,"6";#N/A,#N/A,FALSE,"8";#N/A,#N/A,FALSE,"10";#N/A,#N/A,FALSE,"13";#N/A,#N/A,FALSE,"14";#N/A,#N/A,FALSE,"15";#N/A,#N/A,FALSE,"16"}</definedName>
    <definedName function="false" hidden="true" name="limcount" vbProcedure="false">1</definedName>
    <definedName function="false" hidden="false" name="lindex" vbProcedure="false">" "</definedName>
    <definedName function="false" hidden="true" name="LineType" vbProcedure="false">#REF!</definedName>
    <definedName function="false" hidden="true" name="Listeh_sheet0" vbProcedure="false">"'Liste'
0
"</definedName>
    <definedName function="false" hidden="true" name="Listeh_sheets" vbProcedure="false">1</definedName>
    <definedName function="false" hidden="true" name="Liste_sheet0" vbProcedure="false">"'Liste'
0
"</definedName>
    <definedName function="false" hidden="true" name="Liste_sheets" vbProcedure="false">1</definedName>
    <definedName function="false" hidden="true" name="ListOffset" vbProcedure="false">1</definedName>
    <definedName function="false" hidden="true" name="lj"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ljhlhjl" vbProcedure="false">{#N/A,#N/A,FALSE,"3";#N/A,#N/A,FALSE,"5";#N/A,#N/A,FALSE,"6";#N/A,#N/A,FALSE,"8";#N/A,#N/A,FALSE,"10";#N/A,#N/A,FALSE,"13";#N/A,#N/A,FALSE,"14";#N/A,#N/A,FALSE,"15";#N/A,#N/A,FALSE,"16"}</definedName>
    <definedName function="false" hidden="true" name="ljhlhjlhjlhjlhj" vbProcedure="false">{#N/A,#N/A,FALSE,"3";#N/A,#N/A,FALSE,"5";#N/A,#N/A,FALSE,"6";#N/A,#N/A,FALSE,"8";#N/A,#N/A,FALSE,"10";#N/A,#N/A,FALSE,"13";#N/A,#N/A,FALSE,"14";#N/A,#N/A,FALSE,"15";#N/A,#N/A,FALSE,"16"}</definedName>
    <definedName function="false" hidden="true" name="ljkl" vbProcedure="false">{#N/A,#N/A,FALSE,"Umsatz HM";#N/A,#N/A,FALSE,"ER HM";#N/A,#N/A,FALSE,"EA HM  (2)";#N/A,#N/A,FALSE,"EA HM ";#N/A,#N/A,FALSE,"EA HM  (4)";#N/A,#N/A,FALSE,"EA HM  (3)";#N/A,#N/A,FALSE,"KA HM  (2)";#N/A,#N/A,FALSE,"KA HM";#N/A,#N/A,FALSE,"KA HM  (3)";#N/A,#N/A,FALSE,"KA HM (4)"}</definedName>
    <definedName function="false" hidden="true" name="ljklk"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ljlhjlhjlj" vbProcedure="false">{#N/A,#N/A,FALSE,"3";#N/A,#N/A,FALSE,"5";#N/A,#N/A,FALSE,"6";#N/A,#N/A,FALSE,"8";#N/A,#N/A,FALSE,"10";#N/A,#N/A,FALSE,"13";#N/A,#N/A,FALSE,"14";#N/A,#N/A,FALSE,"15";#N/A,#N/A,FALSE,"16"}</definedName>
    <definedName function="false" hidden="true" name="ljljl" vbProcedure="false">{#N/A,#N/A,FALSE,"3";#N/A,#N/A,FALSE,"5";#N/A,#N/A,FALSE,"6";#N/A,#N/A,FALSE,"8";#N/A,#N/A,FALSE,"10";#N/A,#N/A,FALSE,"13";#N/A,#N/A,FALSE,"14";#N/A,#N/A,FALSE,"15";#N/A,#N/A,FALSE,"16"}</definedName>
    <definedName function="false" hidden="true" name="lk" vbProcedure="false">{"'comite'!$A$9:$G$44","'comite'!$A$1:$G$6"}</definedName>
    <definedName function="false" hidden="true" name="lkj" vbProcedure="false">{"detail",#N/A,FALSE,"mfg";"summary",#N/A,FALSE,"mfg"}</definedName>
    <definedName function="false" hidden="true" name="lkjlkj" vbProcedure="false">{"Final",#N/A,FALSE,"Feb-96"}</definedName>
    <definedName function="false" hidden="true" name="lkjlklkjlkjlkj" vbProcedure="false">{"page1",#N/A,TRUE,"CSC";"page2",#N/A,TRUE,"CSC"}</definedName>
    <definedName function="false" hidden="true" name="LKK" vbProcedure="false">{#N/A,#N/A,FALSE,"ARCSTEP"}</definedName>
    <definedName function="false" hidden="true" name="lkl" vbProcedure="false">{#N/A,#N/A,FALSE,"Umsatz EO BP";#N/A,#N/A,FALSE,"Umsatz EO OP";#N/A,#N/A,FALSE,"ER EO BP";#N/A,#N/A,FALSE,"ER EO OP";#N/A,#N/A,FALSE,"EA EO (2)";#N/A,#N/A,FALSE,"EA EO";#N/A,#N/A,FALSE,"EA EO (3)";#N/A,#N/A,FALSE,"EA EO (4)";#N/A,#N/A,FALSE,"KA EO  (2)";#N/A,#N/A,FALSE,"KA EO";#N/A,#N/A,FALSE,"KA EO  (3)";#N/A,#N/A,FALSE,"KA EO (4)"}</definedName>
    <definedName function="false" hidden="true" name="lklk" vbProcedure="false">{#N/A,"PURADD",FALSE,"Business Analysis";#N/A,"PURSPP",FALSE,"Business Analysis";#N/A,"CTGIND",FALSE,"Business Analysis";#N/A,"PURCHM",FALSE,"Business Analysis";#N/A,"SPADD",FALSE,"Business Analysis";#N/A,"EPOXY",FALSE,"Business Analysis";#N/A,"PURPER",FALSE,"Business Analysis"}</definedName>
    <definedName function="false" hidden="true" name="lklkl" vbProcedure="false">{"consolidated",#N/A,FALSE,"Sheet1";"cms",#N/A,FALSE,"Sheet1";"fse",#N/A,FALSE,"Sheet1"}</definedName>
    <definedName function="false" hidden="true" name="lkmn"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lko0" vbProcedure="false">{#N/A,#N/A,FALSE,"PMW Gruppe 99_98";#N/A,#N/A,FALSE,"PMW KG 98_99";#N/A,#N/A,FALSE,"PMW Inc. 99_98";#N/A,#N/A,FALSE,"PMW VTECH 99_98";#N/A,#N/A,FALSE,"PMW Thail. 99_98";#N/A,#N/A,FALSE,"PMW Canada 99_98";#N/A,#N/A,FALSE,"Währungsabw. 99_98"}</definedName>
    <definedName function="false" hidden="true" name="ll" vbProcedure="false">{#N/A,#N/A,TRUE,"COVER";#N/A,#N/A,TRUE,"DIR";#N/A,#N/A,TRUE,"AUDIT"}</definedName>
    <definedName function="false" hidden="true" name="ll.l" vbProcedure="false">{#N/A,#N/A,FALSE,"Produkte Erw.";#N/A,#N/A,FALSE,"Produkte Plan";#N/A,#N/A,FALSE,"Leistungen Erw.";#N/A,#N/A,FALSE,"Leistungen Plan";#N/A,#N/A,FALSE,"KA Allg.Kosten (2)";#N/A,#N/A,FALSE,"KA All.Kosten"}</definedName>
    <definedName function="false" hidden="true" name="llk" vbProcedure="false">{"pro_view",#N/A,FALSE,"EEFSNAP2";"rep_view",#N/A,FALSE,"EEFSNAP2"}</definedName>
    <definedName function="false" hidden="true" name="lll" vbProcedure="false">{#N/A,#N/A,FALSE,"Umsatz CH";#N/A,#N/A,FALSE,"ER CH";#N/A,#N/A,FALSE,"EA CH (2) ";#N/A,#N/A,FALSE,"EA CH";#N/A,#N/A,FALSE,"EA CH (3) ";#N/A,#N/A,FALSE,"EA CH (4)";#N/A,#N/A,FALSE,"KA CH";#N/A,#N/A,FALSE,"KA CH  (2)";#N/A,#N/A,FALSE,"KA CH  (3)";#N/A,#N/A,FALSE,"KA CH (4)"}</definedName>
    <definedName function="false" hidden="true" name="llllll" vbProcedure="false">{"detail",#N/A,FALSE,"mfg";"summary",#N/A,FALSE,"mfg"}</definedName>
    <definedName function="false" hidden="true" name="llp" vbProcedure="false">{"YD LPH2",#N/A,FALSE,"YTD"}</definedName>
    <definedName function="false" hidden="false" name="LME" vbProcedure="false">#REF!</definedName>
    <definedName function="false" hidden="tru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true" name="locCol" vbProcedure="false">#REF!</definedName>
    <definedName function="false" hidden="true" name="lokllk" vbProcedure="false">{"charmin",#N/A,FALSE,"FMAM II"}</definedName>
    <definedName function="false" hidden="true" name="loli" vbProcedure="false">#REF!</definedName>
    <definedName function="false" hidden="false" name="LookupColumn" vbProcedure="false">_xlfn.lambda(_xlpm.column,      INDEX(#REF!, 0,          MATCH(_xlpm.column,#REF!, 0)     ) )</definedName>
    <definedName function="false" hidden="true" name="lop" vbProcedure="false">{"detail",#N/A,FALSE,"mfg";"summary",#N/A,FALSE,"mfg"}</definedName>
    <definedName function="false" hidden="true" name="loryi"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lost" vbProcedure="false">{"'comite'!$A$9:$G$44","'comite'!$A$1:$G$6"}</definedName>
    <definedName function="false" hidden="true" name="louis" vbProcedure="false">{"vue1",#N/A,FALSE,"synthese";"vue2",#N/A,FALSE,"synthese"}</definedName>
    <definedName function="false" hidden="true" name="lpok" vbProcedure="false">{#N/A,"PURADD",FALSE,"Business Analysis";#N/A,"PURSPP",FALSE,"Business Analysis";#N/A,"CTGIND",FALSE,"Business Analysis";#N/A,"PURCHM",FALSE,"Business Analysis";#N/A,"SPADD",FALSE,"Business Analysis";#N/A,"EPOXY",FALSE,"Business Analysis";#N/A,"PURPER",FALSE,"Business Analysis"}</definedName>
    <definedName function="false" hidden="true" name="lrui" vbProcedure="false">{"Units A",#N/A,FALSE,"FY95SLS";"Units B",#N/A,FALSE,"FY95SLS"}</definedName>
    <definedName function="false" hidden="true" name="ltiuotui"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ltm_IncomeStatement" vbProcedure="false">#REF!</definedName>
    <definedName function="false" hidden="true" name="lu" vbProcedure="false">{"'Directory'!$A$72:$E$91"}</definedName>
    <definedName function="false" hidden="true" name="LUFeXToEUR" vbProcedure="false">1/eurextoluf</definedName>
    <definedName function="false" hidden="false" name="L_Advertising_marketing" vbProcedure="false">#REF!</definedName>
    <definedName function="false" hidden="false" name="L_COGS" vbProcedure="false">#REF!</definedName>
    <definedName function="false" hidden="false" name="L_Commission_costs" vbProcedure="false">#REF!</definedName>
    <definedName function="false" hidden="false" name="L_Cost_of_sales" vbProcedure="false">#REF!</definedName>
    <definedName function="false" hidden="false" name="L_Dam_footwear" vbProcedure="false">#REF!</definedName>
    <definedName function="false" hidden="false" name="L_Depreciation" vbProcedure="false">#REF!</definedName>
    <definedName function="false" hidden="false" name="L_Deprecitation" vbProcedure="false">#REF!</definedName>
    <definedName function="false" hidden="false" name="L_Freight" vbProcedure="false">#REF!</definedName>
    <definedName function="false" hidden="false" name="L_Freight_packaging" vbProcedure="false">#REF!</definedName>
    <definedName function="false" hidden="false" name="L_Installed_IMBOXes" vbProcedure="false">#REF!</definedName>
    <definedName function="false" hidden="false" name="L_Liquids" vbProcedure="false">#REF!</definedName>
    <definedName function="false" hidden="false" name="L_OpExp" vbProcedure="false">#REF!</definedName>
    <definedName function="false" hidden="false" name="L_Other_COGS" vbProcedure="false">#REF!</definedName>
    <definedName function="false" hidden="false" name="L_Other_OPEX" vbProcedure="false">#REF!</definedName>
    <definedName function="false" hidden="false" name="L_Repair_maintenance" vbProcedure="false">#REF!</definedName>
    <definedName function="false" hidden="false" name="L_Research_developing_costs" vbProcedure="false">#REF!</definedName>
    <definedName function="false" hidden="false" name="L_Rev" vbProcedure="false">#REF!</definedName>
    <definedName function="false" hidden="false" name="L_Rev_Add" vbProcedure="false">#REF!</definedName>
    <definedName function="false" hidden="false" name="L_Rev_rental" vbProcedure="false">#REF!</definedName>
    <definedName function="false" hidden="false" name="L_Service_commission_costs" vbProcedure="false">#REF!</definedName>
    <definedName function="false" hidden="false" name="L_Service_task_costs" vbProcedure="false">#REF!</definedName>
    <definedName function="false" hidden="false" name="L_Spare" vbProcedure="false">#REF!</definedName>
    <definedName function="false" hidden="false" name="L_Staff_costs" vbProcedure="false">#REF!</definedName>
    <definedName function="false" hidden="false" name="L_Tax" vbProcedure="false">#REF!</definedName>
    <definedName function="false" hidden="false" name="L_Treatments" vbProcedure="false">#REF!</definedName>
    <definedName function="false" hidden="true" name="lñ" vbProcedure="false">{"sales growth",#N/A,FALSE,"summary";"oper income",#N/A,FALSE,"summary";"oros rank",#N/A,FALSE,"summary";"net assets",#N/A,FALSE,"summary";"asset turnover",#N/A,FALSE,"summary";"orona",#N/A,FALSE,"summary"}</definedName>
    <definedName function="false" hidden="true" name="m" vbProcedure="false">{#N/A,#N/A,FALSE,"CNS";#N/A,#N/A,FALSE,"Serz";#N/A,#N/A,FALSE,"Ace"}</definedName>
    <definedName function="false" hidden="true" name="m.m" vbProcedure="false">{#N/A,#N/A,FALSE,"3";#N/A,#N/A,FALSE,"5";#N/A,#N/A,FALSE,"6";#N/A,#N/A,FALSE,"8";#N/A,#N/A,FALSE,"10";#N/A,#N/A,FALSE,"13";#N/A,#N/A,FALSE,"14";#N/A,#N/A,FALSE,"15";#N/A,#N/A,FALSE,"16"}</definedName>
    <definedName function="false" hidden="true" name="maji" vbProcedure="false">{"detail",#N/A,FALSE,"mfg";"summary",#N/A,FALSE,"mfg"}</definedName>
    <definedName function="false" hidden="true" name="MANREP_KIBS" vbProcedure="false">"MANREP_KIBS"</definedName>
    <definedName function="false" hidden="true" name="mapIDRow" vbProcedure="false">#REF!</definedName>
    <definedName function="false" hidden="true" name="mapStartRow" vbProcedure="false">#REF!</definedName>
    <definedName function="false" hidden="false" name="Master" vbProcedure="false">#REF!</definedName>
    <definedName function="false" hidden="false" name="Master_categorical_columns" vbProcedure="false">_xlfn.anchorarray(#REF!)</definedName>
    <definedName function="false" hidden="false" name="Master_date_columns" vbProcedure="false">_xlfn.anchorarray(#REF!)</definedName>
    <definedName function="false" hidden="false" name="Master_entity_columns" vbProcedure="false">_xlfn.anchorarray(#REF!)</definedName>
    <definedName function="false" hidden="false" name="Master_fiscal_columns" vbProcedure="false">_xlfn.anchorarray(#REF!)</definedName>
    <definedName function="false" hidden="true" name="MATT" vbProcedure="false">{#N/A,#N/A,TRUE,"Main Issues";#N/A,#N/A,TRUE,"Income statement ($)"}</definedName>
    <definedName function="false" hidden="true" name="may" vbProcedure="false">{#N/A,#N/A,FALSE,"TAXC.INDEX";#N/A,#N/A,FALSE,"Schedule I";#N/A,#N/A,FALSE,"Schedule  II";#N/A,#N/A,FALSE,"Schedule III"}</definedName>
    <definedName function="false" hidden="true" name="May13th" vbProcedure="false">{#N/A,#N/A,FALSE,"Presentation by Unit";#N/A,#N/A,FALSE,"Presentation by BD";#N/A,#N/A,FALSE,"Presentation Split by Biggest U";#N/A,#N/A,FALSE,"Presentation Split by Area";#N/A,#N/A,FALSE,"Presentation Split by BD"}</definedName>
    <definedName function="false" hidden="true" name="mb" vbProcedure="false">{#N/A,#N/A,FALSE,"CHANGES";#N/A,#N/A,FALSE,"PROD SUMMARY";#N/A,#N/A,FALSE,"1995 PO SUM";#N/A,#N/A,FALSE,"1995 GEOG SUM";#N/A,#N/A,FALSE,"1996 PO SUM";#N/A,#N/A,FALSE,"1996 GEOG SUM"}</definedName>
    <definedName function="false" hidden="true" name="mbm" vbProcedure="false">{#N/A,#N/A,FALSE,"3";#N/A,#N/A,FALSE,"5";#N/A,#N/A,FALSE,"6";#N/A,#N/A,FALSE,"8";#N/A,#N/A,FALSE,"10";#N/A,#N/A,FALSE,"13";#N/A,#N/A,FALSE,"14";#N/A,#N/A,FALSE,"15";#N/A,#N/A,FALSE,"16"}</definedName>
    <definedName function="false" hidden="true" name="mbmb" vbProcedure="false">{#N/A,#N/A,FALSE,"3";#N/A,#N/A,FALSE,"5";#N/A,#N/A,FALSE,"6";#N/A,#N/A,FALSE,"8";#N/A,#N/A,FALSE,"10";#N/A,#N/A,FALSE,"13";#N/A,#N/A,FALSE,"14";#N/A,#N/A,FALSE,"15";#N/A,#N/A,FALSE,"16"}</definedName>
    <definedName function="false" hidden="true" name="mbnv" vbProcedure="false">{#N/A,#N/A,FALSE,"TB";#N/A,#N/A,FALSE,"AR";#N/A,#N/A,FALSE,"BS";#N/A,#N/A,FALSE,"PL";#N/A,#N/A,FALSE,"NOTES";#N/A,#N/A,FALSE,"NOTES (2)";#N/A,#N/A,FALSE,"NOTES (3)";#N/A,#N/A,FALSE,"TAXC.INDEX";#N/A,#N/A,FALSE,"Schedule I";#N/A,#N/A,FALSE,"DPL";#N/A,#N/A,FALSE,"Schedule IV";#N/A,#N/A,FALSE,"Adjustments"}</definedName>
    <definedName function="false" hidden="true" name="mb_inputLocation" vbProcedure="false">#REF!</definedName>
    <definedName function="false" hidden="true" name="mdgh" vbProcedure="false">{"Pound Sterling",#N/A,TRUE,"PPD";"Pound Sterling",#N/A,TRUE,"Anaquest";"Pound Sterling",#N/A,TRUE,"Delta";"Pound Sterling",#N/A,TRUE,"INO"}</definedName>
    <definedName function="false" hidden="true" name="Memo_IS" vbProcedure="false">{"fdsup://directions/FAT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function="false" hidden="true" name="MESA"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MEWarning" vbProcedure="false">0</definedName>
    <definedName function="false" hidden="true" name="mfoew" vbProcedure="false">{#N/A,"PURCHM",FALSE,"Business Analysis";#N/A,"SPADD",FALSE,"Business Analysis"}</definedName>
    <definedName function="false" hidden="true" name="MGT.TEST.123" vbProcedure="false">{#N/A,#N/A,FALSE,"Assumptions";#N/A,#N/A,FALSE,"Reforecast";#N/A,#N/A,FALSE,"Inc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function="false" hidden="true" name="mhjmdh" vbProcedure="false">{"Pound Sterling",#N/A,TRUE,"PPD";"Pound Sterling",#N/A,TRUE,"Anaquest";"Pound Sterling",#N/A,TRUE,"Delta";"Pound Sterling",#N/A,TRUE,"INO"}</definedName>
    <definedName function="false" hidden="true" name="MI" vbProcedure="false">#REF!</definedName>
    <definedName function="false" hidden="true" name="michelle" vbProcedure="false">{"Summary analysis",#N/A,FALSE,"Total";"OCPH analysis",#N/A,FALSE,"Total";"detail analysis",#N/A,FALSE,"Total"}</definedName>
    <definedName function="false" hidden="true" name="milner" vbProcedure="false">{#N/A,#N/A,FALSE,"Aging Summary";#N/A,#N/A,FALSE,"Ratio Analysis";#N/A,#N/A,FALSE,"Test 120 Day Accts";#N/A,#N/A,FALSE,"Tickmarks"}</definedName>
    <definedName function="false" hidden="true" name="min" vbProcedure="false">{#N/A,#N/A,FALSE,"REPORT"}</definedName>
    <definedName function="false" hidden="true" name="mina" vbProcedure="false">{#N/A,#N/A,FALSE,"REPORT"}</definedName>
    <definedName function="false" hidden="true" name="miwukls" vbProcedure="false">{"detail",#N/A,FALSE,"mfg";"summary",#N/A,FALSE,"mfg"}</definedName>
    <definedName function="false" hidden="true" name="mj"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mjwrtjtrjutr" vbProcedure="false">{"Pound Sterling",#N/A,TRUE,"PPD";"Pound Sterling",#N/A,TRUE,"Anaquest";"Pound Sterling",#N/A,TRUE,"Delta";"Pound Sterling",#N/A,TRUE,"INO"}</definedName>
    <definedName function="false" hidden="true" name="mk" vbProcedure="false">{"detail",#N/A,FALSE,"mfg";"summary",#N/A,FALSE,"mfg"}</definedName>
    <definedName function="false" hidden="true" name="MKK" vbProcedure="false">{"'下期集計（10.27迄・速報値）'!$Q$16"}</definedName>
    <definedName function="false" hidden="true" name="mkl" vbProcedure="false">{"pro_view",#N/A,FALSE,"EEFSNAP2";"rep_view",#N/A,FALSE,"EEFSNAP2"}</definedName>
    <definedName function="false" hidden="true" name="MLNK2e3cb4e56be6422599b2a3621a972e4f" vbProcedure="false">#REF!</definedName>
    <definedName function="false" hidden="true" name="MLNK5820231508b4461ca941991ea65fee7e" vbProcedure="false">#REF!</definedName>
    <definedName function="false" hidden="true" name="MLNK5fc9a71c06434282917873e1b94183a8" vbProcedure="false">#REF!</definedName>
    <definedName function="false" hidden="true" name="MLNK690796b29f8d432a81a45ea6ed9bb2a4" vbProcedure="false">#REF!</definedName>
    <definedName function="false" hidden="true" name="MLNK70e5a74c733641ae88ffe79969ec112e" vbProcedure="false">#REF!</definedName>
    <definedName function="false" hidden="true" name="MLNKb7a66006df44490da1c55433f518c112" vbProcedure="false">#REF!</definedName>
    <definedName function="false" hidden="true" name="MLNKca40f9a1a03f44039a5c77b64fb4bf57" vbProcedure="false">#REF!</definedName>
    <definedName function="false" hidden="true" name="MLNKd08ec46c8f0a41d59e74c76d9f90338e" vbProcedure="false">#REF!</definedName>
    <definedName function="false" hidden="true" name="MLNKd86ee65af9fa45c9aa1afe81e54111f6" vbProcedure="false">#REF!</definedName>
    <definedName function="false" hidden="true" name="MLNKe4234b9cc37b446681eb726015e429e0" vbProcedure="false">#REF!</definedName>
    <definedName function="false" hidden="true" name="MLNKe8d798a30bd24a6b932dee3266221c07" vbProcedure="false">#REF!</definedName>
    <definedName function="false" hidden="true" name="MLNKfa99e9b168c74b488ff7de78f61ab69b" vbProcedure="false">#REF!</definedName>
    <definedName function="false" hidden="true" name="mlw" vbProcedure="false">{#N/A,#N/A,FALSE,"Pharm";#N/A,#N/A,FALSE,"WWCM"}</definedName>
    <definedName function="false" hidden="true" name="mm" vbProcedure="false">{"vol data",#N/A,FALSE,"Datasheet";"vol graph",#N/A,FALSE,"Volume";"price data",#N/A,FALSE,"Datasheet";"price graph",#N/A,FALSE,"Price";"dp data",#N/A,FALSE,"Datasheet";"dp graph",#N/A,FALSE,"DirectProfit"}</definedName>
    <definedName function="false" hidden="true" name="mmk" vbProcedure="false">{"Pg1",#N/A,FALSE,"OpExYTDvsBud";"Pg2",#N/A,FALSE,"OpExYTDvsBud"}</definedName>
    <definedName function="false" hidden="true" name="mmm" vbProcedure="false">{#N/A,"PURCHM",FALSE,"Business Analysis";#N/A,"SPADD",FALSE,"Business Analysis"}</definedName>
    <definedName function="false" hidden="true" name="mmmm" vbProcedure="false">{#N/A,#N/A,FALSE,"DIR-REP";#N/A,#N/A,FALSE,"AUD-REPORT";#N/A,#N/A,FALSE,"P7L&amp;BS";#N/A,#N/A,FALSE,"NOTES";#N/A,#N/A,FALSE,"FA";#N/A,#N/A,FALSE,"NOTES (2)";#N/A,#N/A,FALSE,"Schedule  IV";#N/A,#N/A,FALSE,"Schedule V"}</definedName>
    <definedName function="false" hidden="true" name="mmmmm" vbProcedure="false">{#N/A,#N/A,FALSE,"Calc";#N/A,#N/A,FALSE,"Sensitivity";#N/A,#N/A,FALSE,"LT Earn.Dil.";#N/A,#N/A,FALSE,"Dil. AVP"}</definedName>
    <definedName function="false" hidden="true" name="mmp" vbProcedure="false">{"detail",#N/A,FALSE,"mfg";"summary",#N/A,FALSE,"mfg"}</definedName>
    <definedName function="false" hidden="true" name="mn" vbProcedure="false">{"detail",#N/A,FALSE,"mfg";"summary",#N/A,FALSE,"mfg"}</definedName>
    <definedName function="false" hidden="true" name="mnbv" vbProcedure="false">{"Month Summary",#N/A,FALSE,"Summary";"Total Details",#N/A,FALSE,"Current Yr";"Polymers Details",#N/A,FALSE,"Current Yr";"Performance Details",#N/A,FALSE,"Current Yr";"ICD Details",#N/A,FALSE,"Current Yr"}</definedName>
    <definedName function="false" hidden="true" name="mnmn" vbProcedure="false">{"detail",#N/A,FALSE,"mfg";"summary",#N/A,FALSE,"mfg"}</definedName>
    <definedName function="false" hidden="true" name="mnnb" vbProcedure="false">{#N/A,#N/A,FALSE,"PMW Gruppe 99_98";#N/A,#N/A,FALSE,"PMW KG 98_99";#N/A,#N/A,FALSE,"PMW Inc. 99_98";#N/A,#N/A,FALSE,"PMW VTECH 99_98";#N/A,#N/A,FALSE,"PMW Thail. 99_98";#N/A,#N/A,FALSE,"PMW Canada 99_98";#N/A,#N/A,FALSE,"Währungsabw. 99_98"}</definedName>
    <definedName function="false" hidden="true" name="mnv"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mokp" vbProcedure="false">{"QTD_LPO2N2",#N/A,FALSE,"QTD"}</definedName>
    <definedName function="false" hidden="true" name="mon" vbProcedure="false">{"page 1",#N/A,FALSE,"A";"page 2",#N/A,FALSE,"A";"page 3",#N/A,FALSE,"A";"page 4",#N/A,FALSE,"A";"page 5",#N/A,FALSE,"A";"page 6",#N/A,FALSE,"A";"page 7",#N/A,FALSE,"A";"page 8",#N/A,FALSE,"A";"page 9",#N/A,FALSE,"A";"page 10",#N/A,FALSE,"A";"page 11",#N/A,FALSE,"A";"page 12",#N/A,FALSE,"A";"page 13",#N/A,FALSE,"A";"page 14",#N/A,FALSE,"A"}</definedName>
    <definedName function="false" hidden="false" name="MonRepMonths" vbProcedure="false">#REF!</definedName>
    <definedName function="false" hidden="true" name="MONTH" vbProcedure="false">{"PHARM MON",#N/A,FALSE,"PHARM";"PHARM YTD",#N/A,FALSE,"PHARM";"PHARM STAT",#N/A,FALSE,"PHARM";"PORTFOLIO MON",#N/A,FALSE,"PORTFOLIO";"PORTFOLIO YTD",#N/A,FALSE,"PORTFOLIO";"PORTFOLIO STAT",#N/A,FALSE,"PORTFOLIO";"POWERSPORTS MON",#N/A,FALSE,"POWERSPORTS";"POWERSPORT YTD",#N/A,FALSE,"POWERSPORTS";"POWERSPORT STAT",#N/A,FALSE,"POWERSPORTS";"SCIENCE MON",#N/A,FALSE,"SCIENCE";"SCIENCE YTD",#N/A,FALSE,"SCIENCE";"SCIENCE STAT",#N/A,FALSE,"SCIENCE";"TELECOM MON",#N/A,FALSE,"TELECOM";"TELECOM YTD",#N/A,FALSE,"TELECOM";"TELECOM STAT",#N/A,FALSE,"TELECOM";"TRAVEL MON",#N/A,FALSE,"TRAVEL";"TRAVEL YTD",#N/A,FALSE,"TRAVEL";"TRAVEL STAT",#N/A,FALSE,"TRAVEL";"CLUSTER",#N/A,FALSE,"CLUSTER";"OFFICES",#N/A,FALSE,"OFFICES";"CORPORATE",#N/A,FALSE,"CORPORATE";"STAFFING ACI",#N/A,FALSE,"STAFFING ACI";"PUBL MONTH",#N/A,FALSE,"PUBL MONTH";"PUBL YTD",#N/A,FALSE,"PUBL YTD";"EXPO MONTH",#N/A,FALSE,"EXPO MONTH";"EXPO YTD",#N/A,FALSE,"EXPO YTD";"EXPO REV &amp; CONT",#N/A,FALSE,"EXPO REV &amp; CONT";"MKT MONTH",#N/A,FALSE,"MKT MONTH";"MKT YTD",#N/A,FALSE,"MKT YTD";"DEPT MON",#N/A,FALSE,"DEPT MONTH";"DEPT YTD",#N/A,FALSE,"DEPT YTD";"DEPT",#N/A,FALSE,"DEPT";"HIGH IH",#N/A,FALSE,"HIGH IH";"STATE OF OPER IH",#N/A,FALSE,"STATE OF OPER IH";"BAL SHEET IH",#N/A,FALSE,"BAL SHEET IH";"BS DETAIL IH",#N/A,FALSE,"BS DETAIL IH";"CASH FLOW IH",#N/A,FALSE,"CASH FLOW IH";"STAFFING IH",#N/A,FALSE,"STAFFING IH";"REVENUE IH PAGE1",#N/A,FALSE,"REVENUE IH";"REVENUE IH PAGE2",#N/A,FALSE,"REVENUE IH";"CONTRIBUTION IH PAGE1",#N/A,FALSE,"CONTRIBUTION IH";"CONTRIBUTION IH PAGE2",#N/A,FALSE,"CONTRIBUTION IH"}</definedName>
    <definedName function="false" hidden="false" name="Month1" vbProcedure="false">#REF!</definedName>
    <definedName function="false" hidden="false" name="Month10" vbProcedure="false">#REF!</definedName>
    <definedName function="false" hidden="false" name="Month11" vbProcedure="false">#REF!</definedName>
    <definedName function="false" hidden="false" name="Month12" vbProcedure="false">#REF!</definedName>
    <definedName function="false" hidden="false" name="Month2" vbProcedure="false">#REF!</definedName>
    <definedName function="false" hidden="false" name="Month3" vbProcedure="false">#REF!</definedName>
    <definedName function="false" hidden="false" name="Month4" vbProcedure="false">#REF!</definedName>
    <definedName function="false" hidden="false" name="Month5" vbProcedure="false">#REF!</definedName>
    <definedName function="false" hidden="false" name="Month6" vbProcedure="false">#REF!</definedName>
    <definedName function="false" hidden="false" name="Month7" vbProcedure="false">#REF!</definedName>
    <definedName function="false" hidden="false" name="Month8" vbProcedure="false">#REF!</definedName>
    <definedName function="false" hidden="false" name="Month9" vbProcedure="false">#REF!</definedName>
    <definedName function="false" hidden="true" name="MONTHNUMBER" vbProcedure="false">11</definedName>
    <definedName function="false" hidden="true" name="Months" vbProcedure="false">#REF!</definedName>
    <definedName function="false" hidden="true" name="MONTHVAT" vbProcedure="false">TRUE()</definedName>
    <definedName function="false" hidden="true" name="MS.CreatedAt" vbProcedure="false">"30.06.1998 11:53:43"</definedName>
    <definedName function="false" hidden="true" name="MS.CreatedBy" vbProcedure="false">"JMA"</definedName>
    <definedName function="false" hidden="true" name="MS.ModifiedAt" vbProcedure="false">"20.04.1999 10:43:12"</definedName>
    <definedName function="false" hidden="true" name="MS.ModifiedBy" vbProcedure="false">"RL"</definedName>
    <definedName function="false" hidden="true" name="MS.Version" vbProcedure="false">"1.0.2"</definedName>
    <definedName function="false" hidden="true" name="MSD" vbProcedure="false">{#N/A,#N/A,FALSE,"Presentation by Unit";#N/A,#N/A,FALSE,"Presentation by BD";#N/A,#N/A,FALSE,"Presentation Split by Biggest U";#N/A,#N/A,FALSE,"Presentation Split by Area";#N/A,#N/A,FALSE,"Presentation Split by BD"}</definedName>
    <definedName function="false" hidden="true" name="mtdRow" vbProcedure="false">#REF!</definedName>
    <definedName function="false" hidden="true" name="MTGFEE" vbProcedure="false">{#N/A,#N/A,TRUE,"TransCore Summary";#N/A,#N/A,TRUE,"TransCore IS";#N/A,#N/A,TRUE,"TransCore Balance";#N/A,#N/A,TRUE,"TransCore Backlog";#N/A,#N/A,TRUE,"Syntonic IS";#N/A,#N/A,TRUE,"Syntonic Bal";#N/A,#N/A,TRUE,"Systems IS";#N/A,#N/A,TRUE,"Systems Bal"}</definedName>
    <definedName function="false" hidden="false" name="MultiMasterLevelList" vbProcedure="false">_xlfn.lambda(_xlpm.outputlevel,_xlpm.filtercol,_xlpm.filtertxt,_xlpm.entitycol,_xlpm.entitytxt,_xlpm.sortcol,_xlpm.specificationlevel,_xlop.optspecificationitems,_xlop.optsortorder,_xlop.optsorttotop,_xlop.optfiltercol2,_xlop.optfiltertxt2,_xlop.optexcludecol,_xlop.optexcludetxt, IF(OR(ISERROR(_xlpm.outputlevel), ISERROR(_xlpm.filtercol), ISERROR(_xlpm.filtertxt), ISERROR(_xlpm.entitycol), ISERROR(_xlpm.entitytxt), ISERROR(_xlpm.sortcol), ISERROR(_xlpm.specificationlevel), ISERROR(_xlpm.optspecificationitems), ISERROR(_xlpm.optsortorder), ISERROR(_xlpm.optsorttotop), ISERROR(_xlpm.optfiltercol2), ISERROR(_xlpm.optfiltertxt2), ISERROR(_xlpm.optexcludecol), ISERROR(_xlpm.optexcludetxt)), "Error in inputs", _xlfn.let( _xlpm.mstcol,_xlfn.lambda(_xlpm.col_name, INDEX(Master,0,_xlfn.xmatch(_xlpm.col_name,Headings))), _xlpm.sortorder,IF(_xlfn.isomitted(_xlpm.optsortorder),-1,_xlpm.optsortorder), _xlpm.filt_c,(_xlpm.mstcol(_xlpm.filtercol)=_xlpm.filtertxt)*(_xlpm.mstcol(_xlpm.entitycol)=_xlpm.entitytxt)*(IF(_xlfn.isomitted(_xlpm.optfiltercol2), TRUE(), _xlpm.mstcol(_xlpm.optfiltercol2)=_xlpm.optfiltertxt2))*(IF(_xlfn.isomitted(_xlpm.optexcludecol), TRUE(), ISNA(MATCH(_xlpm.mstcol(_xlpm.optexcludecol), _xlpm.optexcludetxt, 0)))), _xlpm.c_rng,_xlfn.hstack(_xlfn._xlws.filter(_xlpm.mstcol(_xlpm.outputlevel),_xlpm.filt_c),_xlfn._xlws.filter(_xlpm.mstcol(_xlpm.specificationlevel),_xlpm.filt_c),_xlfn._xlws.filter(_xlpm.mstcol(_xlpm.sortcol),_xlpm.filt_c)), _xlpm.utxt,_xlfn.unique(_xlfn.take(_xlpm.c_rng,,2)), _xlpm.sum_a,_xlfn.hstack(_xlpm.utxt,_xlfn.byrow(_xlpm.utxt,_xlfn.lambda(_xlpm.r,SUM((INDEX(_xlpm.c_rng,,3))*(INDEX(_xlpm.c_rng,,1)=INDEX(_xlpm.r,,1))))),_xlfn.byrow(_xlpm.utxt,_xlfn.lambda(_xlpm.r,SUM((INDEX(_xlpm.c_rng,,3))*(INDEX(_xlpm.c_rng,,1)=INDEX(_xlpm.r,,1))*(INDEX(_xlpm.c_rng,,2)=INDEX(_xlpm.r,,2)))))), _xlpm.subt, _xlfn.unique(_xlfn.hstack(INDEX(_xlpm.sum_a,,1),IF(_xlfn.sequence(ROWS(_xlpm.sum_a), 1), "all"),INDEX(_xlpm.sum_a,,3),IF(_xlfn.sequence(ROWS(_xlpm.sum_a), 1), ""))), _xlpm.specifilt,IFERROR(_xlfn._xlws.filter(_xlpm.optspecificationitems, _xlpm.optspecificationitems&lt;&gt;""),""), _xlpm.specs,_xlfn._xlws.filter(_xlpm.sum_a, (ISNUMBER(_xlfn.xmatch(INDEX(_xlpm.sum_a,,1), _xlpm.specifilt)))), _xlpm.comb,IF(_xlfn.isomitted(_xlpm.optspecificationitems),_xlpm.subt,IFERROR(_xlfn.vstack(_xlpm.specs,_xlpm.subt),_xlpm.subt)), _xlpm.sortarray,_xlfn.sortby(_xlpm.comb, IF(ISNUMBER(_xlfn.xmatch(INDEX(_xlpm.comb,,1), _xlpm.optsorttotop)), _xlfn.xmatch(INDEX(_xlpm.comb,,1), _xlpm.optsorttotop), 1E+300), 1, (LEFT(INDEX(_xlpm.comb,,1),5)="Other"),1,(INDEX(_xlpm.comb,,3)),_xlpm.sortorder,(LEFT(INDEX(_xlpm.comb,,2),8)="all"),1,(LEFT(INDEX(_xlpm.comb,,2),5)="Other"),1,(INDEX(_xlpm.comb,,4)),_xlpm.sortorder), IFERROR(_xlfn.take(_xlpm.sortarray,,2),""))))</definedName>
    <definedName function="false" hidden="true" name="mw" vbProcedure="false">{#N/A,#N/A,FALSE,"Pharm";#N/A,#N/A,FALSE,"WWCM"}</definedName>
    <definedName function="false" hidden="true" name="myukr" vbProcedure="false">{"Units A",#N/A,FALSE,"FY95SLS";"Units B",#N/A,FALSE,"FY95SLS"}</definedName>
    <definedName function="false" hidden="true" name="M_PlaceofPath" vbProcedure="false">"\\snyceqt0301\vdf$\tmp\blabla"</definedName>
    <definedName function="false" hidden="true" name="n" vbProcedure="false">{"consolidated",#N/A,FALSE,"Sheet1";"cms",#N/A,FALSE,"Sheet1";"fse",#N/A,FALSE,"Sheet1"}</definedName>
    <definedName function="false" hidden="true" name="na" vbProcedure="false">{#N/A,#N/A,FALSE,"TB";#N/A,#N/A,FALSE,"AR";#N/A,#N/A,FALSE,"BS";#N/A,#N/A,FALSE,"PL";#N/A,#N/A,FALSE,"NOTES";#N/A,#N/A,FALSE,"NOTES (2)";#N/A,#N/A,FALSE,"NOTES (3)";#N/A,#N/A,FALSE,"TAXC.INDEX";#N/A,#N/A,FALSE,"Schedule I";#N/A,#N/A,FALSE,"DPL";#N/A,#N/A,FALSE,"Schedule IV";#N/A,#N/A,FALSE,"Adjustments"}</definedName>
    <definedName function="false" hidden="true" name="nadf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nadfnhf" vbProcedure="false">{"Pound Sterling",#N/A,TRUE,"PPD";"Pound Sterling",#N/A,TRUE,"Anaquest";"Pound Sterling",#N/A,TRUE,"Delta";"Pound Sterling",#N/A,TRUE,"INO"}</definedName>
    <definedName function="false" hidden="true" name="nam90ng" vbProcedure="false">{"detail",#N/A,FALSE,"mfg";"summary",#N/A,FALSE,"mfg"}</definedName>
    <definedName function="false" hidden="true" name="nam9njk" vbProcedure="false">{"detail",#N/A,FALSE,"mfg";"summary",#N/A,FALSE,"mfg"}</definedName>
    <definedName function="false" hidden="true" name="name" vbProcedure="false">{"detail",#N/A,FALSE,"mfg";"summary",#N/A,FALSE,"mfg"}</definedName>
    <definedName function="false" hidden="true" name="name1" vbProcedure="false">{"detail",#N/A,FALSE,"mfg";"summary",#N/A,FALSE,"mfg"}</definedName>
    <definedName function="false" hidden="true" name="name10" vbProcedure="false">{"detail",#N/A,FALSE,"mfg";"summary",#N/A,FALSE,"mfg"}</definedName>
    <definedName function="false" hidden="true" name="name101" vbProcedure="false">{"detail",#N/A,FALSE,"mfg";"summary",#N/A,FALSE,"mfg"}</definedName>
    <definedName function="false" hidden="true" name="name102" vbProcedure="false">{"detail",#N/A,FALSE,"mfg";"summary",#N/A,FALSE,"mfg"}</definedName>
    <definedName function="false" hidden="false" name="Name10a" vbProcedure="false">#REF!</definedName>
    <definedName function="false" hidden="false" name="Name10b" vbProcedure="false">#REF!</definedName>
    <definedName function="false" hidden="true" name="name11" vbProcedure="false">{"detail",#N/A,FALSE,"mfg";"summary",#N/A,FALSE,"mfg"}</definedName>
    <definedName function="false" hidden="false" name="Name11a" vbProcedure="false">#REF!</definedName>
    <definedName function="false" hidden="false" name="Name11b" vbProcedure="false">#REF!</definedName>
    <definedName function="false" hidden="true" name="name12" vbProcedure="false">{"detail",#N/A,FALSE,"mfg";"summary",#N/A,FALSE,"mfg"}</definedName>
    <definedName function="false" hidden="false" name="Name12a" vbProcedure="false">#REF!</definedName>
    <definedName function="false" hidden="false" name="Name12b" vbProcedure="false">#REF!</definedName>
    <definedName function="false" hidden="true" name="name2" vbProcedure="false">{"detail",#N/A,FALSE,"mfg";"summary",#N/A,FALSE,"mfg"}</definedName>
    <definedName function="false" hidden="true" name="name202" vbProcedure="false">{"detail",#N/A,FALSE,"mfg";"summary",#N/A,FALSE,"mfg"}</definedName>
    <definedName function="false" hidden="true" name="name203" vbProcedure="false">{"detail",#N/A,FALSE,"mfg";"summary",#N/A,FALSE,"mfg"}</definedName>
    <definedName function="false" hidden="true" name="name212" vbProcedure="false">{"detail",#N/A,FALSE,"mfg";"summary",#N/A,FALSE,"mfg"}</definedName>
    <definedName function="false" hidden="true" name="name213" vbProcedure="false">{"detail",#N/A,FALSE,"mfg";"summary",#N/A,FALSE,"mfg"}</definedName>
    <definedName function="false" hidden="false" name="Name2a" vbProcedure="false">#REF!</definedName>
    <definedName function="false" hidden="false" name="Name2b" vbProcedure="false">#REF!</definedName>
    <definedName function="false" hidden="true" name="name31" vbProcedure="false">{"detail",#N/A,FALSE,"mfg";"summary",#N/A,FALSE,"mfg"}</definedName>
    <definedName function="false" hidden="true" name="name32" vbProcedure="false">{"detail",#N/A,FALSE,"mfg";"summary",#N/A,FALSE,"mfg"}</definedName>
    <definedName function="false" hidden="true" name="name34" vbProcedure="false">{"detail",#N/A,FALSE,"mfg";"summary",#N/A,FALSE,"mfg"}</definedName>
    <definedName function="false" hidden="true" name="name35" vbProcedure="false">{"detail",#N/A,FALSE,"mfg";"summary",#N/A,FALSE,"mfg"}</definedName>
    <definedName function="false" hidden="true" name="NAME41" vbProcedure="false">{"detail",#N/A,FALSE,"mfg";"summary",#N/A,FALSE,"mfg"}</definedName>
    <definedName function="false" hidden="true" name="name412" vbProcedure="false">{"detail",#N/A,FALSE,"mfg";"summary",#N/A,FALSE,"mfg"}</definedName>
    <definedName function="false" hidden="true" name="name413" vbProcedure="false">{"detail",#N/A,FALSE,"mfg";"summary",#N/A,FALSE,"mfg"}</definedName>
    <definedName function="false" hidden="true" name="name42" vbProcedure="false">{"detail",#N/A,FALSE,"mfg";"summary",#N/A,FALSE,"mfg"}</definedName>
    <definedName function="false" hidden="true" name="name45" vbProcedure="false">{"detail",#N/A,FALSE,"mfg";"summary",#N/A,FALSE,"mfg"}</definedName>
    <definedName function="false" hidden="false" name="Name4a" vbProcedure="false">#REF!</definedName>
    <definedName function="false" hidden="false" name="Name4b" vbProcedure="false">#REF!</definedName>
    <definedName function="false" hidden="false" name="Name4c" vbProcedure="false">#REF!</definedName>
    <definedName function="false" hidden="false" name="Name4d" vbProcedure="false">#REF!</definedName>
    <definedName function="false" hidden="false" name="Name4e" vbProcedure="false">#REF!</definedName>
    <definedName function="false" hidden="false" name="Name4f" vbProcedure="false">#REF!</definedName>
    <definedName function="false" hidden="false" name="Name4g" vbProcedure="false">#REF!</definedName>
    <definedName function="false" hidden="true" name="name51" vbProcedure="false">{"detail",#N/A,FALSE,"mfg";"summary",#N/A,FALSE,"mfg"}</definedName>
    <definedName function="false" hidden="true" name="name54ghs" vbProcedure="false">{"detail",#N/A,FALSE,"mfg";"summary",#N/A,FALSE,"mfg"}</definedName>
    <definedName function="false" hidden="true" name="name56a" vbProcedure="false">{"detail",#N/A,FALSE,"mfg";"summary",#N/A,FALSE,"mfg"}</definedName>
    <definedName function="false" hidden="true" name="name56a56" vbProcedure="false">{"detail",#N/A,FALSE,"mfg";"summary",#N/A,FALSE,"mfg"}</definedName>
    <definedName function="false" hidden="false" name="Name5a" vbProcedure="false">#REF!</definedName>
    <definedName function="false" hidden="false" name="Name5b" vbProcedure="false">#REF!</definedName>
    <definedName function="false" hidden="false" name="Name5c" vbProcedure="false">#REF!</definedName>
    <definedName function="false" hidden="true" name="name61" vbProcedure="false">{"detail",#N/A,FALSE,"mfg";"summary",#N/A,FALSE,"mfg"}</definedName>
    <definedName function="false" hidden="false" name="Name6a" vbProcedure="false">#REF!</definedName>
    <definedName function="false" hidden="false" name="Name6b" vbProcedure="false">#REF!</definedName>
    <definedName function="false" hidden="false" name="Name6c" vbProcedure="false">#REF!</definedName>
    <definedName function="false" hidden="false" name="Name6d" vbProcedure="false">#REF!</definedName>
    <definedName function="false" hidden="false" name="Name6e" vbProcedure="false">#REF!</definedName>
    <definedName function="false" hidden="false" name="Name6f" vbProcedure="false">#REF!</definedName>
    <definedName function="false" hidden="false" name="Name6g" vbProcedure="false">#REF!</definedName>
    <definedName function="false" hidden="false" name="Name6x" vbProcedure="false">#REF!</definedName>
    <definedName function="false" hidden="false" name="Name6y" vbProcedure="false">#REF!</definedName>
    <definedName function="false" hidden="true" name="name71" vbProcedure="false">{"detail",#N/A,FALSE,"mfg";"summary",#N/A,FALSE,"mfg"}</definedName>
    <definedName function="false" hidden="false" name="Name7a" vbProcedure="false">#REF!</definedName>
    <definedName function="false" hidden="false" name="Name7b" vbProcedure="false">#REF!</definedName>
    <definedName function="false" hidden="false" name="Name7c" vbProcedure="false">#REF!</definedName>
    <definedName function="false" hidden="false" name="Name7d" vbProcedure="false">#REF!</definedName>
    <definedName function="false" hidden="true" name="name89shj" vbProcedure="false">{"detail",#N/A,FALSE,"mfg";"summary",#N/A,FALSE,"mfg"}</definedName>
    <definedName function="false" hidden="false" name="Name8a" vbProcedure="false">#REF!</definedName>
    <definedName function="false" hidden="false" name="Name8b" vbProcedure="false">#REF!</definedName>
    <definedName function="false" hidden="false" name="Name9a" vbProcedure="false">#REF!</definedName>
    <definedName function="false" hidden="false" name="Name9b" vbProcedure="false">#REF!</definedName>
    <definedName function="false" hidden="false" name="Name9c" vbProcedure="false">#REF!</definedName>
    <definedName function="false" hidden="false" name="Name9d" vbProcedure="false">#REF!</definedName>
    <definedName function="false" hidden="true" name="namea101" vbProcedure="false">{"detail",#N/A,FALSE,"mfg";"summary",#N/A,FALSE,"mfg"}</definedName>
    <definedName function="false" hidden="true" name="nameb45" vbProcedure="false">{"detail",#N/A,FALSE,"mfg";"summary",#N/A,FALSE,"mfg"}</definedName>
    <definedName function="false" hidden="true" name="nameiges" vbProcedure="false">{"detail",#N/A,FALSE,"mfg";"summary",#N/A,FALSE,"mfg"}</definedName>
    <definedName function="false" hidden="true" name="nanahadf" vbProcedure="false">{"Units A",#N/A,FALSE,"FY95SLS";"Units B",#N/A,FALSE,"FY95SLS"}</definedName>
    <definedName function="false" hidden="false" name="NA_error" vbProcedure="false">#REF!</definedName>
    <definedName function="false" hidden="true" name="NB"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nbhj" vbProcedure="false">{"QTD_LPO2N2",#N/A,FALSE,"QTD";"QTD_HYCO",#N/A,FALSE,"QTD";"QTD_LOUISIANA",#N/A,FALSE,"QTD";"QTD_GENERALH2",#N/A,FALSE,"QTD";"QTD_PACKAGE",#N/A,FALSE,"QTD";"QTD_PRS",#N/A,FALSE,"QTD";"QTD_OTHER",#N/A,FALSE,"QTD"}</definedName>
    <definedName function="false" hidden="true" name="NBM" vbProcedure="false">{#N/A,#N/A,TRUE,"AHFSTEP"}</definedName>
    <definedName function="false" hidden="true" name="nbv" vbProcedure="false">{"Polymers Details",#N/A,FALSE,"Current Yr";"Polymer Details",#N/A,FALSE,"Budget";"Polymer Details",#N/A,FALSE,"Prior Year"}</definedName>
    <definedName function="false" hidden="true" name="nbv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ndfh" vbProcedure="false">{"Sum WW A",#N/A,FALSE,"FY95SLS";"Sum WW B",#N/A,FALSE,"FY95SLS";"Sum US A",#N/A,FALSE,"FY95SLS";"Sum US B",#N/A,FALSE,"FY95SLS";"Sum US Bocg",#N/A,FALSE,"FY95SLS";"Sum Can A",#N/A,FALSE,"FY95SLS";"Sum Can B",#N/A,FALSE,"FY95SLS";"Sum Europe",#N/A,FALSE,"FY95SLS";"Sum Row",#N/A,FALSE,"FY95SLS"}</definedName>
    <definedName function="false" hidden="true" name="ndghndtyj" vbProcedure="false">{"Units A",#N/A,FALSE,"FY95SLS";"Units B",#N/A,FALSE,"FY95SLS"}</definedName>
    <definedName function="false" hidden="true" name="netyjeyt" vbProcedure="false">{"Pound Sterling",#N/A,TRUE,"PPD";"Pound Sterling",#N/A,TRUE,"Anaquest";"Pound Sterling",#N/A,TRUE,"Delta";"Pound Sterling",#N/A,TRUE,"INO"}</definedName>
    <definedName function="false" hidden="true" name="new" vbProcedure="false">{#N/A,#N/A,FALSE,"Pharm";#N/A,#N/A,FALSE,"WWCM"}</definedName>
    <definedName function="false" hidden="true" name="new2bySimon" vbProcedure="false">{"Title",#N/A,FALSE,"Title";"Info",#N/A,FALSE,"Title";"Contents",#N/A,FALSE,"Title";"Sec.1",#N/A,FALSE,"Title";"Output1",#N/A,FALSE,"Output";"Sec.2",#N/A,FALSE,"Title";"Graph1",#N/A,FALSE,"Output";"Graph2",#N/A,FALSE,"Output";"Sec.3",#N/A,FALSE,"Title";"Gap1",#N/A,FALSE,"Output";"Sec.4",#N/A,FALSE,"Title";"Model_all",#N/A,FALSE,"Autostrade S.p.A."}</definedName>
    <definedName function="false" hidden="true" name="new3bySimon" vbProcedure="false">{"Title",#N/A,TRUE,"Title";"Content",#N/A,TRUE,"Title";"Section1",#N/A,TRUE,"Title";"Output1",#N/A,TRUE,"Output";"Section2",#N/A,TRUE,"Title";"Graph1",#N/A,TRUE,"Output";"Section3",#N/A,TRUE,"Title";"Graph2",#N/A,TRUE,"Output";"Section4",#N/A,TRUE,"Title";"Gap1",#N/A,TRUE,"Output";"Section5",#N/A,TRUE,"Title";"Model_all",#N/A,TRUE,"Autostrade S.p.A."}</definedName>
    <definedName function="false" hidden="true" name="newbel" vbProcedure="false">{"IS",#N/A,FALSE,"IS";"RPTIS",#N/A,FALSE,"RPTIS";"STATS",#N/A,FALSE,"STATS";"CELL",#N/A,FALSE,"CELL";"BS",#N/A,FALSE,"BS"}</definedName>
    <definedName function="false" hidden="true" name="newbls" vbProcedure="false">{"'Directory'!$A$72:$E$91"}</definedName>
    <definedName function="false" hidden="true" name="Newcap" vbProcedure="false">{"'2ND_QUAR'!$A$1:$P$106"}</definedName>
    <definedName function="false" hidden="true" name="newDC" vbProcedure="false">{#N/A,#N/A,TRUE,"Cover sheet";#N/A,#N/A,TRUE,"DCF analysis";#N/A,#N/A,TRUE,"WACC calculation"}</definedName>
    <definedName function="false" hidden="true" name="newnewnew" vbProcedure="false">{#N/A,#N/A,FALSE,"Pharm";#N/A,#N/A,FALSE,"WWCM"}</definedName>
    <definedName function="false" hidden="true" name="newt" vbProcedure="false">{"'Directory'!$A$72:$E$91"}</definedName>
    <definedName function="false" hidden="true" name="neww4" vbProcedure="false">{#N/A,#N/A,FALSE,"3";#N/A,#N/A,FALSE,"5";#N/A,#N/A,FALSE,"6";#N/A,#N/A,FALSE,"8";#N/A,#N/A,FALSE,"10";#N/A,#N/A,FALSE,"13";#N/A,#N/A,FALSE,"14";#N/A,#N/A,FALSE,"15";#N/A,#N/A,FALSE,"16"}</definedName>
    <definedName function="false" hidden="true" name="newwcom" vbProcedure="false">{"'Directory'!$A$72:$E$91"}</definedName>
    <definedName function="false" hidden="true" name="New_Name" vbProcedure="false">{#N/A,#N/A,FALSE,"00 P&amp;L vs 99"}</definedName>
    <definedName function="false" hidden="true" name="New_Name1" vbProcedure="false">{#N/A,#N/A,FALSE,"00 P&amp;L vs 99"}</definedName>
    <definedName function="false" hidden="true" name="New_Name10" vbProcedure="false">{#N/A,#N/A,FALSE,"00 P&amp;L vs 99"}</definedName>
    <definedName function="false" hidden="true" name="New_Name11" vbProcedure="false">{#N/A,#N/A,FALSE,"00 P&amp;L vs 99"}</definedName>
    <definedName function="false" hidden="true" name="New_Name2" vbProcedure="false">{#N/A,#N/A,FALSE,"00 P&amp;L vs 99"}</definedName>
    <definedName function="false" hidden="true" name="New_Name3" vbProcedure="false">{#N/A,#N/A,FALSE,"00 P&amp;L vs 99"}</definedName>
    <definedName function="false" hidden="true" name="New_Name4" vbProcedure="false">{#N/A,#N/A,FALSE,"00 P&amp;L vs 99"}</definedName>
    <definedName function="false" hidden="true" name="New_Name5" vbProcedure="false">{#N/A,#N/A,FALSE,"00 P&amp;L vs 99"}</definedName>
    <definedName function="false" hidden="true" name="New_Name6" vbProcedure="false">{#N/A,#N/A,FALSE,"00 P&amp;L vs 99"}</definedName>
    <definedName function="false" hidden="true" name="New_Name7" vbProcedure="false">{#N/A,#N/A,FALSE,"00 P&amp;L vs 99"}</definedName>
    <definedName function="false" hidden="true" name="New_Name8" vbProcedure="false">{#N/A,#N/A,FALSE,"00 P&amp;L vs 99"}</definedName>
    <definedName function="false" hidden="true" name="New_Name9" vbProcedure="false">{#N/A,#N/A,FALSE,"00 P&amp;L vs 99"}</definedName>
    <definedName function="false" hidden="true" name="new_w" vbProcedure="false">{"comps1_1",#N/A,FALSE,"Comps1";"comps1_2",#N/A,FALSE,"Comps1";"comps1_3",#N/A,FALSE,"Comps1";"comps1_4",#N/A,FALSE,"Comps1";"comps1_5",#N/A,FALSE,"Comps1"}</definedName>
    <definedName function="false" hidden="true" name="ng" vbProcedure="false">{#N/A,#N/A,FALSE,"TB";#N/A,#N/A,FALSE,"DR";#N/A,#N/A,FALSE,"AR";#N/A,#N/A,FALSE,"PL";#N/A,#N/A,FALSE,"BS";#N/A,#N/A,FALSE,"NOTES";#N/A,#N/A,FALSE,"NOTES (2)";#N/A,#N/A,FALSE,"NOTES (3)";#N/A,#N/A,FALSE,"DPL";#N/A,#N/A,FALSE,"TAXC.INDEX";#N/A,#N/A,FALSE,"Schedule I";#N/A,#N/A,FALSE,"Adjustments"}</definedName>
    <definedName function="false" hidden="true" name="ngfhs" vbProcedure="false">{"Pound Sterling",#N/A,TRUE,"PPD";"Pound Sterling",#N/A,TRUE,"Anaquest";"Pound Sterling",#N/A,TRUE,"Delta";"Pound Sterling",#N/A,TRUE,"INO"}</definedName>
    <definedName function="false" hidden="true" name="ngfhs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nghjytj" vbProcedure="false">{"Pound Sterling",#N/A,TRUE,"PPD";"Pound Sterling",#N/A,TRUE,"Anaquest";"Pound Sterling",#N/A,TRUE,"Delta";"Pound Sterling",#N/A,TRUE,"INO"}</definedName>
    <definedName function="false" hidden="true" name="nh" vbProcedure="false">{"AS REP",#N/A,FALSE,"EEFSNAP2";"PROP",#N/A,FALSE,"EEFSNAP2";"RISKS",#N/A,FALSE,"EEFSNAP2";"VIEW ALL",#N/A,FALSE,"EEFSNAP2"}</definedName>
    <definedName function="false" hidden="true" name="nhgnjeyhj" vbProcedure="false">{"Pound Sterling",#N/A,TRUE,"PPD";"Pound Sterling",#N/A,TRUE,"Anaquest";"Pound Sterling",#N/A,TRUE,"Delta";"Pound Sterling",#N/A,TRUE,"INO"}</definedName>
    <definedName function="false" hidden="true" name="nhu" vbProcedure="false">{#N/A,"PURADD",FALSE,"Business Analysis";#N/A,"PURSPP",FALSE,"Business Analysis";#N/A,"CTGIND",FALSE,"Business Analysis";#N/A,"PURCHM",FALSE,"Business Analysis";#N/A,"SPADD",FALSE,"Business Analysis";#N/A,"EPOXY",FALSE,"Business Analysis";#N/A,"PURPER",FALSE,"Business Analysis"}</definedName>
    <definedName function="false" hidden="true" name="nijnsh" vbProcedure="false">{"detail",#N/A,FALSE,"mfg";"summary",#N/A,FALSE,"mfg"}</definedName>
    <definedName function="false" hidden="true" name="nj9km" vbProcedure="false">{"detail",#N/A,FALSE,"mfg";"summary",#N/A,FALSE,"mfg"}</definedName>
    <definedName function="false" hidden="true" name="njhfds" vbProcedure="false">{#N/A,"PURCHM",FALSE,"Business Analysis";#N/A,"SPADD",FALSE,"Business Analysis"}</definedName>
    <definedName function="false" hidden="true" name="njis76" vbProcedure="false">{"detail",#N/A,FALSE,"mfg";"summary",#N/A,FALSE,"mfg"}</definedName>
    <definedName function="false" hidden="true" name="njkjsh" vbProcedure="false">{"detail",#N/A,FALSE,"mfg";"summary",#N/A,FALSE,"mfg"}</definedName>
    <definedName function="false" hidden="true" name="nkmi9c" vbProcedure="false">{#N/A,"PURCHM",FALSE,"Business Analysis";#N/A,"SPADD",FALSE,"Business Analysis"}</definedName>
    <definedName function="false" hidden="true" name="nknknknknknkn" vbProcedure="false">{"Pound Sterling",#N/A,TRUE,"PPD";"Pound Sterling",#N/A,TRUE,"Anaquest";"Pound Sterling",#N/A,TRUE,"Delta";"Pound Sterling",#N/A,TRUE,"INO"}</definedName>
    <definedName function="false" hidden="true" name="NLGeXToEUR" vbProcedure="false">1/eurextonlg</definedName>
    <definedName function="false" hidden="true" name="nmnm"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nmnmm" vbProcedure="false">{#N/A,#N/A,FALSE,"Index";"Stmts_Qtrs",#N/A,FALSE,"Summary";"Stmts_24 mo",#N/A,FALSE,"Summary";"Summary_24",#N/A,FALSE,"Revenue";"Month_24",#N/A,FALSE,"Engineering";"Month_24",#N/A,FALSE,"Marketing";"Month_24",#N/A,FALSE,"G &amp; A";"Month_24",#N/A,FALSE,"Manufacturing"}</definedName>
    <definedName function="false" hidden="true" name="nn" vbProcedure="false">{#N/A,#N/A,TRUE,"Proposal";#N/A,#N/A,TRUE,"Assumptions";#N/A,#N/A,TRUE,"Net Income";#N/A,#N/A,TRUE,"Balsheet";#N/A,#N/A,TRUE,"Capex";#N/A,#N/A,TRUE,"Volumes";#N/A,#N/A,TRUE,"Revenues";#N/A,#N/A,TRUE,"Var.Costs";#N/A,#N/A,TRUE,"Personnel";#N/A,#N/A,TRUE,"Other costs";#N/A,#N/A,TRUE,"MKTG and G&amp;A"}</definedName>
    <definedName function="false" hidden="true" name="nnh" vbProcedure="false">{"Pa1",#N/A,FALSE,"OpExYTDvsPY";"Pa2",#N/A,FALSE,"OpExYTDvsPY"}</definedName>
    <definedName function="false" hidden="true" name="nnn" vbProcedure="false">{#N/A,#N/A,FALSE,"TB";#N/A,#N/A,FALSE,"DR";#N/A,#N/A,FALSE,"AR";#N/A,#N/A,FALSE,"PL";#N/A,#N/A,FALSE,"BS";#N/A,#N/A,FALSE,"NOTES";#N/A,#N/A,FALSE,"NOTES (2)";#N/A,#N/A,FALSE,"NOTES (3)";#N/A,#N/A,FALSE,"DPL";#N/A,#N/A,FALSE,"TAXC.INDEX";#N/A,#N/A,FALSE,"Schedule I";#N/A,#N/A,FALSE,"Adjustments"}</definedName>
    <definedName function="false" hidden="true" name="nnnn" vbProcedure="false">{#N/A,#N/A,FALSE,"TB";#N/A,#N/A,FALSE,"DR";#N/A,#N/A,FALSE,"AR";#N/A,#N/A,FALSE,"BS";#N/A,#N/A,FALSE,"PL";#N/A,#N/A,FALSE,"NOTES";#N/A,#N/A,FALSE,"NOTES (2)";#N/A,#N/A,FALSE,"NOTES (3)";#N/A,#N/A,FALSE,"DPL";#N/A,#N/A,FALSE,"DPL"}</definedName>
    <definedName function="false" hidden="true" name="nnnnnn" vbProcedure="false">{#N/A,#N/A,FALSE,"Cristal D'Oro (Tabela)";#N/A,#N/A,FALSE,"Cond Rio Tietê (Tabela)";#N/A,#N/A,FALSE,"Jacyr Leal (Tabela)";#N/A,#N/A,FALSE,"Paul Cézanne (Tabela)";#N/A,#N/A,FALSE,"Tom Jobim  (Tabela)"}</definedName>
    <definedName function="false" hidden="true" name="noidea" vbProcedure="false">{#N/A,#N/A,FALSE,"Calc";#N/A,#N/A,FALSE,"Sensitivity";#N/A,#N/A,FALSE,"LT Earn.Dil.";#N/A,#N/A,FALSE,"Dil. AVP"}</definedName>
    <definedName function="false" hidden="true" name="noidea1" vbProcedure="false">{#N/A,#N/A,FALSE,"Calc";#N/A,#N/A,FALSE,"Sensitivity";#N/A,#N/A,FALSE,"LT Earn.Dil.";#N/A,#N/A,FALSE,"Dil. AVP"}</definedName>
    <definedName function="false" hidden="true" name="NOIDEA2" vbProcedure="false">{#N/A,#N/A,FALSE,"Calc";#N/A,#N/A,FALSE,"Sensitivity";#N/A,#N/A,FALSE,"LT Earn.Dil.";#N/A,#N/A,FALSE,"Dil. AVP"}</definedName>
    <definedName function="false" hidden="true" name="noidea3" vbProcedure="false">{#N/A,#N/A,FALSE,"Calc";#N/A,#N/A,FALSE,"Sensitivity";#N/A,#N/A,FALSE,"LT Earn.Dil.";#N/A,#N/A,FALSE,"Dil. AVP"}</definedName>
    <definedName function="false" hidden="true" name="noidea4" vbProcedure="false">{#N/A,#N/A,FALSE,"Calc";#N/A,#N/A,FALSE,"Sensitivity";#N/A,#N/A,FALSE,"LT Earn.Dil.";#N/A,#N/A,FALSE,"Dil. AVP"}</definedName>
    <definedName function="false" hidden="true" name="noidea5" vbProcedure="false">{#N/A,#N/A,FALSE,"Calc";#N/A,#N/A,FALSE,"Sensitivity";#N/A,#N/A,FALSE,"LT Earn.Dil.";#N/A,#N/A,FALSE,"Dil. AVP"}</definedName>
    <definedName function="false" hidden="true" name="noidea6" vbProcedure="false">{#N/A,#N/A,FALSE,"Calc";#N/A,#N/A,FALSE,"Sensitivity";#N/A,#N/A,FALSE,"LT Earn.Dil.";#N/A,#N/A,FALSE,"Dil. AVP"}</definedName>
    <definedName function="false" hidden="true" name="noidea7" vbProcedure="false">{#N/A,#N/A,FALSE,"Calc";#N/A,#N/A,FALSE,"Sensitivity";#N/A,#N/A,FALSE,"LT Earn.Dil.";#N/A,#N/A,FALSE,"Dil. AVP"}</definedName>
    <definedName function="false" hidden="true" name="None" vbProcedure="false">{"Summary analysis",#N/A,FALSE,"Total";"OCPH analysis",#N/A,FALSE,"Total";"detail analysis",#N/A,FALSE,"Total"}</definedName>
    <definedName function="false" hidden="true" name="NOTE" vbProcedure="false">{#N/A,#N/A,FALSE,"TB";#N/A,#N/A,FALSE,"AR";#N/A,#N/A,FALSE,"BS";#N/A,#N/A,FALSE,"PL";#N/A,#N/A,FALSE,"NOTES";#N/A,#N/A,FALSE,"NOTES (2)";#N/A,#N/A,FALSE,"NOTES (3)";#N/A,#N/A,FALSE,"TAXC.INDEX";#N/A,#N/A,FALSE,"Schedule I";#N/A,#N/A,FALSE,"DPL";#N/A,#N/A,FALSE,"Schedule IV";#N/A,#N/A,FALSE,"Adjustments"}</definedName>
    <definedName function="false" hidden="true" name="note1" vbProcedure="false">{#N/A,#N/A,FALSE,"TB";#N/A,#N/A,FALSE,"AR";#N/A,#N/A,FALSE,"BS";#N/A,#N/A,FALSE,"PL";#N/A,#N/A,FALSE,"NOTES";#N/A,#N/A,FALSE,"NOTES (2)";#N/A,#N/A,FALSE,"NOTES (3)";#N/A,#N/A,FALSE,"TAXC.INDEX";#N/A,#N/A,FALSE,"Schedule I";#N/A,#N/A,FALSE,"DPL";#N/A,#N/A,FALSE,"Schedule IV";#N/A,#N/A,FALSE,"Adjustments"}</definedName>
    <definedName function="false" hidden="true" name="noura" vbProcedure="false">{#N/A,#N/A,FALSE,"3";#N/A,#N/A,FALSE,"5";#N/A,#N/A,FALSE,"6";#N/A,#N/A,FALSE,"8";#N/A,#N/A,FALSE,"10";#N/A,#N/A,FALSE,"13";#N/A,#N/A,FALSE,"14";#N/A,#N/A,FALSE,"15";#N/A,#N/A,FALSE,"16"}</definedName>
    <definedName function="false" hidden="true" name="NOURA1" vbProcedure="false">{#N/A,#N/A,FALSE,"3";#N/A,#N/A,FALSE,"5";#N/A,#N/A,FALSE,"6";#N/A,#N/A,FALSE,"8";#N/A,#N/A,FALSE,"10";#N/A,#N/A,FALSE,"13";#N/A,#N/A,FALSE,"14";#N/A,#N/A,FALSE,"15";#N/A,#N/A,FALSE,"16"}</definedName>
    <definedName function="false" hidden="true" name="nouv" vbProcedure="false">{#N/A,#N/A,FALSE,"Pharm";#N/A,#N/A,FALSE,"WWCM"}</definedName>
    <definedName function="false" hidden="true" name="nsg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nuijh467" vbProcedure="false">{"detail",#N/A,FALSE,"mfg";"summary",#N/A,FALSE,"mfg"}</definedName>
    <definedName function="false" hidden="true" name="NUMBERFACTOR" vbProcedure="false">1000</definedName>
    <definedName function="false" hidden="true" name="Number_of_Payments" vbProcedure="false">MATCH(0.01,end_bal,-1)+1</definedName>
    <definedName function="false" hidden="true" name="nuovo"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o" vbProcedure="false">{"detail",#N/A,FALSE,"mfg";"summary",#N/A,FALSE,"mfg"}</definedName>
    <definedName function="false" hidden="true" name="oawl" vbProcedure="false">{#N/A,#N/A,FALSE,"TAXC.INDEX";#N/A,#N/A,FALSE,"Schedule I";#N/A,#N/A,FALSE,"Schedule  II";#N/A,#N/A,FALSE,"Schedule III"}</definedName>
    <definedName function="false" hidden="true" name="oay" vbProcedure="false">{#N/A,#N/A,FALSE,"TAXC.INDEX";#N/A,#N/A,FALSE,"Schedule I";#N/A,#N/A,FALSE,"Schedule  II";#N/A,#N/A,FALSE,"Schedule III"}</definedName>
    <definedName function="false" hidden="true" name="objd\" vbProcedure="false">{#N/A,#N/A,FALSE,"CONTENTS";#N/A,#N/A,FALSE,"DR";#N/A,#N/A,FALSE,"PL";#N/A,#N/A,FALSE,"BS";#N/A,#N/A,FALSE,"Cash Flow";#N/A,#N/A,FALSE,"NOTES";#N/A,#N/A,FALSE,"NOTES (FA)";#N/A,#N/A,FALSE,"Notes(3)";#N/A,#N/A,FALSE,"NOTES (4)";#N/A,#N/A,FALSE,"DP&amp;L";#N/A,#N/A,FALSE,"EXPENSES";#N/A,#N/A,FALSE,"EXPENSES-1"}</definedName>
    <definedName function="false" hidden="true" name="oclt" vbProcedure="false">{#N/A,#N/A,FALSE,"TAXC.INDEX";#N/A,#N/A,FALSE,"Schedule I";#N/A,#N/A,FALSE,"Schedule  II";#N/A,#N/A,FALSE,"Schedule III"}</definedName>
    <definedName function="false" hidden="true" name="oColCacctid" vbProcedure="false">#REF!</definedName>
    <definedName function="false" hidden="true" name="oels" vbProcedure="false">{#N/A,#N/A,FALSE,"DIR-REP";#N/A,#N/A,FALSE,"AUD-REPORT";#N/A,#N/A,FALSE,"P7L&amp;BS";#N/A,#N/A,FALSE,"NOTES";#N/A,#N/A,FALSE,"FA";#N/A,#N/A,FALSE,"NOTES (2)";#N/A,#N/A,FALSE,"Schedule  IV";#N/A,#N/A,FALSE,"Schedule V"}</definedName>
    <definedName function="false" hidden="true" name="ogvcl" vbProcedure="false">{#N/A,#N/A,FALSE,"TB";#N/A,#N/A,FALSE,"DR";#N/A,#N/A,FALSE,"AR";#N/A,#N/A,FALSE,"BS";#N/A,#N/A,FALSE,"PL";#N/A,#N/A,FALSE,"NOTES";#N/A,#N/A,FALSE,"NOTES (2)";#N/A,#N/A,FALSE,"NOTES (3)";#N/A,#N/A,FALSE,"DPL";#N/A,#N/A,FALSE,"DPL"}</definedName>
    <definedName function="false" hidden="true" name="oifd" vbProcedure="false">{"detail",#N/A,FALSE,"mfg";"summary",#N/A,FALSE,"mfg"}</definedName>
    <definedName function="false" hidden="true" name="oihu" vbProcedure="false">{#N/A,#N/A,FALSE,"TB";#N/A,#N/A,FALSE,"DR";#N/A,#N/A,FALSE,"AR";#N/A,#N/A,FALSE,"PL";#N/A,#N/A,FALSE,"BS";#N/A,#N/A,FALSE,"NOTES";#N/A,#N/A,FALSE,"NOTES (2)";#N/A,#N/A,FALSE,"NOTES (3)";#N/A,#N/A,FALSE,"DPL";#N/A,#N/A,FALSE,"TAXC.INDEX";#N/A,#N/A,FALSE,"Schedule I";#N/A,#N/A,FALSE,"Adjustments"}</definedName>
    <definedName function="false" hidden="true" name="oiirx" vbProcedure="false">{"net assets",#N/A,FALSE,"summary";"asset turnover",#N/A,FALSE,"summary";"orona",#N/A,FALSE,"summary"}</definedName>
    <definedName function="false" hidden="true" name="oimn" vbProcedure="false">{"QTD_PRS",#N/A,FALSE,"QTD"}</definedName>
    <definedName function="false" hidden="true" name="oins" vbProcedure="false">{"detail",#N/A,FALSE,"mfg";"summary",#N/A,FALSE,"mfg"}</definedName>
    <definedName function="false" hidden="true" name="oioi"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oioioioioi" vbProcedure="false">{"Pound Sterling",#N/A,TRUE,"PPD";"Pound Sterling",#N/A,TRUE,"Anaquest";"Pound Sterling",#N/A,TRUE,"Delta";"Pound Sterling",#N/A,TRUE,"INO"}</definedName>
    <definedName function="false" hidden="true" name="oioioioioioio" vbProcedure="false">{"Sum WW A",#N/A,FALSE,"FY95SLS";"Sum WW B",#N/A,FALSE,"FY95SLS";"Sum US A",#N/A,FALSE,"FY95SLS";"Sum US B",#N/A,FALSE,"FY95SLS";"Sum US Bocg",#N/A,FALSE,"FY95SLS";"Sum Can A",#N/A,FALSE,"FY95SLS";"Sum Can B",#N/A,FALSE,"FY95SLS";"Sum Europe",#N/A,FALSE,"FY95SLS";"Sum Row",#N/A,FALSE,"FY95SLS"}</definedName>
    <definedName function="false" hidden="true" name="oity" vbProcedure="false">{#N/A,"PURADD",FALSE,"Business Analysis";#N/A,"PURSPP",FALSE,"Business Analysis";#N/A,"CTGIND",FALSE,"Business Analysis";#N/A,"PURCHM",FALSE,"Business Analysis";#N/A,"SPADD",FALSE,"Business Analysis";#N/A,"EPOXY",FALSE,"Business Analysis";#N/A,"PURPER",FALSE,"Business Analysis"}</definedName>
    <definedName function="false" hidden="true" name="oiu" vbProcedure="false">{"AS REP",#N/A,FALSE,"EEFSNAP2";"PROP",#N/A,FALSE,"EEFSNAP2";"RISKS",#N/A,FALSE,"EEFSNAP2";"VIEW ALL",#N/A,FALSE,"EEFSNAP2"}</definedName>
    <definedName function="false" hidden="true" name="oiuouio" vbProcedure="false">{#N/A,#N/A,FALSE,"3";#N/A,#N/A,FALSE,"5";#N/A,#N/A,FALSE,"6";#N/A,#N/A,FALSE,"8";#N/A,#N/A,FALSE,"10";#N/A,#N/A,FALSE,"13";#N/A,#N/A,FALSE,"14";#N/A,#N/A,FALSE,"15";#N/A,#N/A,FALSE,"16"}</definedName>
    <definedName function="false" hidden="true" name="oiup" vbProcedure="false">{#N/A,"PURCHM",FALSE,"Business Analysis";#N/A,"SPADD",FALSE,"Business Analysis"}</definedName>
    <definedName function="false" hidden="true" name="oiuy" vbProcedure="false">{"Polymers Details",#N/A,FALSE,"Current Yr";"Polymer Details",#N/A,FALSE,"Budget";"Polymer Details",#N/A,FALSE,"Prior Year"}</definedName>
    <definedName function="false" hidden="true" name="oj" vbProcedure="false">{#N/A,#N/A,FALSE,"RGD$";#N/A,#N/A,FALSE,"BG$";#N/A,#N/A,FALSE,"FC$"}</definedName>
    <definedName function="false" hidden="true" name="OK" vbProcedure="false">{#N/A,#N/A,FALSE,"REPORT"}</definedName>
    <definedName function="false" hidden="true" name="okay" vbProcedure="false">{#N/A,#N/A,FALSE,"SF"}</definedName>
    <definedName function="false" hidden="true" name="oku"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ol" vbProcedure="false">{"vol data",#N/A,FALSE,"Datasheet";"vol graph",#N/A,FALSE,"Volume";"price data",#N/A,FALSE,"Datasheet";"price graph",#N/A,FALSE,"Price";"dp data",#N/A,FALSE,"Datasheet";"dp graph",#N/A,FALSE,"DirectProfit"}</definedName>
    <definedName function="false" hidden="true" name="old" vbProcedure="false">{"QIncStmt",#N/A,FALSE,"Quarter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function="false" hidden="true" name="omega" vbProcedure="false">{#N/A,#N/A,FALSE,"CHANGES";#N/A,#N/A,FALSE,"PROD SUMMARY";#N/A,#N/A,FALSE,"1995 PO SUM";#N/A,#N/A,FALSE,"1995 GEOG SUM";#N/A,#N/A,FALSE,"1996 PO SUM";#N/A,#N/A,FALSE,"1996 GEOG SUM"}</definedName>
    <definedName function="false" hidden="true" name="on" vbProcedure="false">{"overview",#N/A,FALSE,"summary";"net assets",#N/A,FALSE,"summary";"asset turnover",#N/A,FALSE,"summary";"orona",#N/A,FALSE,"summary"}</definedName>
    <definedName function="false" hidden="true" name="ONE" vbProcedure="false">{#N/A,#N/A,FALSE,"ARCSTEP"}</definedName>
    <definedName function="false" hidden="true" name="onj" vbProcedure="false">{"Pa1",#N/A,FALSE,"OpExYTDvsPY";"Pa2",#N/A,FALSE,"OpExYTDvsPY"}</definedName>
    <definedName function="false" hidden="true" name="ONLYRES" vbProcedure="false">TRUE()</definedName>
    <definedName function="false" hidden="true" name="oo" vbProcedure="false">{#N/A,#N/A,FALSE,"TAXC.INDEX";#N/A,#N/A,FALSE,"Schedule I";#N/A,#N/A,FALSE,"Schedule  II";#N/A,#N/A,FALSE,"Schedule III";#N/A,#N/A,FALSE,"Schedule IV";#N/A,#N/A,FALSE,"Schedule IV (Cont'd)";#N/A,#N/A,FALSE,"Schedule V";#N/A,#N/A,FALSE,"Schedule VI";#N/A,#N/A,FALSE,"Schedule VII"}</definedName>
    <definedName function="false" hidden="true" name="oo.ll" vbProcedure="false">{#N/A,#N/A,FALSE,"Umsatz HM";#N/A,#N/A,FALSE,"ER HM";#N/A,#N/A,FALSE,"EA HM  (2)";#N/A,#N/A,FALSE,"EA HM ";#N/A,#N/A,FALSE,"EA HM  (4)";#N/A,#N/A,FALSE,"EA HM  (3)";#N/A,#N/A,FALSE,"KA HM  (2)";#N/A,#N/A,FALSE,"KA HM";#N/A,#N/A,FALSE,"KA HM  (3)";#N/A,#N/A,FALSE,"KA HM (4)"}</definedName>
    <definedName function="false" hidden="true" name="oolo.lll" vbProcedure="false">{#N/A,#N/A,FALSE,"Umsatz 99";#N/A,#N/A,FALSE,"ER 99 "}</definedName>
    <definedName function="false" hidden="true" name="ooo" vbProcedure="false">{#N/A,#N/A,FALSE,"REPORT"}</definedName>
    <definedName function="false" hidden="true" name="oooo"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ooooo" vbProcedure="false">{#N/A,#N/A,FALSE,"Calc";#N/A,#N/A,FALSE,"Sensitivity";#N/A,#N/A,FALSE,"LT Earn.Dil.";#N/A,#N/A,FALSE,"Dil. AVP"}</definedName>
    <definedName function="false" hidden="true" name="oooooooo" vbProcedure="false">{#N/A,#N/A,FALSE,"Umsatz 99";#N/A,#N/A,FALSE,"ER 99 "}</definedName>
    <definedName function="false" hidden="true" name="oop" vbProcedure="false">{#N/A,#N/A,FALSE,"TB";#N/A,#N/A,FALSE,"DR";#N/A,#N/A,FALSE,"AR";#N/A,#N/A,FALSE,"BS";#N/A,#N/A,FALSE,"PL";#N/A,#N/A,FALSE,"NOTES";#N/A,#N/A,FALSE,"NOTES (2)";#N/A,#N/A,FALSE,"NOTES (3)";#N/A,#N/A,FALSE,"DPL";#N/A,#N/A,FALSE,"DPL"}</definedName>
    <definedName function="false" hidden="true" name="op" vbProcedure="false">{#N/A,#N/A,FALSE,"TB";#N/A,#N/A,FALSE,"DR";#N/A,#N/A,FALSE,"AR";#N/A,#N/A,FALSE,"PL";#N/A,#N/A,FALSE,"BS";#N/A,#N/A,FALSE,"NOTES";#N/A,#N/A,FALSE,"NOTES (2)";#N/A,#N/A,FALSE,"NOTES (3)";#N/A,#N/A,FALSE,"DPL";#N/A,#N/A,FALSE,"TAXC.INDEX";#N/A,#N/A,FALSE,"Schedule I";#N/A,#N/A,FALSE,"Adjustments"}</definedName>
    <definedName function="false" hidden="true" name="opendbs" vbProcedure="false">{"fis.dbo.r1_datasum"}</definedName>
    <definedName function="false" hidden="true" name="opendbs1" vbProcedure="false">{"fis.dbo.r1_datasum"}</definedName>
    <definedName function="false" hidden="true" name="operator" vbProcedure="false">#REF!</definedName>
    <definedName function="false" hidden="true" name="opiu" vbProcedure="false">{"Comp_of_Price_Effect",#N/A,FALSE,"QTRDPVAR"}</definedName>
    <definedName function="false" hidden="true" name="oplk" vbProcedure="false">{"Page1",#N/A,FALSE,"OpExJanvsBud";"Page2",#N/A,FALSE,"OpExJanvsBud"}</definedName>
    <definedName function="false" hidden="true" name="opndixm" vbProcedure="false">{"detail",#N/A,FALSE,"mfg";"summary",#N/A,FALSE,"mfg"}</definedName>
    <definedName function="false" hidden="true" name="opoiy" vbProcedure="false">{"Sum WW A",#N/A,FALSE,"FY95SLS";"Sum WW B",#N/A,FALSE,"FY95SLS";"Sum US A",#N/A,FALSE,"FY95SLS";"Sum US B",#N/A,FALSE,"FY95SLS";"Sum US Bocg",#N/A,FALSE,"FY95SLS";"Sum Can A",#N/A,FALSE,"FY95SLS";"Sum Can B",#N/A,FALSE,"FY95SLS";"Sum Europe",#N/A,FALSE,"FY95SLS";"Sum Row",#N/A,FALSE,"FY95SLS"}</definedName>
    <definedName function="false" hidden="true" name="opop" vbProcedure="false">{#N/A,#N/A,FALSE,"3";#N/A,#N/A,FALSE,"5";#N/A,#N/A,FALSE,"6";#N/A,#N/A,FALSE,"8";#N/A,#N/A,FALSE,"10";#N/A,#N/A,FALSE,"13";#N/A,#N/A,FALSE,"14";#N/A,#N/A,FALSE,"15";#N/A,#N/A,FALSE,"16"}</definedName>
    <definedName function="false" hidden="true" name="opopop" vbProcedure="false">{#N/A,#N/A,TRUE,"index";#N/A,#N/A,TRUE,"Summary";#N/A,#N/A,TRUE,"Continuing Business";#N/A,#N/A,TRUE,"Disposals";#N/A,#N/A,TRUE,"Acquisitions";#N/A,#N/A,TRUE,"Actual &amp; Plan Reconciliation"}</definedName>
    <definedName function="false" hidden="true" name="opopopopopo" vbProcedure="false">{"Units A",#N/A,FALSE,"FY95SLS";"Units B",#N/A,FALSE,"FY95SLS"}</definedName>
    <definedName function="false" hidden="true" name="Order2" vbProcedure="false">0</definedName>
    <definedName function="false" hidden="true" name="Orders" vbProcedure="false">{#N/A,#N/A,FALSE,"Presentation by Unit";#N/A,#N/A,FALSE,"Presentation by BD";#N/A,#N/A,FALSE,"Presentation Split by Biggest U";#N/A,#N/A,FALSE,"Presentation Split by Area";#N/A,#N/A,FALSE,"Presentation Split by BD"}</definedName>
    <definedName function="false" hidden="true" name="Order__1" vbProcedure="false">0</definedName>
    <definedName function="false" hidden="true" name="os" vbProcedure="false">{#N/A,#N/A,FALSE,"TB";#N/A,#N/A,FALSE,"AR";#N/A,#N/A,FALSE,"BS";#N/A,#N/A,FALSE,"PL";#N/A,#N/A,FALSE,"NOTES";#N/A,#N/A,FALSE,"NOTES (2)";#N/A,#N/A,FALSE,"NOTES (3)";#N/A,#N/A,FALSE,"TAXC.INDEX";#N/A,#N/A,FALSE,"Schedule I";#N/A,#N/A,FALSE,"DPL";#N/A,#N/A,FALSE,"Schedule IV";#N/A,#N/A,FALSE,"Adjustments"}</definedName>
    <definedName function="false" hidden="true" name="osahfdoidhf" vbProcedure="false">{#N/A,#N/A,FALSE,"CA";#N/A,#N/A,FALSE,"CN";#N/A,#N/A,FALSE,"Inv";#N/A,#N/A,FALSE,"Inv Acc";"Miguel_balance",#N/A,FALSE,"Bal";#N/A,#N/A,FALSE,"Plantilla";#N/A,#N/A,FALSE,"CA (2)";#N/A,#N/A,FALSE,"CN (2)"}</definedName>
    <definedName function="false" hidden="true" name="ose" vbProcedure="false">{#N/A,#N/A,TRUE,"COVER";#N/A,#N/A,TRUE,"DIR";#N/A,#N/A,TRUE,"AUDIT"}</definedName>
    <definedName function="false" hidden="true" name="ostls" vbProcedure="false">{#N/A,#N/A,FALSE,"TB";#N/A,#N/A,FALSE,"DR";#N/A,#N/A,FALSE,"AR";#N/A,#N/A,FALSE,"PL";#N/A,#N/A,FALSE,"BS";#N/A,#N/A,FALSE,"NOTES";#N/A,#N/A,FALSE,"NOTES (2)";#N/A,#N/A,FALSE,"NOTES (3)";#N/A,#N/A,FALSE,"DPL";#N/A,#N/A,FALSE,"TAXC.INDEX";#N/A,#N/A,FALSE,"Schedule I";#N/A,#N/A,FALSE,"Adjustments"}</definedName>
    <definedName function="false" hidden="true" name="other33" vbProcedure="false">{#N/A,#N/A,FALSE,"Pharm";#N/A,#N/A,FALSE,"WWCM"}</definedName>
    <definedName function="false" hidden="true" name="othermar" vbProcedure="false">{#N/A,#N/A,FALSE,"Pharm";#N/A,#N/A,FALSE,"WWCM"}</definedName>
    <definedName function="false" hidden="true" name="OTOTOT" vbProcedure="false">{#N/A,#N/A,FALSE,"00 P&amp;L vs 99"}</definedName>
    <definedName function="false" hidden="true" name="otuor" vbProcedure="false">{"Units A",#N/A,FALSE,"FY95SLS";"Units B",#N/A,FALSE,"FY95SLS"}</definedName>
    <definedName function="false" hidden="true" name="ou"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OUI" vbProcedure="false">{#N/A,#N/A,FALSE,"SF"}</definedName>
    <definedName function="false" hidden="true" name="our"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outro" vbProcedure="false">{"'comite'!$A$9:$G$44","'comite'!$A$1:$G$6"}</definedName>
    <definedName function="false" hidden="true" name="owejr" vbProcedure="false">{#N/A,#N/A,FALSE,"DIR-REP";#N/A,#N/A,FALSE,"AUD-REPORT";#N/A,#N/A,FALSE,"P7L&amp;BS";#N/A,#N/A,FALSE,"NOTES";#N/A,#N/A,FALSE,"FA";#N/A,#N/A,FALSE,"NOTES (2)";#N/A,#N/A,FALSE,"Schedule  IV";#N/A,#N/A,FALSE,"Schedule V"}</definedName>
    <definedName function="false" hidden="true" name="owmkib" vbProcedure="false">{"detail",#N/A,FALSE,"mfg";"summary",#N/A,FALSE,"mfg"}</definedName>
    <definedName function="false" hidden="true" name="oxclt" vbProcedure="false">{#N/A,#N/A,FALSE,"TB";#N/A,#N/A,FALSE,"DR";#N/A,#N/A,FALSE,"AR";#N/A,#N/A,FALSE,"PL";#N/A,#N/A,FALSE,"BS";#N/A,#N/A,FALSE,"NOTES";#N/A,#N/A,FALSE,"NOTES (2)";#N/A,#N/A,FALSE,"NOTES (3)";#N/A,#N/A,FALSE,"DPL";#N/A,#N/A,FALSE,"TAXC.INDEX";#N/A,#N/A,FALSE,"Schedule I";#N/A,#N/A,FALSE,"Adjustments"}</definedName>
    <definedName function="false" hidden="true" name="oxektl" vbProcedure="false">{#N/A,#N/A,FALSE,"TAXC.INDEX";#N/A,#N/A,FALSE,"Schedule I";#N/A,#N/A,FALSE,"Schedule  II";#N/A,#N/A,FALSE,"Schedule III";#N/A,#N/A,FALSE,"Schedule IV";#N/A,#N/A,FALSE,"Schedule IV (Cont'd)";#N/A,#N/A,FALSE,"Schedule V";#N/A,#N/A,FALSE,"Schedule VI";#N/A,#N/A,FALSE,"Schedule VII"}</definedName>
    <definedName function="false" hidden="true" name="Oxydizers" vbProcedure="false">#REF!</definedName>
    <definedName function="false" hidden="true" name="p.Covenants_Titles" vbProcedure="false">#REF!</definedName>
    <definedName function="false" hidden="true" name="p.LTM_BS" vbProcedure="false">#REF!</definedName>
    <definedName function="false" hidden="true" name="p.Summary" vbProcedure="false">#REF!</definedName>
    <definedName function="false" hidden="true" name="P.TEST.TEST" vbProcedure="false">{#N/A,#N/A,FALSE,"Assumptions";#N/A,#N/A,FALSE,"N-IS-Sum";#N/A,#N/A,FALSE,"N-St-Sum";#N/A,#N/A,FALSE,"Inc Stmt";#N/A,#N/A,FALSE,"Stats"}</definedName>
    <definedName function="false" hidden="true" name="p09i" vbProcedure="false">{#N/A,"PURADD",FALSE,"Business Analysis";#N/A,"PURSPP",FALSE,"Business Analysis";#N/A,"CTGIND",FALSE,"Business Analysis";#N/A,"PURCHM",FALSE,"Business Analysis";#N/A,"SPADD",FALSE,"Business Analysis";#N/A,"EPOXY",FALSE,"Business Analysis";#N/A,"PURPER",FALSE,"Business Analysis"}</definedName>
    <definedName function="false" hidden="true" name="p0io" vbProcedure="false">{#N/A,"PURCHM",FALSE,"Business Analysis";#N/A,"SPADD",FALSE,"Business Analysis"}</definedName>
    <definedName function="false" hidden="true" name="Pal_Workbook_GUID" vbProcedure="false">"8V8XGC7VJQFJHBX4EILV6F3R"</definedName>
    <definedName function="false" hidden="true" name="PASS" vbProcedure="false">"pepe"</definedName>
    <definedName function="false" hidden="true" name="pay" vbProcedure="false">{#N/A,#N/A,FALSE,"TB";#N/A,#N/A,FALSE,"DR";#N/A,#N/A,FALSE,"AR";#N/A,#N/A,FALSE,"BS";#N/A,#N/A,FALSE,"PL";#N/A,#N/A,FALSE,"NOTES";#N/A,#N/A,FALSE,"NOTES (2)";#N/A,#N/A,FALSE,"NOTES (3)";#N/A,#N/A,FALSE,"DPL";#N/A,#N/A,FALSE,"DPL"}</definedName>
    <definedName function="false" hidden="true" name="pb" vbProcedure="false">{"net assets",#N/A,FALSE,"summary";"asset turnover",#N/A,FALSE,"summary";"orona",#N/A,FALSE,"summary"}</definedName>
    <definedName function="false" hidden="true" name="PCA" vbProcedure="false">"BL7FKFTY6NDALOTZZF8PFRAS6"</definedName>
    <definedName function="false" hidden="true" name="pd" vbProcedure="false">{"detail",#N/A,FALSE,"mfg";"summary",#N/A,FALSE,"mfg"}</definedName>
    <definedName function="false" hidden="true" name="PEA" vbProcedure="false">{#N/A,#N/A,FALSE,"3";#N/A,#N/A,FALSE,"5";#N/A,#N/A,FALSE,"6";#N/A,#N/A,FALSE,"8";#N/A,#N/A,FALSE,"10";#N/A,#N/A,FALSE,"13";#N/A,#N/A,FALSE,"14";#N/A,#N/A,FALSE,"15";#N/A,#N/A,FALSE,"16"}</definedName>
    <definedName function="false" hidden="true" name="pepe" vbProcedure="false">{#N/A,#N/A,FALSE,"Pharm";#N/A,#N/A,FALSE,"WWCM"}</definedName>
    <definedName function="false" hidden="true" name="PEPE4" vbProcedure="false">{#N/A,#N/A,FALSE,"Pharm";#N/A,#N/A,FALSE,"WWCM"}</definedName>
    <definedName function="false" hidden="true" name="PEPE5" vbProcedure="false">{#N/A,#N/A,FALSE,"Pharm";#N/A,#N/A,FALSE,"WWCM"}</definedName>
    <definedName function="false" hidden="true" name="periodRow" vbProcedure="false">#REF!</definedName>
    <definedName function="false" hidden="true" name="perro"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PFKLE" vbProcedure="false">{#N/A,#N/A,FALSE,"00 P&amp;L vs 99"}</definedName>
    <definedName function="false" hidden="true" name="pg"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pharma" vbProcedure="false">{#N/A,#N/A,FALSE,"Sales Graph";#N/A,#N/A,FALSE,"PSBM";#N/A,#N/A,FALSE,"BUC Graph";#N/A,#N/A,FALSE,"P&amp;L - YTD"}</definedName>
    <definedName function="false" hidden="true" name="pi" vbProcedure="false">{"oct_res_comm",#N/A,FALSE,"VarToBud"}</definedName>
    <definedName function="false" hidden="true" name="PILAR" vbProcedure="false">{"detail",#N/A,FALSE,"mfg";"summary",#N/A,FALSE,"mfg"}</definedName>
    <definedName function="false" hidden="true" name="pilk" vbProcedure="false">{"YD LPH2",#N/A,FALSE,"YTD"}</definedName>
    <definedName function="false" hidden="true" name="pirs" vbProcedure="false">{#N/A,#N/A,FALSE,"TB";#N/A,#N/A,FALSE,"DR";#N/A,#N/A,FALSE,"AR";#N/A,#N/A,FALSE,"BS";#N/A,#N/A,FALSE,"PL";#N/A,#N/A,FALSE,"NOTES";#N/A,#N/A,FALSE,"NOTES (2)";#N/A,#N/A,FALSE,"NOTES (3)";#N/A,#N/A,FALSE,"DPL";#N/A,#N/A,FALSE,"DPL"}</definedName>
    <definedName function="false" hidden="true" name="PITTWAY" vbProcedure="false">{#N/A,#N/A,FALSE,"Che-Ga";#N/A,#N/A,FALSE,"Iv-Sm";#N/A,#N/A,FALSE,"So-We";#N/A,#N/A,FALSE,"Me-Po";#N/A,#N/A,FALSE,"Be-Bo";#N/A,#N/A,FALSE,"Cha-Ki";#N/A,#N/A,FALSE,"In";#N/A,#N/A,FALSE,"Schedule 23";#N/A,#N/A,FALSE,"Schedule 22";#N/A,#N/A,FALSE,"WACC"}</definedName>
    <definedName function="false" hidden="true" name="pittway1" vbProcedure="false">{#N/A,#N/A,FALSE,"Che-Ga";#N/A,#N/A,FALSE,"Iv-Sm";#N/A,#N/A,FALSE,"So-We";#N/A,#N/A,FALSE,"Me-Po";#N/A,#N/A,FALSE,"Be-Bo";#N/A,#N/A,FALSE,"Cha-Ki";#N/A,#N/A,FALSE,"In";#N/A,#N/A,FALSE,"Schedule 23";#N/A,#N/A,FALSE,"Schedule 22";#N/A,#N/A,FALSE,"WACC"}</definedName>
    <definedName function="false" hidden="true" name="pi_2"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pk" vbProcedure="false">{"vol data",#N/A,FALSE,"Datasheet";"vol graph",#N/A,FALSE,"Volume";"price data",#N/A,FALSE,"Datasheet";"price graph",#N/A,FALSE,"Price";"dp data",#N/A,FALSE,"Datasheet";"dp graph",#N/A,FALSE,"DirectProfit"}</definedName>
    <definedName function="false" hidden="true" name="pl" vbProcedure="false">{#N/A,#N/A,FALSE,"REPORT"}</definedName>
    <definedName function="false" hidden="true" name="play" vbProcedure="false">{#N/A,#N/A,FALSE,"TB";#N/A,#N/A,FALSE,"DR";#N/A,#N/A,FALSE,"AR";#N/A,#N/A,FALSE,"PL";#N/A,#N/A,FALSE,"BS";#N/A,#N/A,FALSE,"NOTES";#N/A,#N/A,FALSE,"NOTES (2)";#N/A,#N/A,FALSE,"NOTES (3)";#N/A,#N/A,FALSE,"DPL";#N/A,#N/A,FALSE,"TAXC.INDEX";#N/A,#N/A,FALSE,"Schedule I";#N/A,#N/A,FALSE,"Adjustments"}</definedName>
    <definedName function="false" hidden="true" name="PLCepi" vbProcedure="false">{#N/A,#N/A,FALSE,"REPORT"}</definedName>
    <definedName function="false" hidden="true" name="PLExrateRow" vbProcedure="false">#REF!</definedName>
    <definedName function="false" hidden="true" name="ploki"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PLProcef" vbProcedure="false">{#N/A,#N/A,FALSE,"REPORT"}</definedName>
    <definedName function="false" hidden="true" name="PLTaxol" vbProcedure="false">{#N/A,#N/A,FALSE,"REPORT"}</definedName>
    <definedName function="false" hidden="true" name="pmse" vbProcedure="false">{#N/A,#N/A,FALSE,"Eastern";#N/A,#N/A,FALSE,"Western"}</definedName>
    <definedName function="false" hidden="true" name="pmser" vbProcedure="false">{#N/A,#N/A,FALSE,"Eastern";#N/A,#N/A,FALSE,"Western"}</definedName>
    <definedName function="false" hidden="true" name="pmt" vbProcedure="false">{#N/A,#N/A,FALSE,"DIR-REP";#N/A,#N/A,FALSE,"AUD-REPORT";#N/A,#N/A,FALSE,"P7L&amp;BS";#N/A,#N/A,FALSE,"NOTES";#N/A,#N/A,FALSE,"FA";#N/A,#N/A,FALSE,"NOTES (2)";#N/A,#N/A,FALSE,"Schedule  IV";#N/A,#N/A,FALSE,"Schedule V"}</definedName>
    <definedName function="false" hidden="true" name="Pnl" vbProcedure="false">{#N/A,#N/A,FALSE,"Pharm";#N/A,#N/A,FALSE,"WWCM"}</definedName>
    <definedName function="false" hidden="true" name="pnsji5" vbProcedure="false">{#N/A,"PURCHM",FALSE,"Business Analysis";#N/A,"SPADD",FALSE,"Business Analysis"}</definedName>
    <definedName function="false" hidden="true" name="po" vbProcedure="false">{"detail",#N/A,FALSE,"mfg";"summary",#N/A,FALSE,"mfg"}</definedName>
    <definedName function="false" hidden="true" name="poc" vbProcedure="false">{#N/A,"PURADD",FALSE,"Business Analysis";#N/A,"PURSPP",FALSE,"Business Analysis";#N/A,"CTGIND",FALSE,"Business Analysis";#N/A,"PURCHM",FALSE,"Business Analysis";#N/A,"SPADD",FALSE,"Business Analysis";#N/A,"EPOXY",FALSE,"Business Analysis";#N/A,"PURPER",FALSE,"Business Analysis"}</definedName>
    <definedName function="false" hidden="true" name="poi"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poiu" vbProcedure="false">{"Performance Details",#N/A,FALSE,"Current Yr";"Performance Details",#N/A,FALSE,"Budget";"Performance Details",#N/A,FALSE,"Prior Year"}</definedName>
    <definedName function="false" hidden="true" name="pokj" vbProcedure="false">{"QTD_LOUISIANA",#N/A,FALSE,"QTD"}</definedName>
    <definedName function="false" hidden="true" name="pol" vbProcedure="false">{#N/A,#N/A,FALSE,"Eastern";#N/A,#N/A,FALSE,"Western"}</definedName>
    <definedName function="false" hidden="true" name="poo"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pool" vbProcedure="false">{#N/A,#N/A,FALSE,"pl";#N/A,#N/A,FALSE,"bs";#N/A,#N/A,FALSE,"fundflow"}</definedName>
    <definedName function="false" hidden="true" name="port29" vbProcedure="false">{#N/A,#N/A,FALSE,"Pharm";#N/A,#N/A,FALSE,"WWCM"}</definedName>
    <definedName function="false" hidden="true" name="powq" vbProcedure="false">{#N/A,"PURCHM",FALSE,"Business Analysis";#N/A,"SPADD",FALSE,"Business Analysis"}</definedName>
    <definedName function="false" hidden="true" name="pp" vbProcedure="false">{"detail",#N/A,FALSE,"mfg";"summary",#N/A,FALSE,"mfg"}</definedName>
    <definedName function="false" hidden="true" name="ppo" vbProcedure="false">{"YD LOUISIANA",#N/A,FALSE,"YTD"}</definedName>
    <definedName function="false" hidden="true" name="ppoi" vbProcedure="false">{#N/A,#N/A,FALSE,"TAXC.INDEX";#N/A,#N/A,FALSE,"Schedule I";#N/A,#N/A,FALSE,"Schedule  II";#N/A,#N/A,FALSE,"Schedule III";#N/A,#N/A,FALSE,"Schedule IV";#N/A,#N/A,FALSE,"Schedule IV (Cont'd)";#N/A,#N/A,FALSE,"Schedule V";#N/A,#N/A,FALSE,"Schedule VI";#N/A,#N/A,FALSE,"Schedule VII"}</definedName>
    <definedName function="false" hidden="true" name="ppp" vbProcedure="false">{#N/A,#N/A,FALSE,"Umsatz CH";#N/A,#N/A,FALSE,"ER CH";#N/A,#N/A,FALSE,"EA CH (2) ";#N/A,#N/A,FALSE,"EA CH";#N/A,#N/A,FALSE,"EA CH (3) ";#N/A,#N/A,FALSE,"EA CH (4)";#N/A,#N/A,FALSE,"KA CH";#N/A,#N/A,FALSE,"KA CH  (2)";#N/A,#N/A,FALSE,"KA CH  (3)";#N/A,#N/A,FALSE,"KA CH (4)"}</definedName>
    <definedName function="false" hidden="true" name="pppp" vbProcedure="false">{#N/A,#N/A,FALSE,"TB";#N/A,#N/A,FALSE,"AR";#N/A,#N/A,FALSE,"BS";#N/A,#N/A,FALSE,"PL";#N/A,#N/A,FALSE,"NOTES";#N/A,#N/A,FALSE,"NOTES (2)";#N/A,#N/A,FALSE,"NOTES (3)";#N/A,#N/A,FALSE,"TAXC.INDEX";#N/A,#N/A,FALSE,"Schedule I";#N/A,#N/A,FALSE,"DPL";#N/A,#N/A,FALSE,"Schedule IV";#N/A,#N/A,FALSE,"Adjustments"}</definedName>
    <definedName function="false" hidden="true" name="ppppp" vbProcedure="false">{"'Internat.oper.netti'!$B$1:$J$25"}</definedName>
    <definedName function="false" hidden="true" name="pqmjuz" vbProcedure="false">{"detail",#N/A,FALSE,"mfg";"summary",#N/A,FALSE,"mfg"}</definedName>
    <definedName function="false" hidden="true" name="prem" vbProcedure="false">{"Summary analysis",#N/A,FALSE,"Total";"OCPH analysis",#N/A,FALSE,"Total";"detail analysis",#N/A,FALSE,"Total"}</definedName>
    <definedName function="false" hidden="true" name="Prepayment" vbProcedure="false">{#N/A,#N/A,FALSE,"TB";#N/A,#N/A,FALSE,"AR";#N/A,#N/A,FALSE,"BS";#N/A,#N/A,FALSE,"PL";#N/A,#N/A,FALSE,"NOTES";#N/A,#N/A,FALSE,"NOTES (2)";#N/A,#N/A,FALSE,"NOTES (3)";#N/A,#N/A,FALSE,"TAXC.INDEX";#N/A,#N/A,FALSE,"Schedule I";#N/A,#N/A,FALSE,"DPL";#N/A,#N/A,FALSE,"Schedule IV";#N/A,#N/A,FALSE,"Adjustments"}</definedName>
    <definedName function="false" hidden="true" name="Pres" vbProcedure="false">{#N/A,#N/A,TRUE,"Cover sheet";#N/A,#N/A,TRUE,"Summary";#N/A,#N/A,TRUE,"Key Assumptions";#N/A,#N/A,TRUE,"Profit &amp; Loss";#N/A,#N/A,TRUE,"Balance Sheet";#N/A,#N/A,TRUE,"Cashflow";#N/A,#N/A,TRUE,"IRR";#N/A,#N/A,TRUE,"Ratios";#N/A,#N/A,TRUE,"Debt analysis"}</definedName>
    <definedName function="false" hidden="true"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Prezzovolumi2" vbProcedure="false">{#N/A,#N/A,FALSE,"Calc";#N/A,#N/A,FALSE,"Sensitivity";#N/A,#N/A,FALSE,"LT Earn.Dil.";#N/A,#N/A,FALSE,"Dil. AVP"}</definedName>
    <definedName function="false" hidden="false" name="Price" vbProcedure="false">#REF!</definedName>
    <definedName function="false" hidden="false" name="PRIMOCAD" vbProcedure="false">#REF!</definedName>
    <definedName function="false" hidden="false" name="PRIMOEUR" vbProcedure="false">#REF!</definedName>
    <definedName function="false" hidden="false" name="PRIMOHKD" vbProcedure="false">#REF!</definedName>
    <definedName function="false" hidden="false" name="PRIMONOK" vbProcedure="false">#REF!</definedName>
    <definedName function="false" hidden="false" name="PRIMOSAR" vbProcedure="false">#REF!</definedName>
    <definedName function="false" hidden="false" name="PRIMOTRY" vbProcedure="false">#REF!</definedName>
    <definedName function="false" hidden="false" name="PRIMOUSD" vbProcedure="false">#REF!</definedName>
    <definedName function="false" hidden="true" name="print4" vbProcedure="false">{#N/A,#N/A,FALSE,"Operations";#N/A,#N/A,FALSE,"Financials"}</definedName>
    <definedName function="false" hidden="false" name="Print_Area_2" vbProcedure="false">#REF!</definedName>
    <definedName function="false" hidden="true" name="Print_CSC_Report_2" vbProcedure="false">{"CSC_1",#N/A,FALSE,"CSC Outputs";"CSC_2",#N/A,FALSE,"CSC Outputs"}</definedName>
    <definedName function="false" hidden="true" name="Print_CSC_Report_3" vbProcedure="false">{"CSC_1",#N/A,FALSE,"CSC Outputs";"CSC_2",#N/A,FALSE,"CSC Outputs"}</definedName>
    <definedName function="false" hidden="true" name="Print_CSC_Report_4" vbProcedure="false">{"CSC_1",#N/A,FALSE,"CSC Outputs";"CSC_2",#N/A,FALSE,"CSC Outputs"}</definedName>
    <definedName function="false" hidden="false" name="Print_Titles_2" vbProcedure="false">#REF!</definedName>
    <definedName function="false" hidden="true" name="Procef" vbProcedure="false">{#N/A,#N/A,FALSE,"Pharm";#N/A,#N/A,FALSE,"WWCM"}</definedName>
    <definedName function="false" hidden="true" name="prod" vbProcedure="false">{#N/A,#N/A,FALSE,"Pharm";#N/A,#N/A,FALSE,"WWCM"}</definedName>
    <definedName function="false" hidden="true" name="Productivity" vbProcedure="false">{"Summary analysis",#N/A,FALSE,"Total";"OCPH analysis",#N/A,FALSE,"Total";"detail analysis",#N/A,FALSE,"Total"}</definedName>
    <definedName function="false" hidden="true" name="Prod_Chem_East" vbProcedure="false">"3VDP4WT35C17EWKXGR5TO37RA"</definedName>
    <definedName function="false" hidden="true" name="Profitability." vbProcedure="false">{#N/A,#N/A,FALSE,"Presentation by Unit";#N/A,#N/A,FALSE,"Presentation by BD";#N/A,#N/A,FALSE,"Presentation Split by Biggest U";#N/A,#N/A,FALSE,"Presentation Split by Area";#N/A,#N/A,FALSE,"Presentation Split by BD"}</definedName>
    <definedName function="false" hidden="true" name="PROGNOSIS" vbProcedure="false">"2000-1"</definedName>
    <definedName function="false" hidden="true" name="project1" vbProcedure="false">{#N/A,#N/A,FALSE,"3";#N/A,#N/A,FALSE,"5";#N/A,#N/A,FALSE,"6";#N/A,#N/A,FALSE,"8";#N/A,#N/A,FALSE,"10";#N/A,#N/A,FALSE,"13";#N/A,#N/A,FALSE,"14";#N/A,#N/A,FALSE,"15";#N/A,#N/A,FALSE,"16"}</definedName>
    <definedName function="false" hidden="true" name="project2" vbProcedure="false">{#N/A,#N/A,FALSE,"3";#N/A,#N/A,FALSE,"5";#N/A,#N/A,FALSE,"6";#N/A,#N/A,FALSE,"8";#N/A,#N/A,FALSE,"10";#N/A,#N/A,FALSE,"13";#N/A,#N/A,FALSE,"14";#N/A,#N/A,FALSE,"15";#N/A,#N/A,FALSE,"16"}</definedName>
    <definedName function="false" hidden="true" name="project3" vbProcedure="false">{#N/A,#N/A,FALSE,"3";#N/A,#N/A,FALSE,"5";#N/A,#N/A,FALSE,"6";#N/A,#N/A,FALSE,"8";#N/A,#N/A,FALSE,"10";#N/A,#N/A,FALSE,"13";#N/A,#N/A,FALSE,"14";#N/A,#N/A,FALSE,"15";#N/A,#N/A,FALSE,"16"}</definedName>
    <definedName function="false" hidden="true" name="promo" vbProcedure="false">{"'1998 FTC Promo Pk'!$A$6:$AB$28"}</definedName>
    <definedName function="false" hidden="true" name="PropostasAnalítico" vbProcedure="false">{#N/A,#N/A,FALSE,"Cristal D'Oro (Tabela)";#N/A,#N/A,FALSE,"Cond Rio Tietê (Tabela)";#N/A,#N/A,FALSE,"Jacyr Leal (Tabela)";#N/A,#N/A,FALSE,"Paul Cézanne (Tabela)";#N/A,#N/A,FALSE,"Tom Jobim  (Tabela)"}</definedName>
    <definedName function="false" hidden="true" name="prout" vbProcedure="false">{"comp1",#N/A,FALSE,"COMPS";"footnotes",#N/A,FALSE,"COMPS"}</definedName>
    <definedName function="false" hidden="true" name="prov" vbProcedure="false">{"Ergebnisbericht_UBA",#N/A,FALSE,"MB"}</definedName>
    <definedName function="false" hidden="true" name="prova"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PSM"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PTEeXToEUR" vbProcedure="false">1/eurextopte</definedName>
    <definedName function="false" hidden="true" name="PUB_FileID" vbProcedure="false">"L10004026.xls"</definedName>
    <definedName function="false" hidden="true" name="PUB_UserID" vbProcedure="false">"MAYERX"</definedName>
    <definedName function="false" hidden="true" name="pucspadd42" vbProcedure="false">{#N/A,"PURCHM",FALSE,"Business Analysis";#N/A,"SPADD",FALSE,"Business Analysis"}</definedName>
    <definedName function="false" hidden="true" name="puoipui" vbProcedure="false">{#N/A,#N/A,FALSE,"3";#N/A,#N/A,FALSE,"5";#N/A,#N/A,FALSE,"6";#N/A,#N/A,FALSE,"8";#N/A,#N/A,FALSE,"10";#N/A,#N/A,FALSE,"13";#N/A,#N/A,FALSE,"14";#N/A,#N/A,FALSE,"15";#N/A,#N/A,FALSE,"16"}</definedName>
    <definedName function="false" hidden="true" name="pupi" vbProcedure="false">{"YD OTHER",#N/A,FALSE,"YTD"}</definedName>
    <definedName function="false" hidden="true" name="put" vbProcedure="false">{#N/A,#N/A,FALSE,"TB";#N/A,#N/A,FALSE,"DR";#N/A,#N/A,FALSE,"AR";#N/A,#N/A,FALSE,"PL";#N/A,#N/A,FALSE,"BS";#N/A,#N/A,FALSE,"NOTES";#N/A,#N/A,FALSE,"NOTES (2)";#N/A,#N/A,FALSE,"NOTES (3)";#N/A,#N/A,FALSE,"DPL";#N/A,#N/A,FALSE,"TAXC.INDEX";#N/A,#N/A,FALSE,"Schedule I";#N/A,#N/A,FALSE,"Adjustments"}</definedName>
    <definedName function="false" hidden="true" name="pwoefu" vbProcedure="false">{#N/A,#N/A,TRUE,"Proposal";#N/A,#N/A,TRUE,"Assumptions";#N/A,#N/A,TRUE,"Net Income";#N/A,#N/A,TRUE,"Balsheet";#N/A,#N/A,TRUE,"Capex";#N/A,#N/A,TRUE,"Volumes";#N/A,#N/A,TRUE,"Revenues";#N/A,#N/A,TRUE,"Var.Costs";#N/A,#N/A,TRUE,"Personnel";#N/A,#N/A,TRUE,"Other costs";#N/A,#N/A,TRUE,"MKTG and G&amp;A"}</definedName>
    <definedName function="false" hidden="true" name="pwoefù" vbProcedure="false">{#N/A,#N/A,TRUE,"Proposal";#N/A,#N/A,TRUE,"Assumptions";#N/A,#N/A,TRUE,"Net Income";#N/A,#N/A,TRUE,"Balsheet";#N/A,#N/A,TRUE,"Capex";#N/A,#N/A,TRUE,"Volumes";#N/A,#N/A,TRUE,"Revenues";#N/A,#N/A,TRUE,"Var.Costs";#N/A,#N/A,TRUE,"Personnel";#N/A,#N/A,TRUE,"Other costs";#N/A,#N/A,TRUE,"MKTG and G&amp;A"}</definedName>
    <definedName function="false" hidden="false" name="PYME" vbProcedure="false">#REF!</definedName>
    <definedName function="false" hidden="true" name="pz" vbProcedure="false">{"Month Summary",#N/A,FALSE,"Summary";"Total Details",#N/A,FALSE,"Current Yr";"Polymers Details",#N/A,FALSE,"Current Yr";"Performance Details",#N/A,FALSE,"Current Yr";"ICD Details",#N/A,FALSE,"Current Yr"}</definedName>
    <definedName function="false" hidden="true" name="püpoüpoüpo" vbProcedure="false">{#N/A,#N/A,FALSE,"PMW Gruppe 99_98";#N/A,#N/A,FALSE,"PMW KG 98_99";#N/A,#N/A,FALSE,"PMW Inc. 99_98";#N/A,#N/A,FALSE,"PMW VTECH 99_98";#N/A,#N/A,FALSE,"PMW Thail. 99_98";#N/A,#N/A,FALSE,"PMW Canada 99_98";#N/A,#N/A,FALSE,"Währungsabw. 99_98"}</definedName>
    <definedName function="false" hidden="true" name="püpü" vbProcedure="false">{#N/A,#N/A,FALSE,"Umsatz 99";#N/A,#N/A,FALSE,"ER 99 "}</definedName>
    <definedName function="false" hidden="true" name="qaaaa" vbProcedure="false">{"detail",#N/A,FALSE,"mfg";"summary",#N/A,FALSE,"mfg"}</definedName>
    <definedName function="false" hidden="true" name="qaecdaze" vbProcedure="false">{"First Page",#N/A,FALSE,"Surfactants LBO";"Second Page",#N/A,FALSE,"Surfactants LBO"}</definedName>
    <definedName function="false" hidden="true" name="qas" vbProcedure="false">#REF!</definedName>
    <definedName function="false" hidden="true" name="qaz" vbProcedure="false">{#N/A,#N/A,FALSE,"Pharm";#N/A,#N/A,FALSE,"WWCM"}</definedName>
    <definedName function="false" hidden="true" name="QDFZRN" vbProcedure="false">#REF!</definedName>
    <definedName function="false" hidden="true" name="qe" vbProcedure="false">{#N/A,#N/A,FALSE,"TB";#N/A,#N/A,FALSE,"AR";#N/A,#N/A,FALSE,"BS";#N/A,#N/A,FALSE,"PL";#N/A,#N/A,FALSE,"NOTES";#N/A,#N/A,FALSE,"NOTES (2)";#N/A,#N/A,FALSE,"NOTES (3)";#N/A,#N/A,FALSE,"TAXC.INDEX";#N/A,#N/A,FALSE,"Schedule I";#N/A,#N/A,FALSE,"DPL";#N/A,#N/A,FALSE,"Schedule IV";#N/A,#N/A,FALSE,"Adjustments"}</definedName>
    <definedName function="false" hidden="true" name="qeazr" vbProcedure="false">{#N/A,#N/A,FALSE,"Eastern";#N/A,#N/A,FALSE,"Western"}</definedName>
    <definedName function="false" hidden="true" name="qegergqe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qegqerg" vbProcedure="false">{"Pound Sterling",#N/A,TRUE,"PPD";"Pound Sterling",#N/A,TRUE,"Anaquest";"Pound Sterling",#N/A,TRUE,"Delta";"Pound Sterling",#N/A,TRUE,"INO"}</definedName>
    <definedName function="false" hidden="true" name="qeqee" vbProcedure="false">{#N/A,#N/A,FALSE,"Produkte Erw.";#N/A,#N/A,FALSE,"Produkte Plan";#N/A,#N/A,FALSE,"Leistungen Erw.";#N/A,#N/A,FALSE,"Leistungen Plan";#N/A,#N/A,FALSE,"KA Allg.Kosten (2)";#N/A,#N/A,FALSE,"KA All.Kosten"}</definedName>
    <definedName function="false" hidden="true" name="qer" vbProcedure="false">{#N/A,#N/A,FALSE,"DIR-REP";#N/A,#N/A,FALSE,"AUD-REPORT";#N/A,#N/A,FALSE,"P7L&amp;BS";#N/A,#N/A,FALSE,"NOTES";#N/A,#N/A,FALSE,"FA";#N/A,#N/A,FALSE,"NOTES (2)";#N/A,#N/A,FALSE,"Schedule  IV";#N/A,#N/A,FALSE,"Schedule V"}</definedName>
    <definedName function="false" hidden="true" name="qergqe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qergqergqe" vbProcedure="false">{"Units A",#N/A,FALSE,"FY95SLS";"Units B",#N/A,FALSE,"FY95SLS"}</definedName>
    <definedName function="false" hidden="true" name="qertweyu" vbProcedure="false">{#N/A,#N/A,FALSE,"REPORT"}</definedName>
    <definedName function="false" hidden="true" name="qesd" vbProcedure="false">{"Page 1",#N/A,FALSE,"OpExJanVsPY";"Page 2",#N/A,FALSE,"OpExJanVsPY"}</definedName>
    <definedName function="false" hidden="true" name="qetryywt" vbProcedure="false">{#N/A,#N/A,FALSE,"REPORT"}</definedName>
    <definedName function="false" hidden="true" name="qf" vbProcedure="false">{#N/A,#N/A,TRUE,"Cover sheet";#N/A,#N/A,TRUE,"INPUTS";#N/A,#N/A,TRUE,"OUTPUTS";#N/A,#N/A,TRUE,"VALUATION"}</definedName>
    <definedName function="false" hidden="true" name="qfqsfd" vbProcedure="false">{#N/A,#N/A,FALSE,"EV.D.P.BC";#N/A,#N/A,FALSE,"EV.D.P.HC";#N/A,#N/A,FALSE,"EV.D.P.LC";#N/A,#N/A,FALSE,"AN.CIV.BC";#N/A,#N/A,FALSE,"AN.CIV.HC";#N/A,#N/A,FALSE,"AN.CIV.LC";#N/A,#N/A,FALSE,"Res.1";#N/A,#N/A,FALSE,"AN.GAZ.BC";#N/A,#N/A,FALSE,"AN.GAZ.HC";#N/A,#N/A,FALSE,"AN.GAZ.LC";#N/A,#N/A,FALSE,"AN.GAZ.BC M3";#N/A,#N/A,FALSE,"AN.GAZ.HC M3";#N/A,#N/A,FALSE,"AN.GAZ.LC M3";#N/A,#N/A,FALSE,"Res.2"}</definedName>
    <definedName function="false" hidden="true" name="qgg" vbProcedure="false">{#N/A,#N/A,FALSE,"Cover";"outputs total",#N/A,FALSE,"Outputs"}</definedName>
    <definedName function="false" hidden="true" name="qi" vbProcedure="false">{#N/A,"PURADD",FALSE,"Business Analysis";#N/A,"PURSPP",FALSE,"Business Analysis";#N/A,"CTGIND",FALSE,"Business Analysis";#N/A,"PURCHM",FALSE,"Business Analysis";#N/A,"SPADD",FALSE,"Business Analysis";#N/A,"EPOXY",FALSE,"Business Analysis";#N/A,"PURPER",FALSE,"Business Analysis"}</definedName>
    <definedName function="false" hidden="true" name="qink" vbProcedure="false">{#N/A,"PURCHM",FALSE,"Business Analysis";#N/A,"SPADD",FALSE,"Business Analysis"}</definedName>
    <definedName function="false" hidden="true" name="qp" vbProcedure="false">{"overview",#N/A,FALSE,"summary";"net assets",#N/A,FALSE,"summary";"asset turnover",#N/A,FALSE,"summary";"orona",#N/A,FALSE,"summary"}</definedName>
    <definedName function="false" hidden="true" name="qq" vbProcedure="false">{#N/A,#N/A,FALSE,"TB";#N/A,#N/A,FALSE,"DR";#N/A,#N/A,FALSE,"AR";#N/A,#N/A,FALSE,"PL";#N/A,#N/A,FALSE,"BS";#N/A,#N/A,FALSE,"NOTES";#N/A,#N/A,FALSE,"NOTES (2)";#N/A,#N/A,FALSE,"NOTES (3)";#N/A,#N/A,FALSE,"DPL";#N/A,#N/A,FALSE,"TAXC.INDEX";#N/A,#N/A,FALSE,"Schedule I";#N/A,#N/A,FALSE,"Adjustments"}</definedName>
    <definedName function="false" hidden="true" name="qqkkkkk" vbProcedure="false">{#N/A,"PURCHM",FALSE,"Business Analysis";#N/A,"SPADD",FALSE,"Business Analysis"}</definedName>
    <definedName function="false" hidden="true" name="qqq" vbProcedure="false">{#N/A,#N/A,FALSE,"Pharm";#N/A,#N/A,FALSE,"WWCM"}</definedName>
    <definedName function="false" hidden="true" name="qqqaa" vbProcedure="false">{"detail",#N/A,FALSE,"mfg";"summary",#N/A,FALSE,"mfg"}</definedName>
    <definedName function="false" hidden="true" name="qqqq" vbProcedure="false">{#N/A,#N/A,FALSE,"Umsatz EO BP";#N/A,#N/A,FALSE,"Umsatz EO OP";#N/A,#N/A,FALSE,"ER EO BP";#N/A,#N/A,FALSE,"ER EO OP";#N/A,#N/A,FALSE,"EA EO (2)";#N/A,#N/A,FALSE,"EA EO";#N/A,#N/A,FALSE,"EA EO (3)";#N/A,#N/A,FALSE,"EA EO (4)";#N/A,#N/A,FALSE,"KA EO  (2)";#N/A,#N/A,FALSE,"KA EO";#N/A,#N/A,FALSE,"KA EO  (3)";#N/A,#N/A,FALSE,"KA EO (4)"}</definedName>
    <definedName function="false" hidden="true" name="qqqq.q" vbProcedure="false">{#N/A,#N/A,FALSE,"TB";#N/A,#N/A,FALSE,"DR";#N/A,#N/A,FALSE,"AR";#N/A,#N/A,FALSE,"PL";#N/A,#N/A,FALSE,"BS";#N/A,#N/A,FALSE,"NOTES";#N/A,#N/A,FALSE,"NOTES (2)";#N/A,#N/A,FALSE,"NOTES (3)";#N/A,#N/A,FALSE,"DPL";#N/A,#N/A,FALSE,"TAXC.INDEX";#N/A,#N/A,FALSE,"Schedule I";#N/A,#N/A,FALSE,"Adjustments"}</definedName>
    <definedName function="false" hidden="true" name="qqqqq" vbProcedure="false">{#N/A,"PURCHM",FALSE,"Business Analysis";#N/A,"SPADD",FALSE,"Business Analysis"}</definedName>
    <definedName function="false" hidden="true" name="qqqqqq" vbProcedure="false">{"QTD_PRS",#N/A,FALSE,"QTD"}</definedName>
    <definedName function="false" hidden="true" name="qqqqqqq" vbProcedure="false">#REF!</definedName>
    <definedName function="false" hidden="true" name="qqqqqqqqqq" vbProcedure="false">{"pro_view",#N/A,FALSE,"EEFSNAP2";"rep_view",#N/A,FALSE,"EEFSNAP2"}</definedName>
    <definedName function="false" hidden="true" name="qqqqqqqqqqqqqq" vbProcedure="false">{#N/A,#N/A,FALSE,"IS INPUT";#N/A,#N/A,FALSE,"BS INPUT";#N/A,#N/A,FALSE,"IS MTH";#N/A,#N/A,FALSE,"IS LOCAL";#N/A,#N/A,FALSE,"WON ADJ";#N/A,#N/A,FALSE,"USD ADJ";#N/A,#N/A,FALSE,"EQUITY";#N/A,#N/A,FALSE,"IS US ";#N/A,#N/A,FALSE,"BS US"}</definedName>
    <definedName function="false" hidden="true" name="qqqqqqqqqqqqqqqq" vbProcedure="false">{#N/A,"PURADD",FALSE,"Business Analysis";#N/A,"PURSPP",FALSE,"Business Analysis";#N/A,"CTGIND",FALSE,"Business Analysis";#N/A,"PURCHM",FALSE,"Business Analysis";#N/A,"SPADD",FALSE,"Business Analysis";#N/A,"EPOXY",FALSE,"Business Analysis";#N/A,"PURPER",FALSE,"Business Analysis"}</definedName>
    <definedName function="false" hidden="true" name="qqqqqqqqqqqqqqqqqqq" vbProcedure="false">{"detail",#N/A,FALSE,"mfg";"summary",#N/A,FALSE,"mfg"}</definedName>
    <definedName function="false" hidden="true" name="qqqqqqqqqqqqqqqqqqqqqqqqqqqqqqqqqqqqqqqqqqqqqqqqqqqqqq" vbProcedure="false">{"TXO2N2_SLS",#N/A,FALSE,"MTHLYSLES";"TXH2_SLS",#N/A,FALSE,"MTHLYSLES";"LOUIS_SLS",#N/A,FALSE,"MTHLYSLES";"H2_SLS",#N/A,FALSE,"MTHLYSLES";"O2N2_SLS",#N/A,FALSE,"MTHLYSLES";"PACKAGE_SLS",#N/A,FALSE,"MTHLYSLES"}</definedName>
    <definedName function="false" hidden="true" name="qqwtweryey" vbProcedure="false">{#N/A,#N/A,FALSE,"REPORT"}</definedName>
    <definedName function="false" hidden="true" name="qr" vbProcedure="false">{"detail",#N/A,FALSE,"mfg";"summary",#N/A,FALSE,"mfg"}</definedName>
    <definedName function="false" hidden="true" name="qs" vbProcedure="false">{#N/A,"PURADD",FALSE,"Business Analysis";#N/A,"PURSPP",FALSE,"Business Analysis";#N/A,"CTGIND",FALSE,"Business Analysis";#N/A,"PURCHM",FALSE,"Business Analysis";#N/A,"SPADD",FALSE,"Business Analysis";#N/A,"EPOXY",FALSE,"Business Analysis";#N/A,"PURPER",FALSE,"Business Analysis"}</definedName>
    <definedName function="false" hidden="true" name="qscfaq" vbProcedure="false">{"First Page",#N/A,FALSE,"Surfactants LBO";"Second Page",#N/A,FALSE,"Surfactants LBO"}</definedName>
    <definedName function="false" hidden="true" name="qsd" vbProcedure="false">{#N/A,#N/A,TRUE,"Cover sheet";#N/A,#N/A,TRUE,"DCF analysis";#N/A,#N/A,TRUE,"WACC calculation"}</definedName>
    <definedName function="false" hidden="true" name="qsdf3" vbProcedure="false">{"Units A",#N/A,FALSE,"FY95SLS";"Units B",#N/A,FALSE,"FY95SLS"}</definedName>
    <definedName function="false" hidden="true" name="qsdjlgzerg" vbProcedure="false">{#N/A,#N/A,TRUE,"Cover sheet";#N/A,#N/A,TRUE,"DCF analysis";#N/A,#N/A,TRUE,"WACC calculation"}</definedName>
    <definedName function="false" hidden="true" name="qsfd" vbProcedure="false">{#N/A,#N/A,TRUE,"Cover sheet";#N/A,#N/A,TRUE,"INPUTS";#N/A,#N/A,TRUE,"OUTPUTS";#N/A,#N/A,TRUE,"VALUATION"}</definedName>
    <definedName function="false" hidden="true" name="qsqs" vbProcedure="false">{"vue1",#N/A,FALSE,"synthese";"vue2",#N/A,FALSE,"synthese"}</definedName>
    <definedName function="false" hidden="true" name="qssss" vbProcedure="false">{#N/A,"PURCHM",FALSE,"Business Analysis";#N/A,"SPADD",FALSE,"Business Analysis"}</definedName>
    <definedName function="false" hidden="true" name="qt" vbProcedure="false">{"oct_res_comm",#N/A,FALSE,"VarToBud"}</definedName>
    <definedName function="false" hidden="false" name="QtrRepMonths" vbProcedure="false">#REF!</definedName>
    <definedName function="false" hidden="true" name="qty" vbProcedure="false">{#N/A,#N/A,TRUE,"COVER";#N/A,#N/A,TRUE,"DIR";#N/A,#N/A,TRUE,"AUDIT"}</definedName>
    <definedName function="false" hidden="true" name="quality1" vbProcedure="false">{#N/A,#N/A,FALSE,"3";#N/A,#N/A,FALSE,"5";#N/A,#N/A,FALSE,"6";#N/A,#N/A,FALSE,"8";#N/A,#N/A,FALSE,"10";#N/A,#N/A,FALSE,"13";#N/A,#N/A,FALSE,"14";#N/A,#N/A,FALSE,"15";#N/A,#N/A,FALSE,"16"}</definedName>
    <definedName function="false" hidden="true" name="quality10" vbProcedure="false">{#N/A,#N/A,FALSE,"3";#N/A,#N/A,FALSE,"5";#N/A,#N/A,FALSE,"6";#N/A,#N/A,FALSE,"8";#N/A,#N/A,FALSE,"10";#N/A,#N/A,FALSE,"13";#N/A,#N/A,FALSE,"14";#N/A,#N/A,FALSE,"15";#N/A,#N/A,FALSE,"16"}</definedName>
    <definedName function="false" hidden="true" name="quality17" vbProcedure="false">{#N/A,#N/A,FALSE,"3";#N/A,#N/A,FALSE,"5";#N/A,#N/A,FALSE,"6";#N/A,#N/A,FALSE,"8";#N/A,#N/A,FALSE,"10";#N/A,#N/A,FALSE,"13";#N/A,#N/A,FALSE,"14";#N/A,#N/A,FALSE,"15";#N/A,#N/A,FALSE,"16"}</definedName>
    <definedName function="false" hidden="true" name="quality18" vbProcedure="false">{#N/A,#N/A,FALSE,"3";#N/A,#N/A,FALSE,"5";#N/A,#N/A,FALSE,"6";#N/A,#N/A,FALSE,"8";#N/A,#N/A,FALSE,"10";#N/A,#N/A,FALSE,"13";#N/A,#N/A,FALSE,"14";#N/A,#N/A,FALSE,"15";#N/A,#N/A,FALSE,"16"}</definedName>
    <definedName function="false" hidden="true" name="quality19" vbProcedure="false">{#N/A,#N/A,FALSE,"3";#N/A,#N/A,FALSE,"5";#N/A,#N/A,FALSE,"6";#N/A,#N/A,FALSE,"8";#N/A,#N/A,FALSE,"10";#N/A,#N/A,FALSE,"13";#N/A,#N/A,FALSE,"14";#N/A,#N/A,FALSE,"15";#N/A,#N/A,FALSE,"16"}</definedName>
    <definedName function="false" hidden="true" name="quality2" vbProcedure="false">{#N/A,#N/A,FALSE,"3";#N/A,#N/A,FALSE,"5";#N/A,#N/A,FALSE,"6";#N/A,#N/A,FALSE,"8";#N/A,#N/A,FALSE,"10";#N/A,#N/A,FALSE,"13";#N/A,#N/A,FALSE,"14";#N/A,#N/A,FALSE,"15";#N/A,#N/A,FALSE,"16"}</definedName>
    <definedName function="false" hidden="true" name="quality21" vbProcedure="false">{#N/A,#N/A,FALSE,"3";#N/A,#N/A,FALSE,"5";#N/A,#N/A,FALSE,"6";#N/A,#N/A,FALSE,"8";#N/A,#N/A,FALSE,"10";#N/A,#N/A,FALSE,"13";#N/A,#N/A,FALSE,"14";#N/A,#N/A,FALSE,"15";#N/A,#N/A,FALSE,"16"}</definedName>
    <definedName function="false" hidden="true" name="quality22" vbProcedure="false">{#N/A,#N/A,FALSE,"3";#N/A,#N/A,FALSE,"5";#N/A,#N/A,FALSE,"6";#N/A,#N/A,FALSE,"8";#N/A,#N/A,FALSE,"10";#N/A,#N/A,FALSE,"13";#N/A,#N/A,FALSE,"14";#N/A,#N/A,FALSE,"15";#N/A,#N/A,FALSE,"16"}</definedName>
    <definedName function="false" hidden="true" name="quality2à" vbProcedure="false">{#N/A,#N/A,FALSE,"3";#N/A,#N/A,FALSE,"5";#N/A,#N/A,FALSE,"6";#N/A,#N/A,FALSE,"8";#N/A,#N/A,FALSE,"10";#N/A,#N/A,FALSE,"13";#N/A,#N/A,FALSE,"14";#N/A,#N/A,FALSE,"15";#N/A,#N/A,FALSE,"16"}</definedName>
    <definedName function="false" hidden="true" name="quality3" vbProcedure="false">{#N/A,#N/A,FALSE,"3";#N/A,#N/A,FALSE,"5";#N/A,#N/A,FALSE,"6";#N/A,#N/A,FALSE,"8";#N/A,#N/A,FALSE,"10";#N/A,#N/A,FALSE,"13";#N/A,#N/A,FALSE,"14";#N/A,#N/A,FALSE,"15";#N/A,#N/A,FALSE,"16"}</definedName>
    <definedName function="false" hidden="true" name="quality4" vbProcedure="false">{#N/A,#N/A,FALSE,"3";#N/A,#N/A,FALSE,"5";#N/A,#N/A,FALSE,"6";#N/A,#N/A,FALSE,"8";#N/A,#N/A,FALSE,"10";#N/A,#N/A,FALSE,"13";#N/A,#N/A,FALSE,"14";#N/A,#N/A,FALSE,"15";#N/A,#N/A,FALSE,"16"}</definedName>
    <definedName function="false" hidden="true" name="quality5" vbProcedure="false">{#N/A,#N/A,FALSE,"3";#N/A,#N/A,FALSE,"5";#N/A,#N/A,FALSE,"6";#N/A,#N/A,FALSE,"8";#N/A,#N/A,FALSE,"10";#N/A,#N/A,FALSE,"13";#N/A,#N/A,FALSE,"14";#N/A,#N/A,FALSE,"15";#N/A,#N/A,FALSE,"16"}</definedName>
    <definedName function="false" hidden="true" name="quality7" vbProcedure="false">{#N/A,#N/A,FALSE,"3";#N/A,#N/A,FALSE,"5";#N/A,#N/A,FALSE,"6";#N/A,#N/A,FALSE,"8";#N/A,#N/A,FALSE,"10";#N/A,#N/A,FALSE,"13";#N/A,#N/A,FALSE,"14";#N/A,#N/A,FALSE,"15";#N/A,#N/A,FALSE,"16"}</definedName>
    <definedName function="false" hidden="true" name="quality8" vbProcedure="false">{#N/A,#N/A,FALSE,"3";#N/A,#N/A,FALSE,"5";#N/A,#N/A,FALSE,"6";#N/A,#N/A,FALSE,"8";#N/A,#N/A,FALSE,"10";#N/A,#N/A,FALSE,"13";#N/A,#N/A,FALSE,"14";#N/A,#N/A,FALSE,"15";#N/A,#N/A,FALSE,"16"}</definedName>
    <definedName function="false" hidden="true" name="quality9" vbProcedure="false">{#N/A,#N/A,FALSE,"3";#N/A,#N/A,FALSE,"5";#N/A,#N/A,FALSE,"6";#N/A,#N/A,FALSE,"8";#N/A,#N/A,FALSE,"10";#N/A,#N/A,FALSE,"13";#N/A,#N/A,FALSE,"14";#N/A,#N/A,FALSE,"15";#N/A,#N/A,FALSE,"16"}</definedName>
    <definedName function="false" hidden="true" name="QUATERVAT" vbProcedure="false">FALSE()</definedName>
    <definedName function="false" hidden="true" name="quot" vbProcedure="false">{#N/A,#N/A,FALSE,"TB";#N/A,#N/A,FALSE,"DR";#N/A,#N/A,FALSE,"AR";#N/A,#N/A,FALSE,"PL";#N/A,#N/A,FALSE,"BS";#N/A,#N/A,FALSE,"NOTES";#N/A,#N/A,FALSE,"NOTES (2)";#N/A,#N/A,FALSE,"NOTES (3)";#N/A,#N/A,FALSE,"DPL";#N/A,#N/A,FALSE,"TAXC.INDEX";#N/A,#N/A,FALSE,"Schedule I";#N/A,#N/A,FALSE,"Adjustments"}</definedName>
    <definedName function="false" hidden="true" name="qutp" vbProcedure="false">{#N/A,#N/A,FALSE,"DIR-REP";#N/A,#N/A,FALSE,"AUD-REPORT";#N/A,#N/A,FALSE,"P7L&amp;BS";#N/A,#N/A,FALSE,"NOTES";#N/A,#N/A,FALSE,"FA";#N/A,#N/A,FALSE,"NOTES (2)";#N/A,#N/A,FALSE,"Schedule  IV";#N/A,#N/A,FALSE,"Schedule V"}</definedName>
    <definedName function="false" hidden="true" name="qw" vbProcedure="false">{#N/A,#N/A,FALSE,"REPORT"}</definedName>
    <definedName function="false" hidden="true" name="qwdf" vbProcedure="false">{"Units A",#N/A,FALSE,"FY95SLS";"Units B",#N/A,FALSE,"FY95SLS"}</definedName>
    <definedName function="false" hidden="true" name="qwdvs" vbProcedure="false">{"US Dollars",#N/A,TRUE,"PPD";"US Dollar",#N/A,TRUE,"Anaquest";"US Dollar",#N/A,TRUE,"Delta";"US Dollar",#N/A,TRUE,"INO"}</definedName>
    <definedName function="false" hidden="true" name="qwe" vbProcedure="false">{#N/A,"PURADD",FALSE,"Business Analysis";#N/A,"PURSPP",FALSE,"Business Analysis";#N/A,"CTGIND",FALSE,"Business Analysis";#N/A,"PURCHM",FALSE,"Business Analysis";#N/A,"SPADD",FALSE,"Business Analysis";#N/A,"EPOXY",FALSE,"Business Analysis";#N/A,"PURPER",FALSE,"Business Analysis"}</definedName>
    <definedName function="false" hidden="true" name="qweqw" vbProcedure="false">{#N/A,#N/A,FALSE,"3";#N/A,#N/A,FALSE,"5";#N/A,#N/A,FALSE,"6";#N/A,#N/A,FALSE,"8";#N/A,#N/A,FALSE,"10";#N/A,#N/A,FALSE,"13";#N/A,#N/A,FALSE,"14";#N/A,#N/A,FALSE,"15";#N/A,#N/A,FALSE,"16"}</definedName>
    <definedName function="false" hidden="true" name="qweqwesg" vbProcedure="false">{#N/A,#N/A,FALSE,"Umsatz CH";#N/A,#N/A,FALSE,"ER CH";#N/A,#N/A,FALSE,"EA CH (2) ";#N/A,#N/A,FALSE,"EA CH";#N/A,#N/A,FALSE,"EA CH (3) ";#N/A,#N/A,FALSE,"EA CH (4)";#N/A,#N/A,FALSE,"KA CH";#N/A,#N/A,FALSE,"KA CH  (2)";#N/A,#N/A,FALSE,"KA CH  (3)";#N/A,#N/A,FALSE,"KA CH (4)"}</definedName>
    <definedName function="false" hidden="true" name="qwer" vbProcedure="false">{"pro_view",#N/A,FALSE,"EEFSNAP2";"rep_view",#N/A,FALSE,"EEFSNAP2"}</definedName>
    <definedName function="false" hidden="true" name="qwerrtyu" vbProcedure="false">{"Sum WW A",#N/A,FALSE,"FY95SLS";"Sum WW B",#N/A,FALSE,"FY95SLS";"Sum US A",#N/A,FALSE,"FY95SLS";"Sum US B",#N/A,FALSE,"FY95SLS";"Sum US Bocg",#N/A,FALSE,"FY95SLS";"Sum Can A",#N/A,FALSE,"FY95SLS";"Sum Can B",#N/A,FALSE,"FY95SLS";"Sum Europe",#N/A,FALSE,"FY95SLS";"Sum Row",#N/A,FALSE,"FY95SLS"}</definedName>
    <definedName function="false" hidden="true" name="qwer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qwertqry" vbProcedure="false">{#N/A,#N/A,FALSE,"REPORT"}</definedName>
    <definedName function="false" hidden="true" name="qwerty" vbProcedure="false">{"Sum WW A",#N/A,FALSE,"FY95SLS";"Sum WW B",#N/A,FALSE,"FY95SLS";"Sum US A",#N/A,FALSE,"FY95SLS";"Sum US B",#N/A,FALSE,"FY95SLS";"Sum US Bocg",#N/A,FALSE,"FY95SLS";"Sum Can A",#N/A,FALSE,"FY95SLS";"Sum Can B",#N/A,FALSE,"FY95SLS";"Sum Europe",#N/A,FALSE,"FY95SLS";"Sum Row",#N/A,FALSE,"FY95SLS"}</definedName>
    <definedName function="false" hidden="true" name="qwetqryetytu" vbProcedure="false">{#N/A,#N/A,FALSE,"Pharm";#N/A,#N/A,FALSE,"WWCM"}</definedName>
    <definedName function="false" hidden="true" name="qwqewqe" vbProcedure="false">{#N/A,#N/A,FALSE,"3";#N/A,#N/A,FALSE,"5";#N/A,#N/A,FALSE,"6";#N/A,#N/A,FALSE,"8";#N/A,#N/A,FALSE,"10";#N/A,#N/A,FALSE,"13";#N/A,#N/A,FALSE,"14";#N/A,#N/A,FALSE,"15";#N/A,#N/A,FALSE,"16"}</definedName>
    <definedName function="false" hidden="true" name="qwrd" vbProcedure="false">{"ACT",#N/A,FALSE,"Q3Elec P&amp;L fy 99  ";"BUD",#N/A,FALSE,"Q3Elec P&amp;L fy 99  ";"PRIOR",#N/A,FALSE,"Q3Elec P&amp;L fy 99  "}</definedName>
    <definedName function="false" hidden="true" name="qws" vbProcedure="false">{"QTD_OTHER",#N/A,FALSE,"QTD"}</definedName>
    <definedName function="false" hidden="true" name="qwsa"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qwsd"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qwz" vbProcedure="false">{"QTD_HYCO",#N/A,FALSE,"QTD"}</definedName>
    <definedName function="false" hidden="true" name="r.CashFlow" vbProcedure="false">#REF!</definedName>
    <definedName function="false" hidden="true" name="r.Liquidity" vbProcedure="false">#REF!</definedName>
    <definedName function="false" hidden="true" name="r.LTMInterim" vbProcedure="false">#REF!</definedName>
    <definedName function="false" hidden="true" name="r.Profitability" vbProcedure="false">#REF!</definedName>
    <definedName function="false" hidden="true" name="rad" vbProcedure="false">{"PACKAGE",#N/A,FALSE,"CM"}</definedName>
    <definedName function="false" hidden="true" name="RangeChange" vbProcedure="false">#N/A</definedName>
    <definedName function="false" hidden="true" name="ray" vbProcedure="false">{#N/A,#N/A,FALSE,"TB";#N/A,#N/A,FALSE,"AR";#N/A,#N/A,FALSE,"BS";#N/A,#N/A,FALSE,"PL";#N/A,#N/A,FALSE,"NOTES";#N/A,#N/A,FALSE,"NOTES (2)";#N/A,#N/A,FALSE,"NOTES (3)";#N/A,#N/A,FALSE,"TAXC.INDEX";#N/A,#N/A,FALSE,"Schedule I";#N/A,#N/A,FALSE,"DPL";#N/A,#N/A,FALSE,"Schedule IV";#N/A,#N/A,FALSE,"Adjustments"}</definedName>
    <definedName function="false" hidden="true" name="rd" vbProcedure="false">{"oct_res_comm",#N/A,FALSE,"VarToBud"}</definedName>
    <definedName function="false" hidden="true" name="rderere" vbProcedure="false">{"'comite'!$A$9:$G$44","'comite'!$A$1:$G$6"}</definedName>
    <definedName function="false" hidden="true" name="rdrhd" vbProcedure="false">{"Units A",#N/A,FALSE,"FY95SLS";"Units B",#N/A,FALSE,"FY95SLS"}</definedName>
    <definedName function="false" hidden="true" name="rdx" vbProcedure="false">{"oct_res_comm",#N/A,FALSE,"VarToBud"}</definedName>
    <definedName function="false" hidden="true" name="rea"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false" name="Real_currency" vbProcedure="false">#REF!</definedName>
    <definedName function="false" hidden="true" name="redo" vbProcedure="false">{#N/A,#N/A,FALSE,"ACQ_GRAPHS";#N/A,#N/A,FALSE,"T_1 GRAPHS";#N/A,#N/A,FALSE,"T_2 GRAPHS";#N/A,#N/A,FALSE,"COMB_GRAPHS"}</definedName>
    <definedName function="false" hidden="true" name="redoo" vbProcedure="false">{#N/A,#N/A,FALSE,"ACQ_GRAPHS";#N/A,#N/A,FALSE,"T_1 GRAPHS";#N/A,#N/A,FALSE,"T_2 GRAPHS";#N/A,#N/A,FALSE,"COMB_GRAPHS"}</definedName>
    <definedName function="false" hidden="true" name="reer" vbProcedure="false">{#N/A,#N/A,FALSE,"3";#N/A,#N/A,FALSE,"5";#N/A,#N/A,FALSE,"6";#N/A,#N/A,FALSE,"8";#N/A,#N/A,FALSE,"10";#N/A,#N/A,FALSE,"13";#N/A,#N/A,FALSE,"14";#N/A,#N/A,FALSE,"15";#N/A,#N/A,FALSE,"16"}</definedName>
    <definedName function="false" hidden="true" name="refreshActual" vbProcedure="false">#REF!</definedName>
    <definedName function="false" hidden="true" name="refreshBudget" vbProcedure="false">#REF!</definedName>
    <definedName function="false" hidden="true" name="refreshCOA" vbProcedure="false">#REF!</definedName>
    <definedName function="false" hidden="true" name="regeg" vbProcedure="false">{"general",#N/A,FALSE,"Assumptions"}</definedName>
    <definedName function="false" hidden="true" name="regerge" vbProcedure="false">{#N/A,#N/A,FALSE,"3";#N/A,#N/A,FALSE,"5";#N/A,#N/A,FALSE,"6";#N/A,#N/A,FALSE,"8";#N/A,#N/A,FALSE,"10";#N/A,#N/A,FALSE,"13";#N/A,#N/A,FALSE,"14";#N/A,#N/A,FALSE,"15";#N/A,#N/A,FALSE,"16"}</definedName>
    <definedName function="false" hidden="true" name="reggie" vbProcedure="false">{#N/A,#N/A,FALSE,"Pharm";#N/A,#N/A,FALSE,"WWCM"}</definedName>
    <definedName function="false" hidden="false" name="Regions_input" vbProcedure="false">#REF!</definedName>
    <definedName function="false" hidden="false" name="Region_1" vbProcedure="false">#REF!</definedName>
    <definedName function="false" hidden="false" name="Region_2" vbProcedure="false">#REF!</definedName>
    <definedName function="false" hidden="false" name="Region_3" vbProcedure="false">#REF!</definedName>
    <definedName function="false" hidden="false" name="Region_4" vbProcedure="false">#REF!</definedName>
    <definedName function="false" hidden="true" name="regrg" vbProcedure="false">{"comp1",#N/A,FALSE,"COMPS";"footnotes",#N/A,FALSE,"COMPS"}</definedName>
    <definedName function="false" hidden="true" name="rename_of_wrn.CSC" vbProcedure="false">{"page1",#N/A,TRUE,"CSC";"page2",#N/A,TRUE,"CSC"}</definedName>
    <definedName function="false" hidden="true" name="renata" vbProcedure="false">{"'comite'!$A$9:$G$44","'comite'!$A$1:$G$6"}</definedName>
    <definedName function="false" hidden="true" name="renatar" vbProcedure="false">{"'comite'!$A$9:$G$44","'comite'!$A$1:$G$6"}</definedName>
    <definedName function="false" hidden="true" name="Rengo" vbProcedure="false">#REF!</definedName>
    <definedName function="false" hidden="true" name="REP" vbProcedure="false">#REF!</definedName>
    <definedName function="false" hidden="true" name="report3" vbProcedure="false">{"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function="false" hidden="false" name="ReportCreated" vbProcedure="false">TRUE()</definedName>
    <definedName function="false" hidden="true" name="ReportGroup" vbProcedure="false">0</definedName>
    <definedName function="false" hidden="false" name="Report_Version_4" vbProcedure="false">"A1"</definedName>
    <definedName function="false" hidden="true" name="rer" vbProcedure="false">{#N/A,#N/A,FALSE,"Operations";#N/A,#N/A,FALSE,"Financials"}</definedName>
    <definedName function="false" hidden="true" name="RESERVED_DATA" vbProcedure="false">#REF!</definedName>
    <definedName function="false" hidden="true" name="resp." vbProcedure="false">{#N/A,#N/A,FALSE,"Pharm";#N/A,#N/A,FALSE,"WWCM"}</definedName>
    <definedName function="false" hidden="true" name="RESUMO1" vbProcedure="false">{#N/A,"Tabelas de quantidade",FALSE,"Entradas";"CLIENTE",#N/A,FALSE,"HW";"CLIENTE",#N/A,FALSE,"SW";"CLIENTE",#N/A,FALSE,"TELESSUP.";"CLIENTE",#N/A,FALSE,"DCN &amp; Acess";"CLIENTE",#N/A,FALSE,"Sobressalentes";"CLIENTE",#N/A,FALSE,"Mat. Instal.";"CLIENTE",#N/A,FALSE,"Doc. Técnica";"CLIENTE",#N/A,FALSE,"Serviços";"CLIENTE",#N/A,FALSE,"Treinamento"}</definedName>
    <definedName function="false" hidden="true" name="ResumoPropostas" vbProcedure="false">{#N/A,#N/A,FALSE,"Cristal D'Oro (Tabela)";#N/A,#N/A,FALSE,"Cond Rio Tietê (Tabela)";#N/A,#N/A,FALSE,"Jacyr Leal (Tabela)";#N/A,#N/A,FALSE,"Paul Cézanne (Tabela)";#N/A,#N/A,FALSE,"Tom Jobim  (Tabela)"}</definedName>
    <definedName function="false" hidden="true" name="returns2"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name="Revenue_Keyword" vbProcedure="false">#REF!</definedName>
    <definedName function="false" hidden="true" name="rewq" vbProcedure="false">{"sales growth",#N/A,FALSE,"summary";"oper income",#N/A,FALSE,"summary";"oros rank",#N/A,FALSE,"summary";"net assets",#N/A,FALSE,"summary";"asset turnover",#N/A,FALSE,"summary";"orona",#N/A,FALSE,"summary"}</definedName>
    <definedName function="false" hidden="true" name="rewqfe" vbProcedure="false">{#N/A,#N/A,FALSE,"3";#N/A,#N/A,FALSE,"5";#N/A,#N/A,FALSE,"6";#N/A,#N/A,FALSE,"8";#N/A,#N/A,FALSE,"10";#N/A,#N/A,FALSE,"13";#N/A,#N/A,FALSE,"14";#N/A,#N/A,FALSE,"15";#N/A,#N/A,FALSE,"16"}</definedName>
    <definedName function="false" hidden="true" name="rewtet" vbProcedure="false">{#N/A,#N/A,FALSE,"Umsatz 99";#N/A,#N/A,FALSE,"ER 99 "}</definedName>
    <definedName function="false" hidden="true" name="reyrey" vbProcedure="false">{#N/A,#N/A,FALSE,"3";#N/A,#N/A,FALSE,"5";#N/A,#N/A,FALSE,"6";#N/A,#N/A,FALSE,"8";#N/A,#N/A,FALSE,"10";#N/A,#N/A,FALSE,"13";#N/A,#N/A,FALSE,"14";#N/A,#N/A,FALSE,"15";#N/A,#N/A,FALSE,"16"}</definedName>
    <definedName function="false" hidden="true" name="rezq" vbProcedure="false">{"vue1",#N/A,FALSE,"synthese";"vue2",#N/A,FALSE,"synthese"}</definedName>
    <definedName function="false" hidden="true" name="reztetrert" vbProcedure="false">{"comps",#N/A,FALSE,"HANDPACK";"footnotes",#N/A,FALSE,"HANDPACK"}</definedName>
    <definedName function="false" hidden="true" name="rf" vbProcedure="false">{#N/A,#N/A,FALSE,"TAXC.INDEX";#N/A,#N/A,FALSE,"Schedule I";#N/A,#N/A,FALSE,"Schedule  II";#N/A,#N/A,FALSE,"Schedule III";#N/A,#N/A,FALSE,"Schedule IV";#N/A,#N/A,FALSE,"Schedule IV (Cont'd)";#N/A,#N/A,FALSE,"Schedule V";#N/A,#N/A,FALSE,"Schedule VI";#N/A,#N/A,FALSE,"Schedule VII"}</definedName>
    <definedName function="false" hidden="true" name="rf2e" vbProcedure="false">{#N/A,#N/A,FALSE,"Pharm";#N/A,#N/A,FALSE,"WWCM"}</definedName>
    <definedName function="false" hidden="true" name="rgfag" vbProcedure="false">{"comps2",#N/A,FALSE,"AERO";"footnotes",#N/A,FALSE,"AERO"}</definedName>
    <definedName function="false" hidden="true" name="rhdrh" vbProcedure="false">{"Sum WW A",#N/A,FALSE,"FY95SLS";"Sum WW B",#N/A,FALSE,"FY95SLS";"Sum US A",#N/A,FALSE,"FY95SLS";"Sum US B",#N/A,FALSE,"FY95SLS";"Sum US Bocg",#N/A,FALSE,"FY95SLS";"Sum Can A",#N/A,FALSE,"FY95SLS";"Sum Can B",#N/A,FALSE,"FY95SLS";"Sum Europe",#N/A,FALSE,"FY95SLS";"Sum Row",#N/A,FALSE,"FY95SLS"}</definedName>
    <definedName function="false" hidden="true" name="rhrh" vbProcedure="false">{"Units A",#N/A,FALSE,"FY95SLS";"Units B",#N/A,FALSE,"FY95SLS"}</definedName>
    <definedName function="false" hidden="true" name="rhrhr" vbProcedure="false">{"Sum WW A",#N/A,FALSE,"FY95SLS";"Sum WW B",#N/A,FALSE,"FY95SLS";"Sum US A",#N/A,FALSE,"FY95SLS";"Sum US B",#N/A,FALSE,"FY95SLS";"Sum US Bocg",#N/A,FALSE,"FY95SLS";"Sum Can A",#N/A,FALSE,"FY95SLS";"Sum Can B",#N/A,FALSE,"FY95SLS";"Sum Europe",#N/A,FALSE,"FY95SLS";"Sum Row",#N/A,FALSE,"FY95SLS"}</definedName>
    <definedName function="false" hidden="true" name="rhsdrhr" vbProcedure="false">{"Units A",#N/A,FALSE,"FY95SLS";"Units B",#N/A,FALSE,"FY95SLS"}</definedName>
    <definedName function="false" hidden="true" name="ricardo1" vbProcedure="false">{#N/A,#N/A,FALSE,"Cristal D'Oro (Tabela)";#N/A,#N/A,FALSE,"Cond Rio Tietê (Tabela)";#N/A,#N/A,FALSE,"Jacyr Leal (Tabela)";#N/A,#N/A,FALSE,"Paul Cézanne (Tabela)";#N/A,#N/A,FALSE,"Tom Jobim  (Tabela)"}</definedName>
    <definedName function="false" hidden="true" name="RiskAfterRecalcMacro" vbProcedure="false">""</definedName>
    <definedName function="false" hidden="true" name="RiskAfterSimMacro" vbProcedure="false">""</definedName>
    <definedName function="false" hidden="true" name="RiskBeforeRecalcMacro" vbProcedure="false">""</definedName>
    <definedName function="false" hidden="true" name="RiskBeforeSimMacro" vbProcedure="false">""</definedName>
    <definedName function="false" hidden="true" name="RiskCollectDistributionSamples" vbProcedure="false">2</definedName>
    <definedName function="false" hidden="true" name="RiskFixedSeed" vbProcedure="false">1</definedName>
    <definedName function="false" hidden="true" name="Riskfree" vbProcedure="false">#REF!</definedName>
    <definedName function="false" hidden="true" name="RiskHasSettings" vbProcedure="false">5</definedName>
    <definedName function="false" hidden="true" name="RiskMinimizeOnStart" vbProcedure="false">FALSE()</definedName>
    <definedName function="false" hidden="true" name="RiskMonitorConvergence" vbProcedure="false">FALSE()</definedName>
    <definedName function="false" hidden="true" name="RiskMultipleCPUSupportEnabled" vbProcedure="false">TRUE()</definedName>
    <definedName function="false" hidden="true" name="RiskNumIterations" vbProcedure="false">100</definedName>
    <definedName function="false" hidden="true" name="RiskNumSimulations" vbProcedure="false">1</definedName>
    <definedName function="false" hidden="true" name="RiskPauseOnError" vbProcedure="false">FALSE()</definedName>
    <definedName function="false" hidden="true" name="RiskRunAfterRecalcMacro" vbProcedure="false">FALSE()</definedName>
    <definedName function="false" hidden="true" name="RiskRunAfterSimMacro" vbProcedure="false">FALSE()</definedName>
    <definedName function="false" hidden="true" name="RiskRunBeforeRecalcMacro" vbProcedure="false">FALSE()</definedName>
    <definedName function="false" hidden="true" name="RiskRunBeforeSimMacro" vbProcedure="false">FALSE()</definedName>
    <definedName function="false" hidden="true" name="RiskSamplingType" vbProcedure="false">3</definedName>
    <definedName function="false" hidden="true" name="RiskStandardRecalc" vbProcedure="false">1</definedName>
    <definedName function="false" hidden="true" name="RiskUpdateDisplay" vbProcedure="false">FALSE()</definedName>
    <definedName function="false" hidden="true" name="RiskUseDifferentSeedForEachSim" vbProcedure="false">FALSE()</definedName>
    <definedName function="false" hidden="true" name="RiskUseFixedSeed" vbProcedure="false">FALSE()</definedName>
    <definedName function="false" hidden="true" name="RiskUseMultipleCPUs" vbProcedure="false">TRUE()</definedName>
    <definedName function="false" hidden="true" name="rixi" vbProcedure="false">{"oct_res_comm",#N/A,FALSE,"VarToBud"}</definedName>
    <definedName function="false" hidden="true" name="rjod" vbProcedure="false">{"detail",#N/A,FALSE,"mfg";"summary",#N/A,FALSE,"mfg"}</definedName>
    <definedName function="false" hidden="true" name="rkods" vbProcedure="false">{"detail",#N/A,FALSE,"mfg";"summary",#N/A,FALSE,"mfg"}</definedName>
    <definedName function="false" hidden="true" name="rmc"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false" name="rngDvalBFP" vbProcedure="false">#REF!</definedName>
    <definedName function="false" hidden="false" name="rngDvalCurrency" vbProcedure="false">#REF!</definedName>
    <definedName function="false" hidden="false" name="rngDvalCY" vbProcedure="false">#REF!</definedName>
    <definedName function="false" hidden="false" name="rngDvalDenomination" vbProcedure="false">#REF!</definedName>
    <definedName function="false" hidden="false" name="rngDvalMonths" vbProcedure="false">#REF!</definedName>
    <definedName function="false" hidden="false" name="rngDvalTimeline" vbProcedure="false">#REF!</definedName>
    <definedName function="false" hidden="false" name="rngDvalYTDNotation1" vbProcedure="false">#REF!</definedName>
    <definedName function="false" hidden="false" name="rngDvalYTDNotation2" vbProcedure="false">#REF!</definedName>
    <definedName function="false" hidden="false" name="rngSelCurrency" vbProcedure="false">#REF!</definedName>
    <definedName function="false" hidden="true" name="Rob" vbProcedure="false">{"Pound Sterling",#N/A,TRUE,"PPD";"Pound Sterling",#N/A,TRUE,"Anaquest";"Pound Sterling",#N/A,TRUE,"Delta";"Pound Sterling",#N/A,TRUE,"INO"}</definedName>
    <definedName function="false" hidden="true" name="rowlayoutStart" vbProcedure="false">#REF!</definedName>
    <definedName function="false" hidden="false" name="RowsInSheet" vbProcedure="false">_xlfn.lambda(_xlpm.array, MAX(IF(ISBLANK(_xlpm.array), 0, ROW(_xlpm.array))))</definedName>
    <definedName function="false" hidden="true" name="rowType" vbProcedure="false">#REF!</definedName>
    <definedName function="false" hidden="true" name="rqwrqwrq" vbProcedure="false">{#N/A,#N/A,FALSE,"3";#N/A,#N/A,FALSE,"5";#N/A,#N/A,FALSE,"6";#N/A,#N/A,FALSE,"8";#N/A,#N/A,FALSE,"10";#N/A,#N/A,FALSE,"13";#N/A,#N/A,FALSE,"14";#N/A,#N/A,FALSE,"15";#N/A,#N/A,FALSE,"16"}</definedName>
    <definedName function="false" hidden="true" name="rr" vbProcedure="false">{"detail",#N/A,FALSE,"mfg";"summary",#N/A,FALSE,"mfg"}</definedName>
    <definedName function="false" hidden="true" name="rr.kk" vbProcedure="false">{#N/A,#N/A,FALSE,"Umsatz CH";#N/A,#N/A,FALSE,"ER CH";#N/A,#N/A,FALSE,"EA CH (2) ";#N/A,#N/A,FALSE,"EA CH";#N/A,#N/A,FALSE,"EA CH (3) ";#N/A,#N/A,FALSE,"EA CH (4)";#N/A,#N/A,FALSE,"KA CH";#N/A,#N/A,FALSE,"KA CH  (2)";#N/A,#N/A,FALSE,"KA CH  (3)";#N/A,#N/A,FALSE,"KA CH (4)"}</definedName>
    <definedName function="false" hidden="true" name="rrr" vbProcedure="false">{#N/A,"PURCHM",FALSE,"Business Analysis";#N/A,"SPADD",FALSE,"Business Analysis"}</definedName>
    <definedName function="false" hidden="true" name="rrrr" vbProcedure="false">{"vol data",#N/A,FALSE,"Datasheet";"vol graph",#N/A,FALSE,"Volume";"price data",#N/A,FALSE,"Datasheet";"price graph",#N/A,FALSE,"Price";"dp data",#N/A,FALSE,"Datasheet";"dp graph",#N/A,FALSE,"DirectProfit"}</definedName>
    <definedName function="false" hidden="true" name="rrrrr" vbProcedure="false">{#N/A,#N/A,FALSE,"Pharm";#N/A,#N/A,FALSE,"WWCM"}</definedName>
    <definedName function="false" hidden="true" name="rrrrrr" vbProcedure="false">{"cash plan",#N/A,FALSE,"fccashflow"}</definedName>
    <definedName function="false" hidden="true" name="rsac" vbProcedure="false">{"PAGE 1",#N/A,FALSE,"COS Excluding Geismar";"PAGE 2",#N/A,FALSE,"COS Excluding Geismar";"PAGE 3",#N/A,FALSE,"COS Excluding Geismar"}</definedName>
    <definedName function="false" hidden="true" name="rt" vbProcedure="false">{"detail",#N/A,FALSE,"mfg";"summary",#N/A,FALSE,"mfg"}</definedName>
    <definedName function="false" hidden="true" name="rtds" vbProcedure="false">{"ICD Details",#N/A,FALSE,"Current Yr";"ICD Details",#N/A,FALSE,"Budget";"ICD Details",#N/A,FALSE,"Prior Year"}</definedName>
    <definedName function="false" hidden="true" name="rtfg" vbProcedure="false">{"LAPO2N2",#N/A,FALSE,"CM";"TOTTEXAS",#N/A,FALSE,"CM";"LOUISIANA",#N/A,FALSE,"CM";"GENERALH2",#N/A,FALSE,"CM";"PRS",#N/A,FALSE,"CM";"PACKAGE",#N/A,FALSE,"CM";"OTHER",#N/A,FALSE,"CM"}</definedName>
    <definedName function="false" hidden="true" name="rtgh" vbProcedure="false">{#N/A,#N/A,TRUE,"Sheet1";#N/A,#N/A,TRUE,"Sheet2";#N/A,#N/A,TRUE,"Sheet3";#N/A,#N/A,TRUE,"Sheet4";#N/A,#N/A,TRUE,"Sheet5";#N/A,#N/A,TRUE,"Sheet6";#N/A,#N/A,TRUE,"Sheet7"}</definedName>
    <definedName function="false" hidden="true" name="rtnb" vbProcedure="false">{"vol data",#N/A,FALSE,"Datasheet";"vol graph",#N/A,FALSE,"Volume";"price data",#N/A,FALSE,"Datasheet";"price graph",#N/A,FALSE,"Price";"dp data",#N/A,FALSE,"Datasheet";"dp graph",#N/A,FALSE,"DirectProfit"}</definedName>
    <definedName function="false" hidden="true" name="rtqe" vbProcedure="false">{"Units A",#N/A,FALSE,"FY95SLS";"Units B",#N/A,FALSE,"FY95SLS"}</definedName>
    <definedName function="false" hidden="true" name="rtrae"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rtre" vbProcedure="false">{#N/A,#N/A,FALSE,"Umsatz CH";#N/A,#N/A,FALSE,"ER CH";#N/A,#N/A,FALSE,"EA CH (2) ";#N/A,#N/A,FALSE,"EA CH";#N/A,#N/A,FALSE,"EA CH (3) ";#N/A,#N/A,FALSE,"EA CH (4)";#N/A,#N/A,FALSE,"KA CH";#N/A,#N/A,FALSE,"KA CH  (2)";#N/A,#N/A,FALSE,"KA CH  (3)";#N/A,#N/A,FALSE,"KA CH (4)"}</definedName>
    <definedName function="false" hidden="true" name="rturtu" vbProcedure="false">{#N/A,#N/A,FALSE,"3";#N/A,#N/A,FALSE,"5";#N/A,#N/A,FALSE,"6";#N/A,#N/A,FALSE,"8";#N/A,#N/A,FALSE,"10";#N/A,#N/A,FALSE,"13";#N/A,#N/A,FALSE,"14";#N/A,#N/A,FALSE,"15";#N/A,#N/A,FALSE,"16"}</definedName>
    <definedName function="false" hidden="true" name="rturtutr" vbProcedure="false">{#N/A,#N/A,FALSE,"3";#N/A,#N/A,FALSE,"5";#N/A,#N/A,FALSE,"6";#N/A,#N/A,FALSE,"8";#N/A,#N/A,FALSE,"10";#N/A,#N/A,FALSE,"13";#N/A,#N/A,FALSE,"14";#N/A,#N/A,FALSE,"15";#N/A,#N/A,FALSE,"16"}</definedName>
    <definedName function="false" hidden="true" name="rturtutrut" vbProcedure="false">{#N/A,#N/A,FALSE,"3";#N/A,#N/A,FALSE,"5";#N/A,#N/A,FALSE,"6";#N/A,#N/A,FALSE,"8";#N/A,#N/A,FALSE,"10";#N/A,#N/A,FALSE,"13";#N/A,#N/A,FALSE,"14";#N/A,#N/A,FALSE,"15";#N/A,#N/A,FALSE,"16"}</definedName>
    <definedName function="false" hidden="true" name="rtut" vbProcedure="false">{#N/A,#N/A,FALSE,"3";#N/A,#N/A,FALSE,"5";#N/A,#N/A,FALSE,"6";#N/A,#N/A,FALSE,"8";#N/A,#N/A,FALSE,"10";#N/A,#N/A,FALSE,"13";#N/A,#N/A,FALSE,"14";#N/A,#N/A,FALSE,"15";#N/A,#N/A,FALSE,"16"}</definedName>
    <definedName function="false" hidden="true" name="rtutrut" vbProcedure="false">{#N/A,#N/A,FALSE,"3";#N/A,#N/A,FALSE,"5";#N/A,#N/A,FALSE,"6";#N/A,#N/A,FALSE,"8";#N/A,#N/A,FALSE,"10";#N/A,#N/A,FALSE,"13";#N/A,#N/A,FALSE,"14";#N/A,#N/A,FALSE,"15";#N/A,#N/A,FALSE,"16"}</definedName>
    <definedName function="false" hidden="true" name="rty" vbProcedure="false">{"ICD Details",#N/A,FALSE,"Current Yr";"ICD Details",#N/A,FALSE,"Budget";"ICD Details",#N/A,FALSE,"Prior Year"}</definedName>
    <definedName function="false" hidden="true" name="rtyu" vbProcedure="false">{"BA detail",#N/A,FALSE,"Q3YTD "}</definedName>
    <definedName function="false" hidden="true" name="run"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name="russ" vbProcedure="false">{"'Inventory &amp; Anal-Cur Wkbk'!$A$7:$AP$71"}</definedName>
    <definedName function="false" hidden="true" name="Ruth" vbProcedure="false">{#N/A,#N/A,FALSE,"Presentation by Unit";#N/A,#N/A,FALSE,"Presentation by BD";#N/A,#N/A,FALSE,"Presentation Split by Biggest U";#N/A,#N/A,FALSE,"Presentation Split by Area";#N/A,#N/A,FALSE,"Presentation Split by BD"}</definedName>
    <definedName function="false" hidden="true" name="ruufo" vbProcedure="false">{"detail",#N/A,FALSE,"mfg";"summary",#N/A,FALSE,"mfg"}</definedName>
    <definedName function="false" hidden="true" name="rv" vbProcedure="false">{"apci",#N/A,FALSE,"Chem_CY";"eastman",#N/A,FALSE,"Eastman";"betz",#N/A,FALSE,"Betz";"great lakes",#N/A,FALSE,"Great_Lakes";"hercules",#N/A,FALSE,"Hercules Chem Seg Data";"rohm",#N/A,FALSE,"Rohm";"union carbide",#N/A,FALSE,"Union";"witco",#N/A,FALSE,"Witco"}</definedName>
    <definedName function="false" hidden="true" name="rw" vbProcedure="false">{#N/A,"PURADD",FALSE,"Business Analysis";#N/A,"PURSPP",FALSE,"Business Analysis";#N/A,"CTGIND",FALSE,"Business Analysis";#N/A,"PURCHM",FALSE,"Business Analysis";#N/A,"SPADD",FALSE,"Business Analysis";#N/A,"EPOXY",FALSE,"Business Analysis";#N/A,"PURPER",FALSE,"Business Analysis"}</definedName>
    <definedName function="false" hidden="true" name="rweq" vbProcedure="false">{"TEXO2N2_VOL",#N/A,FALSE,"MTHLYVOL";"TEXH2_VOL",#N/A,FALSE,"MTHLYVOL";"LOUIS_VOL",#N/A,FALSE,"MTHLYVOL";"H2_VOL",#N/A,FALSE,"MTHLYVOL";"O2N2_VOL",#N/A,FALSE,"MTHLYVOL";"PACKAGE_VOL",#N/A,FALSE,"MTHLYVOL"}</definedName>
    <definedName function="false" hidden="true" name="rwert" vbProcedure="false">{#N/A,#N/A,FALSE,"Pharm";#N/A,#N/A,FALSE,"WWCM"}</definedName>
    <definedName function="false" hidden="true" name="rwetwertrey" vbProcedure="false">{"Units A",#N/A,FALSE,"FY95SLS";"Units B",#N/A,FALSE,"FY95SLS"}</definedName>
    <definedName function="false" hidden="true" name="rwew"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rwqrqwrw" vbProcedure="false">{#N/A,#N/A,FALSE,"3";#N/A,#N/A,FALSE,"5";#N/A,#N/A,FALSE,"6";#N/A,#N/A,FALSE,"8";#N/A,#N/A,FALSE,"10";#N/A,#N/A,FALSE,"13";#N/A,#N/A,FALSE,"14";#N/A,#N/A,FALSE,"15";#N/A,#N/A,FALSE,"16"}</definedName>
    <definedName function="false" hidden="true" name="rwr" vbProcedure="false">{"CSC_1",#N/A,FALSE,"CSC Outputs";"CSC_2",#N/A,FALSE,"CSC Outputs"}</definedName>
    <definedName function="false" hidden="true" name="rwsz" vbProcedure="false">{"Commentary",#N/A,FALSE,"May"}</definedName>
    <definedName function="false" hidden="true" name="rwxz" vbProcedure="false">{"TXO2N2_SLS",#N/A,FALSE,"MTHLYSLES";"TXH2_SLS",#N/A,FALSE,"MTHLYSLES";"LOUIS_SLS",#N/A,FALSE,"MTHLYSLES";"H2_SLS",#N/A,FALSE,"MTHLYSLES";"O2N2_SLS",#N/A,FALSE,"MTHLYSLES";"PACKAGE_SLS",#N/A,FALSE,"MTHLYSLES"}</definedName>
    <definedName function="false" hidden="true" name="rxs" vbProcedure="false">{"Month Summary",#N/A,FALSE,"Summary";"Total Details",#N/A,FALSE,"Current Yr";"Polymers Details",#N/A,FALSE,"Current Yr";"Performance Details",#N/A,FALSE,"Current Yr";"ICD Details",#N/A,FALSE,"Current Yr"}</definedName>
    <definedName function="false" hidden="true" name="ryer" vbProcedure="false">{#N/A,#N/A,FALSE,"3";#N/A,#N/A,FALSE,"5";#N/A,#N/A,FALSE,"6";#N/A,#N/A,FALSE,"8";#N/A,#N/A,FALSE,"10";#N/A,#N/A,FALSE,"13";#N/A,#N/A,FALSE,"14";#N/A,#N/A,FALSE,"15";#N/A,#N/A,FALSE,"16"}</definedName>
    <definedName function="false" hidden="true" name="ryti" vbProcedure="false">{"Sum WW A",#N/A,FALSE,"FY95SLS";"Sum WW B",#N/A,FALSE,"FY95SLS";"Sum US A",#N/A,FALSE,"FY95SLS";"Sum US B",#N/A,FALSE,"FY95SLS";"Sum US Bocg",#N/A,FALSE,"FY95SLS";"Sum Can A",#N/A,FALSE,"FY95SLS";"Sum Can B",#N/A,FALSE,"FY95SLS";"Sum Europe",#N/A,FALSE,"FY95SLS";"Sum Row",#N/A,FALSE,"FY95SLS"}</definedName>
    <definedName function="false" hidden="true" name="ryyry" vbProcedure="false">{#N/A,#N/A,FALSE,"3";#N/A,#N/A,FALSE,"5";#N/A,#N/A,FALSE,"6";#N/A,#N/A,FALSE,"8";#N/A,#N/A,FALSE,"10";#N/A,#N/A,FALSE,"13";#N/A,#N/A,FALSE,"14";#N/A,#N/A,FALSE,"15";#N/A,#N/A,FALSE,"16"}</definedName>
    <definedName function="false" hidden="false" name="R_Kto" vbProcedure="false">#REF!</definedName>
    <definedName function="false" hidden="false" name="R_Sum" vbProcedure="false">#REF!</definedName>
    <definedName function="false" hidden="true" name="s.summit" vbProcedure="false">{#N/A,#N/A,FALSE,"TB";#N/A,#N/A,FALSE,"DR";#N/A,#N/A,FALSE,"AR";#N/A,#N/A,FALSE,"PL";#N/A,#N/A,FALSE,"BS";#N/A,#N/A,FALSE,"NOTES";#N/A,#N/A,FALSE,"NOTES (2)";#N/A,#N/A,FALSE,"NOTES (3)";#N/A,#N/A,FALSE,"DPL";#N/A,#N/A,FALSE,"TAXC.INDEX";#N/A,#N/A,FALSE,"Schedule I";#N/A,#N/A,FALSE,"Adjustments"}</definedName>
    <definedName function="false" hidden="true" name="sadf" vbProcedure="false">{"'Internat.oper.netti'!$B$1:$J$25"}</definedName>
    <definedName function="false" hidden="true" name="sadv" vbProcedure="false">#REF!</definedName>
    <definedName function="false" hidden="true" name="safasf" vbProcedure="false">{#N/A,#N/A,FALSE,"3";#N/A,#N/A,FALSE,"5";#N/A,#N/A,FALSE,"6";#N/A,#N/A,FALSE,"8";#N/A,#N/A,FALSE,"10";#N/A,#N/A,FALSE,"13";#N/A,#N/A,FALSE,"14";#N/A,#N/A,FALSE,"15";#N/A,#N/A,FALSE,"16"}</definedName>
    <definedName function="false" hidden="true" name="safd" vbProcedure="false">{#N/A,"PURADD",FALSE,"Business Analysis";#N/A,"PURSPP",FALSE,"Business Analysis";#N/A,"CTGIND",FALSE,"Business Analysis";#N/A,"PURCHM",FALSE,"Business Analysis";#N/A,"SPADD",FALSE,"Business Analysis";#N/A,"EPOXY",FALSE,"Business Analysis";#N/A,"PURPER",FALSE,"Business Analysis"}</definedName>
    <definedName function="false" hidden="true" name="saff" vbProcedure="false">{#N/A,#N/A,FALSE,"3";#N/A,#N/A,FALSE,"5";#N/A,#N/A,FALSE,"6";#N/A,#N/A,FALSE,"8";#N/A,#N/A,FALSE,"10";#N/A,#N/A,FALSE,"13";#N/A,#N/A,FALSE,"14";#N/A,#N/A,FALSE,"15";#N/A,#N/A,FALSE,"16"}</definedName>
    <definedName function="false" hidden="true" name="sajt" vbProcedure="false">{"Pound Sterling",#N/A,TRUE,"PPD";"Pound Sterling",#N/A,TRUE,"Anaquest";"Pound Sterling",#N/A,TRUE,"Delta";"Pound Sterling",#N/A,TRUE,"INO"}</definedName>
    <definedName function="false" hidden="true" name="salesbis" vbProcedure="false">{#N/A,"MacToolsZag",FALSE,"P&amp;L"}</definedName>
    <definedName function="false" hidden="true" name="Salespp" vbProcedure="false">{"detail",#N/A,FALSE,"mfg";"summary",#N/A,FALSE,"mfg"}</definedName>
    <definedName function="false" hidden="true" name="sally" vbProcedure="false">{#N/A,#N/A,FALSE,"Pharm";#N/A,#N/A,FALSE,"WWCM"}</definedName>
    <definedName function="false" hidden="true" name="SAM_year_end" vbProcedure="false">2002</definedName>
    <definedName function="false" hidden="true" name="SANDRO" vbProcedure="false">{#N/A,#N/A,FALSE,"Aging Summary";#N/A,#N/A,FALSE,"Ratio Analysis";#N/A,#N/A,FALSE,"Test 120 Day Accts";#N/A,#N/A,FALSE,"Tickmarks"}</definedName>
    <definedName function="false" hidden="true" name="SAPBEXdnldView" vbProcedure="false">"6JNNNO36IJ5KPD8H648THM6R5"</definedName>
    <definedName function="false" hidden="true" name="SAPBEXhrIndnt" vbProcedure="false">"Wide"</definedName>
    <definedName function="false" hidden="true" name="SAPBEXrevision" vbProcedure="false">1</definedName>
    <definedName function="false" hidden="true" name="SAPBEXsysID" vbProcedure="false">"BP1"</definedName>
    <definedName function="false" hidden="true" name="SAPBEXwbID" vbProcedure="false">"0MB5TOIC7ZU0LX8WJX6QNRCYX"</definedName>
    <definedName function="false" hidden="true" name="SAPFuncF4Help" vbProcedure="false">main.sapf4help()</definedName>
    <definedName function="false" hidden="true" name="SAPsysID" vbProcedure="false">"708C5W7SBKP804JT78WJ0JNKI"</definedName>
    <definedName function="false" hidden="true" name="SAPwbID" vbProcedure="false">"ARS"</definedName>
    <definedName function="false" hidden="true" name="sas" vbProcedure="false">{"detail",#N/A,FALSE,"mfg";"summary",#N/A,FALSE,"mfg"}</definedName>
    <definedName function="false" hidden="true" name="sASa" vbProcedure="false">{#N/A,#N/A,FALSE,"3";#N/A,#N/A,FALSE,"5";#N/A,#N/A,FALSE,"6";#N/A,#N/A,FALSE,"8";#N/A,#N/A,FALSE,"10";#N/A,#N/A,FALSE,"13";#N/A,#N/A,FALSE,"14";#N/A,#N/A,FALSE,"15";#N/A,#N/A,FALSE,"16"}</definedName>
    <definedName function="false" hidden="true" name="say" vbProcedure="false">{#N/A,#N/A,FALSE,"TB";#N/A,#N/A,FALSE,"AR";#N/A,#N/A,FALSE,"BS";#N/A,#N/A,FALSE,"PL";#N/A,#N/A,FALSE,"NOTES";#N/A,#N/A,FALSE,"NOTES (2)";#N/A,#N/A,FALSE,"NOTES (3)";#N/A,#N/A,FALSE,"TAXC.INDEX";#N/A,#N/A,FALSE,"Schedule I";#N/A,#N/A,FALSE,"DPL";#N/A,#N/A,FALSE,"Schedule IV";#N/A,#N/A,FALSE,"Adjustments"}</definedName>
    <definedName function="false" hidden="true" name="scasc" vbProcedure="false">{#N/A,#N/A,FALSE,"3";#N/A,#N/A,FALSE,"5";#N/A,#N/A,FALSE,"6";#N/A,#N/A,FALSE,"8";#N/A,#N/A,FALSE,"10";#N/A,#N/A,FALSE,"13";#N/A,#N/A,FALSE,"14";#N/A,#N/A,FALSE,"15";#N/A,#N/A,FALSE,"16"}</definedName>
    <definedName function="false" hidden="false" name="SCDim" vbProcedure="false">" "</definedName>
    <definedName function="false" hidden="true" name="score" vbProcedure="false">{"detail",#N/A,FALSE,"mfg";"summary",#N/A,FALSE,"mfg"}</definedName>
    <definedName function="false" hidden="true" name="scorecardfy00" vbProcedure="false">{"Comp_of_Price_Effect",#N/A,FALSE,"QTRDPVAR"}</definedName>
    <definedName function="false" hidden="true" name="scsdaf" vbProcedure="false">{#N/A,#N/A,FALSE,"3";#N/A,#N/A,FALSE,"5";#N/A,#N/A,FALSE,"6";#N/A,#N/A,FALSE,"8";#N/A,#N/A,FALSE,"10";#N/A,#N/A,FALSE,"13";#N/A,#N/A,FALSE,"14";#N/A,#N/A,FALSE,"15";#N/A,#N/A,FALSE,"16"}</definedName>
    <definedName function="false" hidden="false" name="sd" vbProcedure="false">#REF!</definedName>
    <definedName function="false" hidden="true" name="sdafgs" vbProcedure="false">{#N/A,#N/A,FALSE,"Pharm";#N/A,#N/A,FALSE,"WWCM"}</definedName>
    <definedName function="false" hidden="true" name="sdd" vbProcedure="false">{#N/A,#N/A,FALSE,"Cristal D'Oro (Tabela)";#N/A,#N/A,FALSE,"Cond Rio Tietê (Tabela)";#N/A,#N/A,FALSE,"Jacyr Leal (Tabela)";#N/A,#N/A,FALSE,"Paul Cézanne (Tabela)";#N/A,#N/A,FALSE,"Tom Jobim  (Tabela)"}</definedName>
    <definedName function="false" hidden="true" name="sdes" vbProcedure="false">{"PACKAGE",#N/A,FALSE,"CM"}</definedName>
    <definedName function="false" hidden="false" name="sdf" vbProcedure="false">#REF!</definedName>
    <definedName function="false" hidden="true" name="SDFASFASDF" vbProcedure="false">{#N/A,#N/A,FALSE,"00 P&amp;L vs 99"}</definedName>
    <definedName function="false" hidden="true" name="sdfdsf" vbProcedure="false">{#N/A,#N/A,FALSE,"KA CH  (2)"}</definedName>
    <definedName function="false" hidden="true" name="sdfew" vbProcedure="false">#REF!</definedName>
    <definedName function="false" hidden="false" name="sdfg" vbProcedure="false">#REF!</definedName>
    <definedName function="false" hidden="true" name="sdfgd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dfgdsg" vbProcedure="false">{#N/A,#N/A,FALSE,"3";#N/A,#N/A,FALSE,"5";#N/A,#N/A,FALSE,"6";#N/A,#N/A,FALSE,"8";#N/A,#N/A,FALSE,"10";#N/A,#N/A,FALSE,"13";#N/A,#N/A,FALSE,"14";#N/A,#N/A,FALSE,"15";#N/A,#N/A,FALSE,"16"}</definedName>
    <definedName function="false" hidden="true" name="sdfgh" vbProcedure="false">{"Sum WW A",#N/A,FALSE,"FY95SLS";"Sum WW B",#N/A,FALSE,"FY95SLS";"Sum US A",#N/A,FALSE,"FY95SLS";"Sum US B",#N/A,FALSE,"FY95SLS";"Sum US Bocg",#N/A,FALSE,"FY95SLS";"Sum Can A",#N/A,FALSE,"FY95SLS";"Sum Can B",#N/A,FALSE,"FY95SLS";"Sum Europe",#N/A,FALSE,"FY95SLS";"Sum Row",#N/A,FALSE,"FY95SLS"}</definedName>
    <definedName function="false" hidden="true" name="sdfgsdf" vbProcedure="false">{"Sum WW A",#N/A,FALSE,"FY95SLS";"Sum WW B",#N/A,FALSE,"FY95SLS";"Sum US A",#N/A,FALSE,"FY95SLS";"Sum US B",#N/A,FALSE,"FY95SLS";"Sum US Bocg",#N/A,FALSE,"FY95SLS";"Sum Can A",#N/A,FALSE,"FY95SLS";"Sum Can B",#N/A,FALSE,"FY95SLS";"Sum Europe",#N/A,FALSE,"FY95SLS";"Sum Row",#N/A,FALSE,"FY95SLS"}</definedName>
    <definedName function="false" hidden="true" name="sdfh" vbProcedure="false">{#N/A,#N/A,FALSE,"Pharm";#N/A,#N/A,FALSE,"WWCM"}</definedName>
    <definedName function="false" hidden="true" name="sdfha"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dfhb" vbProcedure="false">{"Sum WW A",#N/A,FALSE,"FY95SLS";"Sum WW B",#N/A,FALSE,"FY95SLS";"Sum US A",#N/A,FALSE,"FY95SLS";"Sum US B",#N/A,FALSE,"FY95SLS";"Sum US Bocg",#N/A,FALSE,"FY95SLS";"Sum Can A",#N/A,FALSE,"FY95SLS";"Sum Can B",#N/A,FALSE,"FY95SLS";"Sum Europe",#N/A,FALSE,"FY95SLS";"Sum Row",#N/A,FALSE,"FY95SLS"}</definedName>
    <definedName function="false" hidden="true" name="sdfhdrgh" vbProcedure="false">{"Units A",#N/A,FALSE,"FY95SLS";"Units B",#N/A,FALSE,"FY95SLS"}</definedName>
    <definedName function="false" hidden="true" name="sdfksfhj" vbProcedure="false">{"Units A",#N/A,FALSE,"FY95SLS";"Units B",#N/A,FALSE,"FY95SLS"}</definedName>
    <definedName function="false" hidden="true" name="sdfnjsgh" vbProcedure="false">{"Pound Sterling",#N/A,TRUE,"PPD";"Pound Sterling",#N/A,TRUE,"Anaquest";"Pound Sterling",#N/A,TRUE,"Delta";"Pound Sterling",#N/A,TRUE,"INO"}</definedName>
    <definedName function="false" hidden="true" name="sdfr" vbProcedure="false">{"Units A",#N/A,FALSE,"FY95SLS";"Units B",#N/A,FALSE,"FY95SLS"}</definedName>
    <definedName function="false" hidden="true" name="sdfs" vbProcedure="false">#REF!</definedName>
    <definedName function="false" hidden="true" name="sdfsfsfd" vbProcedure="false">{#N/A,#N/A,FALSE,"Operations";#N/A,#N/A,FALSE,"Financials"}</definedName>
    <definedName function="false" hidden="true" name="sdfsfsfsdf" vbProcedure="false">{#N/A,#N/A,FALSE,"Calc";#N/A,#N/A,FALSE,"Sensitivity";#N/A,#N/A,FALSE,"LT Earn.Dil.";#N/A,#N/A,FALSE,"Dil. AVP"}</definedName>
    <definedName function="false" hidden="true" name="sdgagf" vbProcedure="false">{#N/A,#N/A,FALSE,"Pharm";#N/A,#N/A,FALSE,"WWCM"}</definedName>
    <definedName function="false" hidden="true" name="sdgdf"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dgdgdf" vbProcedure="false">{"comp",#N/A,FALSE,"SPEC";"footnotes",#N/A,FALSE,"SPEC"}</definedName>
    <definedName function="false" hidden="true" name="sdgfasgsf" vbProcedure="false">{#N/A,#N/A,TRUE,"COVER";#N/A,#N/A,TRUE,"DIR";#N/A,#N/A,TRUE,"AUDIT"}</definedName>
    <definedName function="false" hidden="true" name="sdgh" vbProcedure="false">{"qty and inventory value",#N/A,FALSE,"MPartners";"general ledger entries",#N/A,FALSE,"MPartners"}</definedName>
    <definedName function="false" hidden="true" name="sdgsd" vbProcedure="false">{"Pound Sterling",#N/A,TRUE,"PPD";"Pound Sterling",#N/A,TRUE,"Anaquest";"Pound Sterling",#N/A,TRUE,"Delta";"Pound Sterling",#N/A,TRUE,"INO"}</definedName>
    <definedName function="false" hidden="true" name="sdhrsh" vbProcedure="false">{"US Dollars",#N/A,TRUE,"PPD";"US Dollar",#N/A,TRUE,"Anaquest";"US Dollar",#N/A,TRUE,"Delta";"US Dollar",#N/A,TRUE,"INO"}</definedName>
    <definedName function="false" hidden="true" name="sdle" vbProcedure="false">{#N/A,#N/A,FALSE,"TAXC.INDEX";#N/A,#N/A,FALSE,"Schedule I";#N/A,#N/A,FALSE,"Schedule  II";#N/A,#N/A,FALSE,"Schedule III"}</definedName>
    <definedName function="false" hidden="true" name="sdsad" vbProcedure="false">{#N/A,#N/A,FALSE,"3";#N/A,#N/A,FALSE,"5";#N/A,#N/A,FALSE,"6";#N/A,#N/A,FALSE,"8";#N/A,#N/A,FALSE,"10";#N/A,#N/A,FALSE,"13";#N/A,#N/A,FALSE,"14";#N/A,#N/A,FALSE,"15";#N/A,#N/A,FALSE,"16"}</definedName>
    <definedName function="false" hidden="true" name="sdsadasd" vbProcedure="false">{#N/A,#N/A,FALSE,"Pharm";#N/A,#N/A,FALSE,"WWCM"}</definedName>
    <definedName function="false" hidden="true" name="sdsd" vbProcedure="false">{#N/A,#N/A,FALSE,"REPORT"}</definedName>
    <definedName function="false" hidden="true" name="SDSDDSSD"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SDSSDSSSSS"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sdwsa" vbProcedure="false">{#N/A,#N/A,FALSE,"TB";#N/A,#N/A,FALSE,"DR";#N/A,#N/A,FALSE,"AR";#N/A,#N/A,FALSE,"PL";#N/A,#N/A,FALSE,"BS";#N/A,#N/A,FALSE,"NOTES";#N/A,#N/A,FALSE,"NOTES (2)";#N/A,#N/A,FALSE,"NOTES (3)";#N/A,#N/A,FALSE,"DPL";#N/A,#N/A,FALSE,"TAXC.INDEX";#N/A,#N/A,FALSE,"Schedule I";#N/A,#N/A,FALSE,"Adjustments"}</definedName>
    <definedName function="false" hidden="true" name="se" vbProcedure="false">{"consolidated",#N/A,FALSE,"Sheet1";"cms",#N/A,FALSE,"Sheet1";"fse",#N/A,FALSE,"Sheet1"}</definedName>
    <definedName function="false" hidden="true" name="sea" vbProcedure="false">{"oct_res_comm",#N/A,FALSE,"VarToBud"}</definedName>
    <definedName function="false" hidden="true" name="sean" vbProcedure="false">{"'Sample Status'!$A$1:$J$21"}</definedName>
    <definedName function="false" hidden="true" name="sedt" vbProcedure="false">{#N/A,#N/A,FALSE,"DIR-REP";#N/A,#N/A,FALSE,"AUD-REPORT";#N/A,#N/A,FALSE,"P7L&amp;BS";#N/A,#N/A,FALSE,"NOTES";#N/A,#N/A,FALSE,"FA";#N/A,#N/A,FALSE,"NOTES (2)";#N/A,#N/A,FALSE,"Schedule  IV";#N/A,#N/A,FALSE,"Schedule V"}</definedName>
    <definedName function="false" hidden="true" name="sefs" vbProcedure="false">{"werbung",#N/A,FALSE,"GuV9900-0399";"betrieb",#N/A,FALSE,"GuV9900-0399";"personal",#N/A,FALSE,"GuV9900-0399";"tvg",#N/A,FALSE,"GuV9900-0399";"verwaltung",#N/A,FALSE,"GuV9900-0399"}</definedName>
    <definedName function="false" hidden="true" name="sefsef" vbProcedure="false">{"werbung",#N/A,FALSE,"GuV9900-0399";"betrieb",#N/A,FALSE,"GuV9900-0399";"personal",#N/A,FALSE,"GuV9900-0399";"tvg",#N/A,FALSE,"GuV9900-0399";"verwaltung",#N/A,FALSE,"GuV9900-0399"}</definedName>
    <definedName function="false" hidden="true" name="SegmentBudget" vbProcedure="false">{"oct_res_comm",#N/A,FALSE,"VarToBud"}</definedName>
    <definedName function="false" hidden="true" name="Select1_sheet0" vbProcedure="false">"'Liste'
0
"</definedName>
    <definedName function="false" hidden="true" name="Select1_sheets" vbProcedure="false">1</definedName>
    <definedName function="false" hidden="true" name="sels" vbProcedure="false">{#N/A,#N/A,TRUE,"COVER";#N/A,#N/A,TRUE,"DIR";#N/A,#N/A,TRUE,"AUDIT"}</definedName>
    <definedName function="false" hidden="true" name="sencount" vbProcedure="false">1</definedName>
    <definedName function="false" hidden="true" name="seoa" vbProcedure="false">{#N/A,#N/A,FALSE,"TAXC.INDEX";#N/A,#N/A,FALSE,"Schedule I";#N/A,#N/A,FALSE,"Schedule  II";#N/A,#N/A,FALSE,"Schedule III"}</definedName>
    <definedName function="false" hidden="true" name="seoas" vbProcedure="false">{#N/A,#N/A,FALSE,"DIR-REP";#N/A,#N/A,FALSE,"AUD-REPORT";#N/A,#N/A,FALSE,"P7L&amp;BS";#N/A,#N/A,FALSE,"NOTES";#N/A,#N/A,FALSE,"FA";#N/A,#N/A,FALSE,"NOTES (2)";#N/A,#N/A,FALSE,"Schedule  IV";#N/A,#N/A,FALSE,"Schedule V"}</definedName>
    <definedName function="false" hidden="true" name="seold" vbProcedure="false">{#N/A,#N/A,FALSE,"TAXC.INDEX";#N/A,#N/A,FALSE,"Schedule I";#N/A,#N/A,FALSE,"Schedule  II";#N/A,#N/A,FALSE,"Schedule III";#N/A,#N/A,FALSE,"Schedule IV";#N/A,#N/A,FALSE,"Schedule IV (Cont'd)";#N/A,#N/A,FALSE,"Schedule V";#N/A,#N/A,FALSE,"Schedule VI";#N/A,#N/A,FALSE,"Schedule VII"}</definedName>
    <definedName function="false" hidden="true" name="seos" vbProcedure="false">{#N/A,#N/A,FALSE,"TB";#N/A,#N/A,FALSE,"AR";#N/A,#N/A,FALSE,"BS";#N/A,#N/A,FALSE,"PL";#N/A,#N/A,FALSE,"NOTES";#N/A,#N/A,FALSE,"NOTES (2)";#N/A,#N/A,FALSE,"NOTES (3)";#N/A,#N/A,FALSE,"TAXC.INDEX";#N/A,#N/A,FALSE,"Schedule I";#N/A,#N/A,FALSE,"DPL";#N/A,#N/A,FALSE,"Schedule IV";#N/A,#N/A,FALSE,"Adjustments"}</definedName>
    <definedName function="false" hidden="true" name="seot" vbProcedure="false">{#N/A,#N/A,FALSE,"TAXC.INDEX";#N/A,#N/A,FALSE,"Schedule I";#N/A,#N/A,FALSE,"Schedule  II";#N/A,#N/A,FALSE,"Schedule III"}</definedName>
    <definedName function="false" hidden="true" name="seotl" vbProcedure="false">{#N/A,#N/A,FALSE,"TB";#N/A,#N/A,FALSE,"AR";#N/A,#N/A,FALSE,"BS";#N/A,#N/A,FALSE,"PL";#N/A,#N/A,FALSE,"NOTES";#N/A,#N/A,FALSE,"NOTES (2)";#N/A,#N/A,FALSE,"NOTES (3)";#N/A,#N/A,FALSE,"TAXC.INDEX";#N/A,#N/A,FALSE,"Schedule I";#N/A,#N/A,FALSE,"DPL";#N/A,#N/A,FALSE,"Schedule IV";#N/A,#N/A,FALSE,"Adjustments"}</definedName>
    <definedName function="false" hidden="true" name="seotst" vbProcedure="false">{#N/A,#N/A,FALSE,"TAXC.INDEX";#N/A,#N/A,FALSE,"Schedule I";#N/A,#N/A,FALSE,"Schedule  II";#N/A,#N/A,FALSE,"Schedule III"}</definedName>
    <definedName function="false" hidden="true" name="ses" vbProcedure="false">{"RESUMEN",#N/A,FALSE,"RESUMEN";"RESUMEN_MARG",#N/A,FALSE,"RESUMEN"}</definedName>
    <definedName function="false" hidden="true" name="setols" vbProcedure="false">{#N/A,#N/A,TRUE,"COVER";#N/A,#N/A,TRUE,"DIR";#N/A,#N/A,TRUE,"AUDIT"}</definedName>
    <definedName function="false" hidden="true" name="sety" vbProcedure="false">{"LAPO2N2",#N/A,FALSE,"CM"}</definedName>
    <definedName function="false" hidden="true" name="sf" vbProcedure="false">{#N/A,#N/A,FALSE,"Sales Graph";#N/A,#N/A,FALSE,"BUC Graph";#N/A,#N/A,FALSE,"P&amp;L - YTD"}</definedName>
    <definedName function="false" hidden="true" name="sfaf" vbProcedure="false">{#N/A,#N/A,FALSE,"3";#N/A,#N/A,FALSE,"5";#N/A,#N/A,FALSE,"6";#N/A,#N/A,FALSE,"8";#N/A,#N/A,FALSE,"10";#N/A,#N/A,FALSE,"13";#N/A,#N/A,FALSE,"14";#N/A,#N/A,FALSE,"15";#N/A,#N/A,FALSE,"16"}</definedName>
    <definedName function="false" hidden="true" name="sfd" vbProcedure="false">{#N/A,#N/A,FALSE,"Hoja1";#N/A,#N/A,FALSE,"Hoja2"}</definedName>
    <definedName function="false" hidden="true" name="sfdg" vbProcedure="false">{#N/A,#N/A,FALSE,"A&amp;E";#N/A,#N/A,FALSE,"HighTop";#N/A,#N/A,FALSE,"JG";#N/A,#N/A,FALSE,"RI";#N/A,#N/A,FALSE,"woHT";#N/A,#N/A,FALSE,"woHT&amp;JG"}</definedName>
    <definedName function="false" hidden="true" name="sfdgfgg" vbProcedure="false">{#N/A,#N/A,FALSE,"Umsatz OK";#N/A,#N/A,FALSE,"ER OK ";#N/A,#N/A,FALSE,"EA OK (2)";#N/A,#N/A,FALSE,"EA OK";#N/A,#N/A,FALSE,"EA OK (3)";#N/A,#N/A,FALSE,"EA OK (4)";#N/A,#N/A,FALSE,"KA OK  (2)";#N/A,#N/A,FALSE,"KA OK";#N/A,#N/A,FALSE,"KA OK  (3)";#N/A,#N/A,FALSE,"KA OK (4)"}</definedName>
    <definedName function="false" hidden="true" name="sfdirect" vbProcedure="false">{#N/A,#N/A,FALSE,"REPORT"}</definedName>
    <definedName function="false" hidden="true" name="sfds"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name="sfe" vbProcedure="false">{"werbung",#N/A,FALSE,"GuV9900-0399";"betrieb",#N/A,FALSE,"GuV9900-0399";"personal",#N/A,FALSE,"GuV9900-0399";"tvg",#N/A,FALSE,"GuV9900-0399";"verwaltung",#N/A,FALSE,"GuV9900-0399"}</definedName>
    <definedName function="false" hidden="true" name="sfgasd" vbProcedure="false">{0,0,0,0;0,0,0,0;0,0,0,0;0,0,0,0;0,0,0,0;0,0,0,0;0,0,2,0;2,3,3,0;FALSE,FALSE,FALSE,FALSE;TRUE,FALSE,TRUE,TRUE;FALSE,FALSE,TRUE,TRUE;FALSE,0,2.78134444564786E-308,4.45015196281921E-308;7.78776275135711E-308,1.33504516457612E-307,2.22507555776164E-307,3.56012157274209E-307}</definedName>
    <definedName function="false" hidden="true" name="sfgdfg"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fgf" vbProcedure="false">{#N/A,#N/A,FALSE,"Umsatz CH";#N/A,#N/A,FALSE,"ER CH";#N/A,#N/A,FALSE,"EA CH (2) ";#N/A,#N/A,FALSE,"EA CH";#N/A,#N/A,FALSE,"EA CH (3) ";#N/A,#N/A,FALSE,"EA CH (4)";#N/A,#N/A,FALSE,"KA CH";#N/A,#N/A,FALSE,"KA CH  (2)";#N/A,#N/A,FALSE,"KA CH  (3)";#N/A,#N/A,FALSE,"KA CH (4)"}</definedName>
    <definedName function="false" hidden="true" name="sfghr" vbProcedure="false">{"Pound Sterling",#N/A,TRUE,"PPD";"Pound Sterling",#N/A,TRUE,"Anaquest";"Pound Sterling",#N/A,TRUE,"Delta";"Pound Sterling",#N/A,TRUE,"INO"}</definedName>
    <definedName function="false" hidden="true" name="sfgjsk" vbProcedure="false">{"Units A",#N/A,FALSE,"FY95SLS";"Units B",#N/A,FALSE,"FY95SLS"}</definedName>
    <definedName function="false" hidden="true" name="sfgns" vbProcedure="false">{"Pound Sterling",#N/A,TRUE,"PPD";"Pound Sterling",#N/A,TRUE,"Anaquest";"Pound Sterling",#N/A,TRUE,"Delta";"Pound Sterling",#N/A,TRUE,"INO"}</definedName>
    <definedName function="false" hidden="true" name="sfgv" vbProcedure="false">{"consolidated",#N/A,FALSE,"Sheet1";"cms",#N/A,FALSE,"Sheet1";"fse",#N/A,FALSE,"Sheet1"}</definedName>
    <definedName function="false" hidden="true" name="sfh" vbProcedure="false">{"Units A",#N/A,FALSE,"FY95SLS";"Units B",#N/A,FALSE,"FY95SLS"}</definedName>
    <definedName function="false" hidden="true" name="sfhfbs"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fhsy"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fjjk"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fjksfk" vbProcedure="false">{"Units A",#N/A,FALSE,"FY95SLS";"Units B",#N/A,FALSE,"FY95SLS"}</definedName>
    <definedName function="false" hidden="true" name="sfjne" vbProcedure="false">{"werbung",#N/A,FALSE,"GuV9900-0399";"betrieb",#N/A,FALSE,"GuV9900-0399";"personal",#N/A,FALSE,"GuV9900-0399";"tvg",#N/A,FALSE,"GuV9900-0399";"verwaltung",#N/A,FALSE,"GuV9900-0399"}</definedName>
    <definedName function="false" hidden="true" name="sfnhgfh" vbProcedure="false">{"Pound Sterling",#N/A,TRUE,"PPD";"Pound Sterling",#N/A,TRUE,"Anaquest";"Pound Sterling",#N/A,TRUE,"Delta";"Pound Sterling",#N/A,TRUE,"INO"}</definedName>
    <definedName function="false" hidden="true" name="sfq" vbProcedure="false">{#N/A,#N/A,FALSE,"Calc";#N/A,#N/A,FALSE,"Sensitivity";#N/A,#N/A,FALSE,"LT Earn.Dil.";#N/A,#N/A,FALSE,"Dil. AVP"}</definedName>
    <definedName function="false" hidden="true" name="sfsaf" vbProcedure="false">{#N/A,#N/A,FALSE,"3";#N/A,#N/A,FALSE,"5";#N/A,#N/A,FALSE,"6";#N/A,#N/A,FALSE,"8";#N/A,#N/A,FALSE,"10";#N/A,#N/A,FALSE,"13";#N/A,#N/A,FALSE,"14";#N/A,#N/A,FALSE,"15";#N/A,#N/A,FALSE,"16"}</definedName>
    <definedName function="false" hidden="true" name="sfsdfsf" vbProcedure="false">{"First Page",#N/A,FALSE,"Surfactants LBO";"Second Page",#N/A,FALSE,"Surfactants LBO"}</definedName>
    <definedName function="false" hidden="true" name="sfsf" vbProcedure="false">{#N/A,#N/A,FALSE,"3";#N/A,#N/A,FALSE,"5";#N/A,#N/A,FALSE,"6";#N/A,#N/A,FALSE,"8";#N/A,#N/A,FALSE,"10";#N/A,#N/A,FALSE,"13";#N/A,#N/A,FALSE,"14";#N/A,#N/A,FALSE,"15";#N/A,#N/A,FALSE,"16"}</definedName>
    <definedName function="false" hidden="true" name="sfsfsdf" vbProcedure="false">{#N/A,#N/A,FALSE,"Calc";#N/A,#N/A,FALSE,"Sensitivity";#N/A,#N/A,FALSE,"LT Earn.Dil.";#N/A,#N/A,FALSE,"Dil. AVP"}</definedName>
    <definedName function="false" hidden="true" name="sfsfsfsfsfd" vbProcedure="false">{"away stand alones",#N/A,FALSE,"Target"}</definedName>
    <definedName function="false" hidden="true" name="sg" vbProcedure="false">{#N/A,#N/A,FALSE,"Umsatz CH";#N/A,#N/A,FALSE,"ER CH";#N/A,#N/A,FALSE,"EA CH (2) ";#N/A,#N/A,FALSE,"EA CH";#N/A,#N/A,FALSE,"EA CH (3) ";#N/A,#N/A,FALSE,"EA CH (4)";#N/A,#N/A,FALSE,"KA CH";#N/A,#N/A,FALSE,"KA CH  (2)";#N/A,#N/A,FALSE,"KA CH  (3)";#N/A,#N/A,FALSE,"KA CH (4)"}</definedName>
    <definedName function="false" hidden="true" name="sgaergweh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gdg" vbProcedure="false">{#N/A,#N/A,FALSE,"Calc";#N/A,#N/A,FALSE,"Sensitivity";#N/A,#N/A,FALSE,"LT Earn.Dil.";#N/A,#N/A,FALSE,"Dil. AVP"}</definedName>
    <definedName function="false" hidden="true" name="sgdzhet" vbProcedure="false">{"subs",#N/A,FALSE,"database ";"proportional",#N/A,FALSE,"database "}</definedName>
    <definedName function="false" hidden="true" name="sgegeg" vbProcedure="false">{"Pound Sterling",#N/A,TRUE,"PPD";"Pound Sterling",#N/A,TRUE,"Anaquest";"Pound Sterling",#N/A,TRUE,"Delta";"Pound Sterling",#N/A,TRUE,"INO"}</definedName>
    <definedName function="false" hidden="true" name="sgeseg" vbProcedure="false">{"US Dollars",#N/A,TRUE,"PPD";"US Dollar",#N/A,TRUE,"Anaquest";"US Dollar",#N/A,TRUE,"Delta";"US Dollar",#N/A,TRUE,"INO"}</definedName>
    <definedName function="false" hidden="true" name="sgf" vbProcedure="false">{#N/A,#N/A,TRUE,"financial";#N/A,#N/A,TRUE,"plants"}</definedName>
    <definedName function="false" hidden="true" name="sgh" vbProcedure="false">{#N/A,#N/A,TRUE,"Pro Forma";#N/A,#N/A,TRUE,"PF_Bal";#N/A,#N/A,TRUE,"PF_INC";#N/A,#N/A,TRUE,"CBE";#N/A,#N/A,TRUE,"SWK"}</definedName>
    <definedName function="false" hidden="true" name="sgherhe" vbProcedure="false">{"Sum WW A",#N/A,FALSE,"FY95SLS";"Sum WW B",#N/A,FALSE,"FY95SLS";"Sum US A",#N/A,FALSE,"FY95SLS";"Sum US B",#N/A,FALSE,"FY95SLS";"Sum US Bocg",#N/A,FALSE,"FY95SLS";"Sum Can A",#N/A,FALSE,"FY95SLS";"Sum Can B",#N/A,FALSE,"FY95SLS";"Sum Europe",#N/A,FALSE,"FY95SLS";"Sum Row",#N/A,FALSE,"FY95SLS"}</definedName>
    <definedName function="false" hidden="true" name="sghser" vbProcedure="false">{"US Dollars",#N/A,TRUE,"PPD";"US Dollar",#N/A,TRUE,"Anaquest";"US Dollar",#N/A,TRUE,"Delta";"US Dollar",#N/A,TRUE,"INO"}</definedName>
    <definedName function="false" hidden="true" name="sghsfh" vbProcedure="false">{"Pound Sterling",#N/A,TRUE,"PPD";"Pound Sterling",#N/A,TRUE,"Anaquest";"Pound Sterling",#N/A,TRUE,"Delta";"Pound Sterling",#N/A,TRUE,"INO"}</definedName>
    <definedName function="false" hidden="true" name="sgrhtrh" vbProcedure="false">{"Pound Sterling",#N/A,TRUE,"PPD";"Pound Sterling",#N/A,TRUE,"Anaquest";"Pound Sterling",#N/A,TRUE,"Delta";"Pound Sterling",#N/A,TRUE,"INO"}</definedName>
    <definedName function="false" hidden="true" name="sgrjsrt" vbProcedure="false">{"Pound Sterling",#N/A,TRUE,"PPD";"Pound Sterling",#N/A,TRUE,"Anaquest";"Pound Sterling",#N/A,TRUE,"Delta";"Pound Sterling",#N/A,TRUE,"INO"}</definedName>
    <definedName function="false" hidden="true" name="SGSDGA" vbProcedure="false">{#N/A,#N/A,FALSE,"FScover";#N/A,#N/A,FALSE,"Balsht";#N/A,#N/A,FALSE,"income";#N/A,#N/A,FALSE,"cashflw";#N/A,#N/A,FALSE,"g&amp;a";#N/A,#N/A,FALSE,"cos"}</definedName>
    <definedName function="false" hidden="true" name="sgsx" vbProcedure="false">{"consolidated",#N/A,FALSE,"Sheet1";"cms",#N/A,FALSE,"Sheet1";"fse",#N/A,FALSE,"Sheet1"}</definedName>
    <definedName function="false" hidden="true" name="shdfh" vbProcedure="false">{"Sum WW A",#N/A,FALSE,"FY95SLS";"Sum WW B",#N/A,FALSE,"FY95SLS";"Sum US A",#N/A,FALSE,"FY95SLS";"Sum US B",#N/A,FALSE,"FY95SLS";"Sum US Bocg",#N/A,FALSE,"FY95SLS";"Sum Can A",#N/A,FALSE,"FY95SLS";"Sum Can B",#N/A,FALSE,"FY95SLS";"Sum Europe",#N/A,FALSE,"FY95SLS";"Sum Row",#N/A,FALSE,"FY95SLS"}</definedName>
    <definedName function="false" hidden="true" name="sheet" vbProcedure="false">{"Assumptions1",#N/A,FALSE,"Assumptions";"MergerPlans1","20yearamort",FALSE,"MergerPlans";"MergerPlans1","40yearamort",FALSE,"MergerPlans";"MergerPlans2",#N/A,FALSE,"MergerPlans";"inputs",#N/A,FALSE,"MergerPlans"}</definedName>
    <definedName function="false" hidden="true" name="sheettwo" vbProcedure="false">{"'MVS'!$A$5:$O$716"}</definedName>
    <definedName function="false" hidden="true" name="shelf" vbProcedure="false">{#N/A,#N/A,FALSE,"CHANGES";#N/A,#N/A,FALSE,"PROD SUMMARY";#N/A,#N/A,FALSE,"1995 PO SUM";#N/A,#N/A,FALSE,"1995 GEOG SUM";#N/A,#N/A,FALSE,"1996 PO SUM";#N/A,#N/A,FALSE,"1996 GEOG SUM"}</definedName>
    <definedName function="false" hidden="true" name="shr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hrsdh" vbProcedure="false">{"Units A",#N/A,FALSE,"FY95SLS";"Units B",#N/A,FALSE,"FY95SLS"}</definedName>
    <definedName function="false" hidden="true" name="shsgr" vbProcedure="false">{"Units A",#N/A,FALSE,"FY95SLS";"Units B",#N/A,FALSE,"FY95SLS"}</definedName>
    <definedName function="false" hidden="true" name="shsr" vbProcedure="false">{"Units A",#N/A,FALSE,"FY95SLS";"Units B",#N/A,FALSE,"FY95SLS"}</definedName>
    <definedName function="false" hidden="true" name="shwthw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iemens" vbProcedure="false">{"'comite'!$A$9:$G$44","'comite'!$A$1:$G$6"}</definedName>
    <definedName function="false" hidden="true" name="SIG_ACFCOM_firstLine" vbProcedure="false">#REF!</definedName>
    <definedName function="false" hidden="true" name="SIG_ACFCOM_IsControlOK" vbProcedure="false">#REF!</definedName>
    <definedName function="false" hidden="true" name="SIG_ACFCOM_lastLine" vbProcedure="false">#REF!</definedName>
    <definedName function="false" hidden="true" name="SIG_ACFCOM_TITLECOL" vbProcedure="false">#REF!</definedName>
    <definedName function="false" hidden="true" name="SIG_ACFCOM_TITLELINE" vbProcedure="false">#REF!</definedName>
    <definedName function="false" hidden="true" name="SIG_AISCOM_firstLine" vbProcedure="false">#REF!</definedName>
    <definedName function="false" hidden="true" name="SIG_AISCOM_IsControlOK" vbProcedure="false">#REF!</definedName>
    <definedName function="false" hidden="true" name="SIG_AISCOM_lastLine" vbProcedure="false">#REF!</definedName>
    <definedName function="false" hidden="true" name="SIG_AISCOM_TITLECOL" vbProcedure="false">#REF!</definedName>
    <definedName function="false" hidden="true" name="SIG_AISCOM_TITLELINE" vbProcedure="false">#REF!</definedName>
    <definedName function="false" hidden="true" name="SIG_AISTOT_firstLine" vbProcedure="false">#REF!</definedName>
    <definedName function="false" hidden="true" name="SIG_AISTOT_IsControlOK" vbProcedure="false">#REF!</definedName>
    <definedName function="false" hidden="true" name="SIG_AISTOT_lastLine" vbProcedure="false">#REF!</definedName>
    <definedName function="false" hidden="true" name="SIG_AISTOT_TITLECOL" vbProcedure="false">#REF!</definedName>
    <definedName function="false" hidden="true" name="SIG_AISTOT_TITLELINE" vbProcedure="false">#REF!</definedName>
    <definedName function="false" hidden="true" name="SIG_ANACOM_firstLine" vbProcedure="false">#REF!</definedName>
    <definedName function="false" hidden="true" name="SIG_ANACOM_IsControlOK" vbProcedure="false">#REF!</definedName>
    <definedName function="false" hidden="true" name="SIG_ANACOM_lastLine" vbProcedure="false">#REF!</definedName>
    <definedName function="false" hidden="true" name="SIG_ANACOM_TITLECOL" vbProcedure="false">#REF!</definedName>
    <definedName function="false" hidden="true" name="SIG_ANACOM_TITLELINE" vbProcedure="false">#REF!</definedName>
    <definedName function="false" hidden="true" name="SIG_ARATIOS_firstLine" vbProcedure="false">#REF!</definedName>
    <definedName function="false" hidden="true" name="SIG_ARATIOS_IsControlOK" vbProcedure="false">#REF!</definedName>
    <definedName function="false" hidden="true" name="SIG_ARATIOS_lastLine" vbProcedure="false">#REF!</definedName>
    <definedName function="false" hidden="true" name="SIG_ARATIOS_TITLECOL" vbProcedure="false">#REF!</definedName>
    <definedName function="false" hidden="true" name="SIG_ARATIOS_TITLELINE" vbProcedure="false">#REF!</definedName>
    <definedName function="false" hidden="true" name="SIG_AZISTOT_firstLine" vbProcedure="false">#REF!</definedName>
    <definedName function="false" hidden="true" name="SIG_AZISTOT_IsControlOK" vbProcedure="false">#REF!</definedName>
    <definedName function="false" hidden="true" name="SIG_AZISTOT_lastLine" vbProcedure="false">#REF!</definedName>
    <definedName function="false" hidden="true" name="SIG_AZISTOT_TITLECOL" vbProcedure="false">#REF!</definedName>
    <definedName function="false" hidden="true" name="SIG_AZISTOT_TITLELINE" vbProcedure="false">#REF!</definedName>
    <definedName function="false" hidden="true" name="SIG_BILACT_firstLine" vbProcedure="false">#REF!</definedName>
    <definedName function="false" hidden="true" name="SIG_BILACT_H349" vbProcedure="false">#REF!</definedName>
    <definedName function="false" hidden="true" name="SIG_BILACT_H350" vbProcedure="false">#REF!</definedName>
    <definedName function="false" hidden="true" name="SIG_BILACT_H351" vbProcedure="false">#REF!</definedName>
    <definedName function="false" hidden="true" name="SIG_BILACT_H352" vbProcedure="false">#REF!</definedName>
    <definedName function="false" hidden="true" name="SIG_BILACT_H353" vbProcedure="false">#REF!</definedName>
    <definedName function="false" hidden="true" name="SIG_BILACT_H354" vbProcedure="false">#REF!</definedName>
    <definedName function="false" hidden="true" name="SIG_BILACT_H355" vbProcedure="false">#REF!</definedName>
    <definedName function="false" hidden="true" name="SIG_BILACT_H356" vbProcedure="false">#REF!</definedName>
    <definedName function="false" hidden="true" name="SIG_BILACT_H357" vbProcedure="false">#REF!</definedName>
    <definedName function="false" hidden="true" name="SIG_BILACT_H358" vbProcedure="false">#REF!</definedName>
    <definedName function="false" hidden="true" name="SIG_BILACT_H359" vbProcedure="false">#REF!</definedName>
    <definedName function="false" hidden="true" name="SIG_BILACT_H360" vbProcedure="false">#REF!</definedName>
    <definedName function="false" hidden="true" name="SIG_BILACT_H361" vbProcedure="false">#REF!</definedName>
    <definedName function="false" hidden="true" name="SIG_BILACT_H362" vbProcedure="false">#REF!</definedName>
    <definedName function="false" hidden="true" name="SIG_BILACT_H363" vbProcedure="false">#REF!</definedName>
    <definedName function="false" hidden="true" name="SIG_BILACT_H364" vbProcedure="false">#REF!</definedName>
    <definedName function="false" hidden="true" name="SIG_BILACT_H365" vbProcedure="false">#REF!</definedName>
    <definedName function="false" hidden="true" name="SIG_BILACT_IsControlOK" vbProcedure="false">#REF!</definedName>
    <definedName function="false" hidden="true" name="SIG_BILACT_lastLine" vbProcedure="false">#REF!</definedName>
    <definedName function="false" hidden="true" name="SIG_BILACT_TITLECOL" vbProcedure="false">#REF!</definedName>
    <definedName function="false" hidden="true" name="SIG_BILACT_TITLELINE" vbProcedure="false">#REF!</definedName>
    <definedName function="false" hidden="true" name="SIG_CONTROLE" vbProcedure="false">#REF!</definedName>
    <definedName function="false" hidden="true" name="SIG_DERNIERECOLONNE" vbProcedure="false">#REF!</definedName>
    <definedName function="false" hidden="true" name="SIG_EFFECTV_firstLine" vbProcedure="false">#REF!</definedName>
    <definedName function="false" hidden="true" name="SIG_EFFECTV_H001" vbProcedure="false">#REF!</definedName>
    <definedName function="false" hidden="true" name="SIG_EFFECTV_H002" vbProcedure="false">#REF!</definedName>
    <definedName function="false" hidden="true" name="SIG_EFFECTV_H003" vbProcedure="false">#REF!</definedName>
    <definedName function="false" hidden="true" name="SIG_EFFECTV_H004" vbProcedure="false">#REF!</definedName>
    <definedName function="false" hidden="true" name="SIG_EFFECTV_H005" vbProcedure="false">#REF!</definedName>
    <definedName function="false" hidden="true" name="SIG_EFFECTV_H006" vbProcedure="false">#REF!</definedName>
    <definedName function="false" hidden="true" name="SIG_EFFECTV_H007" vbProcedure="false">#REF!</definedName>
    <definedName function="false" hidden="true" name="SIG_EFFECTV_H008" vbProcedure="false">#REF!</definedName>
    <definedName function="false" hidden="true" name="SIG_EFFECTV_H009" vbProcedure="false">#REF!</definedName>
    <definedName function="false" hidden="true" name="SIG_EFFECTV_H010" vbProcedure="false">#REF!</definedName>
    <definedName function="false" hidden="true" name="SIG_EFFECTV_H011" vbProcedure="false">#REF!</definedName>
    <definedName function="false" hidden="true" name="SIG_EFFECTV_H012" vbProcedure="false">#REF!</definedName>
    <definedName function="false" hidden="true" name="SIG_EFFECTV_IsControlOK" vbProcedure="false">#REF!</definedName>
    <definedName function="false" hidden="true" name="SIG_EFFECTV_lastLine" vbProcedure="false">#REF!</definedName>
    <definedName function="false" hidden="true" name="SIG_EFFECTV_TITLELINE" vbProcedure="false">#REF!</definedName>
    <definedName function="false" hidden="true" name="SIG_LngApp" vbProcedure="false">#REF!</definedName>
    <definedName function="false" hidden="true" name="SIG_PTBD_ACFCOM" vbProcedure="false">#REF!</definedName>
    <definedName function="false" hidden="true" name="SIG_PTBD_AISCOM" vbProcedure="false">#REF!</definedName>
    <definedName function="false" hidden="true" name="SIG_PTBD_AISTOT" vbProcedure="false">#REF!</definedName>
    <definedName function="false" hidden="true" name="SIG_PTBD_ANACOM" vbProcedure="false">#REF!</definedName>
    <definedName function="false" hidden="true" name="SIG_PTBD_ARATIOS" vbProcedure="false">#REF!</definedName>
    <definedName function="false" hidden="true" name="SIG_PTBD_AZISTOT" vbProcedure="false">#REF!</definedName>
    <definedName function="false" hidden="true" name="SIG_PTBD_BILACT" vbProcedure="false">#REF!</definedName>
    <definedName function="false" hidden="true" name="SIG_PTBD_EFFECTV" vbProcedure="false">#REF!</definedName>
    <definedName function="false" hidden="true" name="SIG_PTHG_ACFCOM" vbProcedure="false">#REF!</definedName>
    <definedName function="false" hidden="true" name="SIG_PTHG_AISCOM" vbProcedure="false">#REF!</definedName>
    <definedName function="false" hidden="true" name="SIG_PTHG_AISTOT" vbProcedure="false">#REF!</definedName>
    <definedName function="false" hidden="true" name="SIG_PTHG_ANACOM" vbProcedure="false">#REF!</definedName>
    <definedName function="false" hidden="true" name="SIG_PTHG_ARATIOS" vbProcedure="false">#REF!</definedName>
    <definedName function="false" hidden="true" name="SIG_PTHG_AZISTOT" vbProcedure="false">#REF!</definedName>
    <definedName function="false" hidden="true" name="SIG_PTHG_BILACT" vbProcedure="false">#REF!</definedName>
    <definedName function="false" hidden="true" name="SIG_PTHG_EFFECTV" vbProcedure="false">#REF!</definedName>
    <definedName function="false" hidden="false" name="SingleClassificationColumn" vbProcedure="false">_xlfn.lambda(_xlpm.classificationlevel,_xlpm.filterbycolumn,_xlpm.filterbylabel,_xlpm.sortbycolumn,_xlpm.entitycolumn,_xlpm.entitylabel, _xlfn.let( _xlpm.header_row, Headings, _xlpm.master_sheet, Master, _xlpm.classification_range, INDEX(_xlpm.master_sheet, 0, MATCH(_xlpm.classificationlevel, _xlpm.header_row, 0)), _xlpm.filterby_range, INDEX(_xlpm.master_sheet, 0, MATCH(_xlpm.filterbycolumn, _xlpm.header_row, 0)), _xlpm.sortby_range, INDEX(_xlpm.master_sheet, 0, MATCH(_xlpm.sortbycolumn, _xlpm.header_row, 0)), _xlpm.entity_range, IF(_xlfn.isomitted(_xlpm.entitycolumn), "", INDEX(_xlpm.master_sheet, 0, MATCH(_xlpm.entitycolumn, _xlpm.header_row, 0))),  _xlpm.classification_range_filtered, _xlfn._xlws.filter(_xlpm.classification_range, (_xlpm.filterby_range=_xlpm.filterbylabel)*(IF(_xlfn.isomitted(_xlpm.entitylabel), TRUE(), _xlpm.entity_range=_xlpm.entitylabel))), _xlpm.sortby_range_filtered, _xlfn._xlws.filter(_xlpm.sortby_range, (_xlpm.filterby_range=_xlpm.filterbylabel)*(IF(_xlfn.isomitted(_xlpm.entitylabel), TRUE(), _xlpm.entity_range=_xlpm.entitylabel))),  _xlpm.combined_range, _xlfn.hstack(_xlpm.classification_range_filtered, _xlpm.sortby_range_filtered), _xlpm.classification_unique, _xlfn.unique(_xlfn.take(_xlpm.combined_range, , 1)), _xlpm.summarized_array, _xlfn.hstack(_xlpm.classification_unique, _xlfn.byrow(_xlpm.classification_unique, _xlfn.lambda(_xlpm.r, SUM((INDEX(_xlpm.combined_range, , 2))*(INDEX(_xlpm.combined_range, , 1)=INDEX(_xlpm.r, , 1)))))), _xlpm.sorted_array, _xlfn.sortby(_xlpm.summarized_array, ABS(INDEX(_xlpm.summarized_array, , 2)), -1), _xlpm.classification_column, INDEX(_xlpm.sorted_array, , 1), _xlpm.classification_column) )</definedName>
    <definedName function="false" hidden="false" name="SingleMasterLevelList" vbProcedure="false">_xlfn.lambda(_xlpm.outputlevel,_xlpm.filtercolumn,_xlpm.filtertext,_xlpm.sortcolumn,_xlpm.entitycolumn,_xlpm.entitytext,_xlop.optionalsortorder,_xlop.optionalsorttotop,_xlop.optionalfiltercolumn2,_xlop.optionalfiltertext2,_xlop.optionalexcludecolumn,_xlop.optionalexcludefiltertext, IF(OR(ISERROR(_xlpm.outputlevel), ISERROR(_xlpm.filtercolumn), ISERROR(_xlpm.filtertext), ISERROR(_xlpm.sortcolumn), ISERROR(_xlpm.entitycolumn), ISERROR(_xlpm.entitytext), ISERROR(_xlpm.optionalsortorder), ISERROR(_xlpm.optionalsorttotop), ISERROR(_xlpm.optionalfiltercolumn2), ISERROR(_xlpm.optionalfiltertext2), ISERROR(_xlpm.optionalexcludecolumn), ISERROR(_xlpm.optionalexcludefiltertext)), "Error in inputs", _xlfn.let( _xlpm.lookupcolumn,_xlfn.lambda(_xlpm.column_name, INDEX(Master,0,_xlfn.xmatch(_xlpm.column_name,Headings))), _xlpm.sortorderinput,IF(_xlfn.isomitted(_xlpm.optionalsortorder),-1,_xlpm.optionalsortorder), _xlpm.inputtext,IF(COLUMNS(optionalinputtext)&gt;1,TRANSPOSE(_xlfn._xlws.filter(optionalinputtext,optionalinputtext&lt;&gt;"")),_xlfn._xlws.filter(optionalinputtext,optionalinputtext&lt;&gt;"")), _xlpm.filtercondition,              (_xlpm.lookupcolumn(_xlpm.filtercolumn)=_xlpm.filtertext)*              (_xlpm.lookupcolumn(_xlpm.entitycolumn)=_xlpm.entitytext)*              (IF(_xlfn.isomitted(_xlpm.optionalfiltercolumn2), TRUE(), IF(_xlfn.isomitted(_xlpm.optionalfiltercolumn2), "", _xlpm.lookupcolumn(_xlpm.optionalfiltercolumn2))=_xlpm.optionalfiltertext2))*              (IF(_xlfn.isomitted(_xlpm.optionalexcludecolumn), TRUE(), IF(_xlfn.isomitted(_xlpm.optionalexcludecolumn), "", ISNA(MATCH(_xlpm.lookupcolumn(_xlpm.optionalexcludecolumn), _xlpm.optionalexcludefiltertext, 0))))), _xlpm.combinedrng,_xlfn.hstack(_xlfn._xlws.filter(_xlpm.lookupcolumn(_xlpm.outputlevel),_xlpm.filtercondition),_xlfn._xlws.filter(_xlpm.lookupcolumn(_xlpm.sortcolumn),_xlpm.filtercondition)), _xlpm.uniquetext,_xlfn.unique(_xlfn.take(_xlpm.combinedrng,,1)), _xlpm.aggarray,_xlfn.hstack(_xlpm.uniquetext,_xlfn.byrow(_xlpm.uniquetext,_xlfn.lambda(_xlpm.r,SUM((INDEX(_xlpm.combinedrng,,2))*(INDEX(_xlpm.combinedrng,,1)=INDEX(_xlpm.r,,1)))))), _xlpm.sortedtext,INDEX(_xlfn.sortby(_xlpm.aggarray,          IF(ISNUMBER(_xlfn.xmatch(INDEX(_xlpm.aggarray,,1), _xlpm.optionalsorttotop)), _xlfn.xmatch(INDEX(_xlpm.aggarray,,1), _xlpm.optionalsorttotop), 1E+300),1,          LEFT(INDEX(_xlpm.aggarray,,1),5)="Other",1,          INDEX(_xlpm.aggarray,,2),_xlpm.sortorderinput),,1), IFERROR(IF(_xlpm.sortedtext=0,"",_xlpm.sortedtext),"") )))</definedName>
    <definedName function="false" hidden="true" name="sjedo" vbProcedure="false">{#N/A,#N/A,FALSE,"TAXC.INDEX";#N/A,#N/A,FALSE,"Schedule I";#N/A,#N/A,FALSE,"Schedule  II";#N/A,#N/A,FALSE,"Schedule III"}</definedName>
    <definedName function="false" hidden="true" name="sjgosjf" vbProcedure="false">{#N/A,#N/A,FALSE,"TB";#N/A,#N/A,FALSE,"DR";#N/A,#N/A,FALSE,"AR";#N/A,#N/A,FALSE,"PL";#N/A,#N/A,FALSE,"BS";#N/A,#N/A,FALSE,"NOTES";#N/A,#N/A,FALSE,"NOTES (2)";#N/A,#N/A,FALSE,"NOTES (3)";#N/A,#N/A,FALSE,"DPL";#N/A,#N/A,FALSE,"TAXC.INDEX";#N/A,#N/A,FALSE,"Schedule I";#N/A,#N/A,FALSE,"Adjustments"}</definedName>
    <definedName function="false" hidden="true" name="sjoe" vbProcedure="false">{#N/A,#N/A,TRUE,"COVER";#N/A,#N/A,TRUE,"DIR";#N/A,#N/A,TRUE,"AUDIT"}</definedName>
    <definedName function="false" hidden="true" name="sjog" vbProcedure="false">{#N/A,#N/A,FALSE,"TB";#N/A,#N/A,FALSE,"DR";#N/A,#N/A,FALSE,"AR";#N/A,#N/A,FALSE,"PL";#N/A,#N/A,FALSE,"BS";#N/A,#N/A,FALSE,"NOTES";#N/A,#N/A,FALSE,"NOTES (2)";#N/A,#N/A,FALSE,"NOTES (3)";#N/A,#N/A,FALSE,"DPL";#N/A,#N/A,FALSE,"TAXC.INDEX";#N/A,#N/A,FALSE,"Schedule I";#N/A,#N/A,FALSE,"Adjustments"}</definedName>
    <definedName function="false" hidden="true" name="sjtsrj" vbProcedure="false">{"Sum WW A",#N/A,FALSE,"FY95SLS";"Sum WW B",#N/A,FALSE,"FY95SLS";"Sum US A",#N/A,FALSE,"FY95SLS";"Sum US B",#N/A,FALSE,"FY95SLS";"Sum US Bocg",#N/A,FALSE,"FY95SLS";"Sum Can A",#N/A,FALSE,"FY95SLS";"Sum Can B",#N/A,FALSE,"FY95SLS";"Sum Europe",#N/A,FALSE,"FY95SLS";"Sum Row",#N/A,FALSE,"FY95SLS"}</definedName>
    <definedName function="false" hidden="true" name="sk" vbProcedure="false">{#N/A,#N/A,FALSE,"A&amp;E";#N/A,#N/A,FALSE,"HighTop";#N/A,#N/A,FALSE,"JG";#N/A,#N/A,FALSE,"RI";#N/A,#N/A,FALSE,"woHT";#N/A,#N/A,FALSE,"woHT&amp;JG"}</definedName>
    <definedName function="false" hidden="true" name="skjfe" vbProcedure="false">{"werbung",#N/A,FALSE,"GuV9900-0399";"betrieb",#N/A,FALSE,"GuV9900-0399";"personal",#N/A,FALSE,"GuV9900-0399";"tvg",#N/A,FALSE,"GuV9900-0399";"verwaltung",#N/A,FALSE,"GuV9900-0399"}</definedName>
    <definedName function="false" hidden="true" name="skjfiej" vbProcedure="false">{"werbung",#N/A,FALSE,"GuV9900-0399";"betrieb",#N/A,FALSE,"GuV9900-0399";"personal",#N/A,FALSE,"GuV9900-0399";"tvg",#N/A,FALSE,"GuV9900-0399";"verwaltung",#N/A,FALSE,"GuV9900-0399"}</definedName>
    <definedName function="false" hidden="true" name="sky" vbProcedure="false">{"Summary analysis",#N/A,FALSE,"Total";"OCPH analysis",#N/A,FALSE,"Total";"detail analysis",#N/A,FALSE,"Total"}</definedName>
    <definedName function="false" hidden="true" name="sleo" vbProcedure="false">{#N/A,#N/A,FALSE,"TB";#N/A,#N/A,FALSE,"DR";#N/A,#N/A,FALSE,"AR";#N/A,#N/A,FALSE,"BS";#N/A,#N/A,FALSE,"PL";#N/A,#N/A,FALSE,"NOTES";#N/A,#N/A,FALSE,"NOTES (2)";#N/A,#N/A,FALSE,"NOTES (3)";#N/A,#N/A,FALSE,"DPL";#N/A,#N/A,FALSE,"DPL"}</definedName>
    <definedName function="false" hidden="tru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true" name="slllie" vbProcedure="false">{#N/A,#N/A,FALSE,"TB";#N/A,#N/A,FALSE,"DR";#N/A,#N/A,FALSE,"AR";#N/A,#N/A,FALSE,"PL";#N/A,#N/A,FALSE,"BS";#N/A,#N/A,FALSE,"NOTES";#N/A,#N/A,FALSE,"NOTES (2)";#N/A,#N/A,FALSE,"NOTES (3)";#N/A,#N/A,FALSE,"DPL";#N/A,#N/A,FALSE,"TAXC.INDEX";#N/A,#N/A,FALSE,"Schedule I";#N/A,#N/A,FALSE,"Adjustments"}</definedName>
    <definedName function="false" hidden="true" name="slloo" vbProcedure="false">{#N/A,#N/A,FALSE,"TB";#N/A,#N/A,FALSE,"AR";#N/A,#N/A,FALSE,"BS";#N/A,#N/A,FALSE,"PL";#N/A,#N/A,FALSE,"NOTES";#N/A,#N/A,FALSE,"NOTES (2)";#N/A,#N/A,FALSE,"NOTES (3)";#N/A,#N/A,FALSE,"TAXC.INDEX";#N/A,#N/A,FALSE,"Schedule I";#N/A,#N/A,FALSE,"DPL";#N/A,#N/A,FALSE,"Schedule IV";#N/A,#N/A,FALSE,"Adjustments"}</definedName>
    <definedName function="false" hidden="false" name="Smart_Chart_Data_Table_37766bbc2ca4400da6d7309a6548fc29" vbProcedure="false">#REF!</definedName>
    <definedName function="false" hidden="true" name="smk" vbProcedure="false">{"QTD_GENERALH2",#N/A,FALSE,"QTD"}</definedName>
    <definedName function="false" hidden="true" name="SnecmaFAT" vbProcedure="false">{#N/A,#N/A,TRUE,"Pro Forma";#N/A,#N/A,TRUE,"PF_Bal";#N/A,#N/A,TRUE,"PF_INC";#N/A,#N/A,TRUE,"CBE";#N/A,#N/A,TRUE,"SWK"}</definedName>
    <definedName function="false" hidden="true" name="soctl" vbProcedure="false">{#N/A,#N/A,FALSE,"TB";#N/A,#N/A,FALSE,"DR";#N/A,#N/A,FALSE,"AR";#N/A,#N/A,FALSE,"PL";#N/A,#N/A,FALSE,"BS";#N/A,#N/A,FALSE,"NOTES";#N/A,#N/A,FALSE,"NOTES (2)";#N/A,#N/A,FALSE,"NOTES (3)";#N/A,#N/A,FALSE,"DPL";#N/A,#N/A,FALSE,"TAXC.INDEX";#N/A,#N/A,FALSE,"Schedule I";#N/A,#N/A,FALSE,"Adjustments"}</definedName>
    <definedName function="false" hidden="true" name="soe" vbProcedure="false">{#N/A,#N/A,FALSE,"TAXC.INDEX";#N/A,#N/A,FALSE,"Schedule I";#N/A,#N/A,FALSE,"Schedule  II";#N/A,#N/A,FALSE,"Schedule III"}</definedName>
    <definedName function="false" hidden="true" name="soe.ct" vbProcedure="false">{#N/A,#N/A,FALSE,"TB";#N/A,#N/A,FALSE,"AR";#N/A,#N/A,FALSE,"BS";#N/A,#N/A,FALSE,"PL";#N/A,#N/A,FALSE,"NOTES";#N/A,#N/A,FALSE,"NOTES (2)";#N/A,#N/A,FALSE,"NOTES (3)";#N/A,#N/A,FALSE,"TAXC.INDEX";#N/A,#N/A,FALSE,"Schedule I";#N/A,#N/A,FALSE,"DPL";#N/A,#N/A,FALSE,"Schedule IV";#N/A,#N/A,FALSE,"Adjustments"}</definedName>
    <definedName function="false" hidden="true" name="soeg" vbProcedure="false">{#N/A,#N/A,FALSE,"TB";#N/A,#N/A,FALSE,"DR";#N/A,#N/A,FALSE,"AR";#N/A,#N/A,FALSE,"BS";#N/A,#N/A,FALSE,"PL";#N/A,#N/A,FALSE,"NOTES";#N/A,#N/A,FALSE,"NOTES (2)";#N/A,#N/A,FALSE,"NOTES (3)";#N/A,#N/A,FALSE,"DPL";#N/A,#N/A,FALSE,"DPL"}</definedName>
    <definedName function="false" hidden="true" name="soelt" vbProcedure="false">{#N/A,#N/A,FALSE,"TB";#N/A,#N/A,FALSE,"DR";#N/A,#N/A,FALSE,"AR";#N/A,#N/A,FALSE,"BS";#N/A,#N/A,FALSE,"PL";#N/A,#N/A,FALSE,"NOTES";#N/A,#N/A,FALSE,"NOTES (2)";#N/A,#N/A,FALSE,"NOTES (3)";#N/A,#N/A,FALSE,"DPL";#N/A,#N/A,FALSE,"DPL"}</definedName>
    <definedName function="false" hidden="true" name="soetjl" vbProcedure="false">{#N/A,#N/A,FALSE,"TAXC.INDEX";#N/A,#N/A,FALSE,"Schedule I";#N/A,#N/A,FALSE,"Schedule  II";#N/A,#N/A,FALSE,"Schedule III";#N/A,#N/A,FALSE,"Schedule IV";#N/A,#N/A,FALSE,"Schedule IV (Cont'd)";#N/A,#N/A,FALSE,"Schedule V";#N/A,#N/A,FALSE,"Schedule VI";#N/A,#N/A,FALSE,"Schedule VII"}</definedName>
    <definedName function="false" hidden="true" name="sof" vbProcedure="false">{#N/A,#N/A,FALSE,"DIR-REP";#N/A,#N/A,FALSE,"AUD-REPORT";#N/A,#N/A,FALSE,"P7L&amp;BS";#N/A,#N/A,FALSE,"NOTES";#N/A,#N/A,FALSE,"FA";#N/A,#N/A,FALSE,"NOTES (2)";#N/A,#N/A,FALSE,"Schedule  IV";#N/A,#N/A,FALSE,"Schedule V"}</definedName>
    <definedName function="false" hidden="true" name="solver_cvg" vbProcedure="false">0.0001</definedName>
    <definedName function="false" hidden="true" name="solver_drv" vbProcedure="false">1</definedName>
    <definedName function="false" hidden="true" name="solver_eng" vbProcedure="false">1</definedName>
    <definedName function="false" hidden="true" name="solver_est" vbProcedure="false">1</definedName>
    <definedName function="false" hidden="true" name="solver_itr" vbProcedure="false">100</definedName>
    <definedName function="false" hidden="true" name="solver_lin" vbProcedure="false">0</definedName>
    <definedName function="false" hidden="true" name="solver_neg" vbProcedure="false">2</definedName>
    <definedName function="false" hidden="true" name="solver_num" vbProcedure="false">0</definedName>
    <definedName function="false" hidden="true" name="solver_nwt" vbProcedure="false">1</definedName>
    <definedName function="false" hidden="true" name="solver_pre" vbProcedure="false">0.000001</definedName>
    <definedName function="false" hidden="true" name="solver_rel1" vbProcedure="false">2</definedName>
    <definedName function="false" hidden="true" name="solver_rel2" vbProcedure="false">2</definedName>
    <definedName function="false" hidden="true" name="solver_rhs1" vbProcedure="false">7</definedName>
    <definedName function="false" hidden="true" name="solver_rhs2" vbProcedure="false">7</definedName>
    <definedName function="false" hidden="true" name="solver_scl" vbProcedure="false">2</definedName>
    <definedName function="false" hidden="true" name="solver_sho" vbProcedure="false">2</definedName>
    <definedName function="false" hidden="true" name="solver_tim" vbProcedure="false">100</definedName>
    <definedName function="false" hidden="true" name="solver_tol" vbProcedure="false">0.05</definedName>
    <definedName function="false" hidden="true" name="solver_typ" vbProcedure="false">1</definedName>
    <definedName function="false" hidden="true" name="solver_val" vbProcedure="false">0</definedName>
    <definedName function="false" hidden="true" name="soooot" vbProcedure="false">{#N/A,#N/A,FALSE,"DIR-REP";#N/A,#N/A,FALSE,"AUD-REPORT";#N/A,#N/A,FALSE,"P7L&amp;BS";#N/A,#N/A,FALSE,"NOTES";#N/A,#N/A,FALSE,"FA";#N/A,#N/A,FALSE,"NOTES (2)";#N/A,#N/A,FALSE,"Schedule  IV";#N/A,#N/A,FALSE,"Schedule V"}</definedName>
    <definedName function="false" hidden="true" name="sort" vbProcedure="false">#REF!</definedName>
    <definedName function="false" hidden="true" name="sotaljt" vbProcedure="false">{#N/A,#N/A,FALSE,"TB";#N/A,#N/A,FALSE,"AR";#N/A,#N/A,FALSE,"BS";#N/A,#N/A,FALSE,"PL";#N/A,#N/A,FALSE,"NOTES";#N/A,#N/A,FALSE,"NOTES (2)";#N/A,#N/A,FALSE,"NOTES (3)";#N/A,#N/A,FALSE,"TAXC.INDEX";#N/A,#N/A,FALSE,"Schedule I";#N/A,#N/A,FALSE,"DPL";#N/A,#N/A,FALSE,"Schedule IV";#N/A,#N/A,FALSE,"Adjustments"}</definedName>
    <definedName function="false" hidden="true" name="sp"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spo" vbProcedure="false">{#N/A,#N/A,FALSE,"TB";#N/A,#N/A,FALSE,"DR";#N/A,#N/A,FALSE,"AR";#N/A,#N/A,FALSE,"PL";#N/A,#N/A,FALSE,"BS";#N/A,#N/A,FALSE,"NOTES";#N/A,#N/A,FALSE,"NOTES (2)";#N/A,#N/A,FALSE,"NOTES (3)";#N/A,#N/A,FALSE,"DPL";#N/A,#N/A,FALSE,"TAXC.INDEX";#N/A,#N/A,FALSE,"Schedule I";#N/A,#N/A,FALSE,"Adjustments"}</definedName>
    <definedName function="false" hidden="false" name="sprog" vbProcedure="false">#REF!</definedName>
    <definedName function="false" hidden="true" name="sq" vbProcedure="false">{"vue1",#N/A,FALSE,"synthese";"vue2",#N/A,FALSE,"synthese"}</definedName>
    <definedName function="false" hidden="true" name="sqdqs" vbProcedure="false">{#N/A,#N/A,FALSE,"EV.D.P.BC";#N/A,#N/A,FALSE,"EV.D.P.HC";#N/A,#N/A,FALSE,"EV.D.P.LC";#N/A,#N/A,FALSE,"AN.CIV.BC";#N/A,#N/A,FALSE,"AN.CIV.HC";#N/A,#N/A,FALSE,"AN.CIV.LC";#N/A,#N/A,FALSE,"Res.1";#N/A,#N/A,FALSE,"AN.GAZ.BC";#N/A,#N/A,FALSE,"AN.GAZ.HC";#N/A,#N/A,FALSE,"AN.GAZ.LC";#N/A,#N/A,FALSE,"AN.GAZ.BC M3";#N/A,#N/A,FALSE,"AN.GAZ.HC M3";#N/A,#N/A,FALSE,"AN.GAZ.LC M3";#N/A,#N/A,FALSE,"Res.2"}</definedName>
    <definedName function="false" hidden="true" name="sqf" vbProcedure="false">{#N/A,#N/A,FALSE,"EV.D.P.BC";#N/A,#N/A,FALSE,"EV.D.P.HC";#N/A,#N/A,FALSE,"EV.D.P.LC";#N/A,#N/A,FALSE,"AN.CIV.BC";#N/A,#N/A,FALSE,"AN.CIV.HC";#N/A,#N/A,FALSE,"AN.CIV.LC";#N/A,#N/A,FALSE,"Res.1";#N/A,#N/A,FALSE,"AN.GAZ.BC";#N/A,#N/A,FALSE,"AN.GAZ.HC";#N/A,#N/A,FALSE,"AN.GAZ.LC";#N/A,#N/A,FALSE,"AN.GAZ.BC M3";#N/A,#N/A,FALSE,"AN.GAZ.HC M3";#N/A,#N/A,FALSE,"AN.GAZ.LC M3";#N/A,#N/A,FALSE,"Res.2"}</definedName>
    <definedName function="false" hidden="true" name="sqkjskq" vbProcedure="false">{#N/A,#N/A,FALSE,"INPUTS";#N/A,#N/A,FALSE,"PROFORMA BSHEET";#N/A,#N/A,FALSE,"COMBINED";#N/A,#N/A,FALSE,"ACQUIROR";#N/A,#N/A,FALSE,"TARGET 1";#N/A,#N/A,FALSE,"TARGET 2";#N/A,#N/A,FALSE,"HIGH YIELD";#N/A,#N/A,FALSE,"OVERFUND"}</definedName>
    <definedName function="false" hidden="true" name="sql_statement" vbProcedure="false">"select distinct acct_cat,sum(cyr),sum(lyr),sum(cbd),mult_x005F_x000D_
from r1_datasum_x005F_x000D_
group by acct_cat_x005F_x000D_
_x005F_x000D_
"</definedName>
    <definedName function="false" hidden="true" name="sre" vbProcedure="false">{"vol data",#N/A,FALSE,"Datasheet";"vol graph",#N/A,FALSE,"Volume";"price data",#N/A,FALSE,"Datasheet";"price graph",#N/A,FALSE,"Price";"dp data",#N/A,FALSE,"Datasheet";"dp graph",#N/A,FALSE,"DirectProfit"}</definedName>
    <definedName function="false" hidden="true" name="srgserg"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srhsr" vbProcedure="false">{"Sum WW A",#N/A,FALSE,"FY95SLS";"Sum WW B",#N/A,FALSE,"FY95SLS";"Sum US A",#N/A,FALSE,"FY95SLS";"Sum US B",#N/A,FALSE,"FY95SLS";"Sum US Bocg",#N/A,FALSE,"FY95SLS";"Sum Can A",#N/A,FALSE,"FY95SLS";"Sum Can B",#N/A,FALSE,"FY95SLS";"Sum Europe",#N/A,FALSE,"FY95SLS";"Sum Row",#N/A,FALSE,"FY95SLS"}</definedName>
    <definedName function="false" hidden="true" name="srtgh" vbProcedure="false">{#N/A,#N/A,FALSE,"3";#N/A,#N/A,FALSE,"5";#N/A,#N/A,FALSE,"6";#N/A,#N/A,FALSE,"8";#N/A,#N/A,FALSE,"10";#N/A,#N/A,FALSE,"13";#N/A,#N/A,FALSE,"14";#N/A,#N/A,FALSE,"15";#N/A,#N/A,FALSE,"16"}</definedName>
    <definedName function="false" hidden="true" name="ss" vbProcedure="false">{"detail",#N/A,FALSE,"mfg";"summary",#N/A,FALSE,"mfg"}</definedName>
    <definedName function="false" hidden="true" name="ssadsad" vbProcedure="false">{#N/A,"PURADD",FALSE,"Business Analysis";#N/A,"PURSPP",FALSE,"Business Analysis";#N/A,"CTGIND",FALSE,"Business Analysis";#N/A,"PURCHM",FALSE,"Business Analysis";#N/A,"SPADD",FALSE,"Business Analysis";#N/A,"EPOXY",FALSE,"Business Analysis";#N/A,"PURPER",FALSE,"Business Analysis"}</definedName>
    <definedName function="false" hidden="true" name="SSD" vbProcedure="false">{#N/A,#N/A,FALSE,"REPORT"}</definedName>
    <definedName function="false" hidden="true" name="sse" vbProcedure="false">{"YD GENERALH2",#N/A,FALSE,"YTD"}</definedName>
    <definedName function="false" hidden="true" name="sss" vbProcedure="false">{#N/A,#N/A,FALSE,"Pharm";#N/A,#N/A,FALSE,"WWCM"}</definedName>
    <definedName function="false" hidden="true" name="ssss" vbProcedure="false">{#N/A,"PURCHM",FALSE,"Business Analysis";#N/A,"SPADD",FALSE,"Business Analysis"}</definedName>
    <definedName function="false" hidden="true" name="sssss" vbProcedure="false">{#N/A,"PURCHM",FALSE,"Business Analysis";#N/A,"SPADD",FALSE,"Business Analysis"}</definedName>
    <definedName function="false" hidden="true" name="ssssss" vbProcedure="false">{#N/A,#N/A,FALSE,"TB";#N/A,#N/A,FALSE,"AR";#N/A,#N/A,FALSE,"BS";#N/A,#N/A,FALSE,"PL";#N/A,#N/A,FALSE,"NOTES";#N/A,#N/A,FALSE,"NOTES (2)";#N/A,#N/A,FALSE,"NOTES (3)";#N/A,#N/A,FALSE,"TAXC.INDEX";#N/A,#N/A,FALSE,"Schedule I";#N/A,#N/A,FALSE,"DPL";#N/A,#N/A,FALSE,"Schedule IV";#N/A,#N/A,FALSE,"Adjustments"}</definedName>
    <definedName function="false" hidden="true" name="sssssss" vbProcedure="false">{#N/A,#N/A,FALSE,"TB";#N/A,#N/A,FALSE,"DR";#N/A,#N/A,FALSE,"AR";#N/A,#N/A,FALSE,"BS";#N/A,#N/A,FALSE,"PL";#N/A,#N/A,FALSE,"NOTES";#N/A,#N/A,FALSE,"NOTES (2)";#N/A,#N/A,FALSE,"NOTES (3)";#N/A,#N/A,FALSE,"DPL";#N/A,#N/A,FALSE,"DPL"}</definedName>
    <definedName function="false" hidden="true" name="ssssssss" vbProcedure="false">{#N/A,#N/A,FALSE,"TB";#N/A,#N/A,FALSE,"DR";#N/A,#N/A,FALSE,"AR";#N/A,#N/A,FALSE,"BS";#N/A,#N/A,FALSE,"PL";#N/A,#N/A,FALSE,"NOTES";#N/A,#N/A,FALSE,"NOTES (2)";#N/A,#N/A,FALSE,"NOTES (3)";#N/A,#N/A,FALSE,"DPL";#N/A,#N/A,FALSE,"DPL"}</definedName>
    <definedName function="false" hidden="true" name="sssssssssssssssss" vbProcedure="false">{"detail",#N/A,FALSE,"mfg";"summary",#N/A,FALSE,"mfg"}</definedName>
    <definedName function="false" hidden="true" name="sssswwww" vbProcedure="false">{#N/A,"PURCHM",FALSE,"Business Analysis";#N/A,"SPADD",FALSE,"Business Analysis"}</definedName>
    <definedName function="false" hidden="true" name="Staril" vbProcedure="false">{#N/A,#N/A,FALSE,"REPORT"}</definedName>
    <definedName function="false" hidden="true" name="STARTDATE" vbProcedure="false">" "</definedName>
    <definedName function="false" hidden="true" name="stef" vbProcedure="false">{#N/A,#N/A,TRUE,"Cover sheet";#N/A,#N/A,TRUE,"Summary";#N/A,#N/A,TRUE,"Key Assumptions";#N/A,#N/A,TRUE,"Profit &amp; Loss";#N/A,#N/A,TRUE,"Balance Sheet";#N/A,#N/A,TRUE,"Cashflow";#N/A,#N/A,TRUE,"IRR";#N/A,#N/A,TRUE,"Ratios";#N/A,#N/A,TRUE,"Debt analysis"}</definedName>
    <definedName function="false" hidden="true" name="stephanie" vbProcedure="false">{#N/A,#N/A,FALSE,"3";#N/A,#N/A,FALSE,"5";#N/A,#N/A,FALSE,"6";#N/A,#N/A,FALSE,"8";#N/A,#N/A,FALSE,"10";#N/A,#N/A,FALSE,"13";#N/A,#N/A,FALSE,"14";#N/A,#N/A,FALSE,"15";#N/A,#N/A,FALSE,"16"}</definedName>
    <definedName function="false" hidden="true" name="StratPlanAP" vbProcedure="false">{#N/A,#N/A,FALSE,"Pharm";#N/A,#N/A,FALSE,"WWCM"}</definedName>
    <definedName function="false" hidden="true" name="strwyu" vbProcedure="false">{"Pound Sterling",#N/A,TRUE,"PPD";"Pound Sterling",#N/A,TRUE,"Anaquest";"Pound Sterling",#N/A,TRUE,"Delta";"Pound Sterling",#N/A,TRUE,"INO"}</definedName>
    <definedName function="false" hidden="true" name="SubsGrowth" vbProcedure="false">#REF!</definedName>
    <definedName function="false" hidden="true" name="sum" vbProcedure="false">{"Sum WW A",#N/A,FALSE,"FY95SLS";"Sum WW B",#N/A,FALSE,"FY95SLS";"Sum US A",#N/A,FALSE,"FY95SLS";"Sum US B",#N/A,FALSE,"FY95SLS";"Sum US Bocg",#N/A,FALSE,"FY95SLS";"Sum Can A",#N/A,FALSE,"FY95SLS";"Sum Can B",#N/A,FALSE,"FY95SLS";"Sum Europe",#N/A,FALSE,"FY95SLS";"Sum Row",#N/A,FALSE,"FY95SLS"}</definedName>
    <definedName function="false" hidden="false" name="SumColumn" vbProcedure="false">_xlfn.lambda(_xlpm.column,      INDEX(#REF!, 0,          MATCH(_xlpm.column,#REF!, 0) + 1     ) )</definedName>
    <definedName function="false" hidden="true" name="SUMM." vbProcedure="false">{#N/A,#N/A,FALSE,"SUMMARY"}</definedName>
    <definedName function="false" hidden="true" name="summm" vbProcedure="false">{"Units A",#N/A,FALSE,"FY95SLS";"Units B",#N/A,FALSE,"FY95SLS"}</definedName>
    <definedName function="false" hidden="true" name="super"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Susan" vbProcedure="false">{#N/A,#N/A,FALSE,"Revised cover";#N/A,#N/A,FALSE,"Trends";"main view",#N/A,FALSE,"As Reported";#N/A,#N/A,FALSE,"delegations";#N/A,#N/A,FALSE,"(un) Commited"}</definedName>
    <definedName function="false" hidden="true" name="suub"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V_AUTO_CONN_CATALOG" vbProcedure="false">"NEWCO"</definedName>
    <definedName function="false" hidden="true" name="SV_AUTO_CONN_SERVER" vbProcedure="false">"BAMSQL01"</definedName>
    <definedName function="false" hidden="true" name="SV_ENCPT_AUTO_CONN_PASSWORD" vbProcedure="false">"083096084083070089098104103051052050069091087033"</definedName>
    <definedName function="false" hidden="true" name="SV_ENCPT_AUTO_CONN_USER" vbProcedure="false">"095094088070084089098104103"</definedName>
    <definedName function="false" hidden="true" name="SV_ENCPT_LOGON_PWD" vbProcedure="false">"078104085088070"</definedName>
    <definedName function="false" hidden="true" name="SV_ENCPT_LOGON_USER" vbProcedure="false">"095094088070084071069078075078"</definedName>
    <definedName function="false" hidden="true" name="sw" vbProcedure="false">{#N/A,"PURCHM",FALSE,"Business Analysis";#N/A,"SPADD",FALSE,"Business Analysis"}</definedName>
    <definedName function="false" hidden="true" name="swaw" vbProcedure="false">{"TEXO2N2_VOL",#N/A,FALSE,"MTHLYVOL";"TEXH2_VOL",#N/A,FALSE,"MTHLYVOL";"LOUIS_VOL",#N/A,FALSE,"MTHLYVOL";"H2_VOL",#N/A,FALSE,"MTHLYVOL";"O2N2_VOL",#N/A,FALSE,"MTHLYVOL";"PACKAGE_VOL",#N/A,FALSE,"MTHLYVOL"}</definedName>
    <definedName function="false" hidden="false" name="Switch" vbProcedure="false">#REF!</definedName>
    <definedName function="false" hidden="true" name="swjgtj"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swju" vbProcedure="false">{"Pound Sterling",#N/A,TRUE,"PPD";"Pound Sterling",#N/A,TRUE,"Anaquest";"Pound Sterling",#N/A,TRUE,"Delta";"Pound Sterling",#N/A,TRUE,"INO"}</definedName>
    <definedName function="false" hidden="true" name="swq" vbProcedure="false">{#N/A,"PURCHM",FALSE,"Business Analysis";#N/A,"SPADD",FALSE,"Business Analysis"}</definedName>
    <definedName function="false" hidden="true" name="swr" vbProcedure="false">{"Polymers Details",#N/A,FALSE,"Current Yr";"Polymer Details",#N/A,FALSE,"Budget";"Polymer Details",#N/A,FALSE,"Prior Year"}</definedName>
    <definedName function="false" hidden="true" name="Swvu.ce_storici." vbProcedure="false">#REF!</definedName>
    <definedName function="false" hidden="true" name="Swvu.dd." vbProcedure="false">#REF!</definedName>
    <definedName function="false" hidden="true" name="swyrjryjtr" vbProcedure="false">{"Sum WW A",#N/A,FALSE,"FY95SLS";"Sum WW B",#N/A,FALSE,"FY95SLS";"Sum US A",#N/A,FALSE,"FY95SLS";"Sum US B",#N/A,FALSE,"FY95SLS";"Sum US Bocg",#N/A,FALSE,"FY95SLS";"Sum Can A",#N/A,FALSE,"FY95SLS";"Sum Can B",#N/A,FALSE,"FY95SLS";"Sum Europe",#N/A,FALSE,"FY95SLS";"Sum Row",#N/A,FALSE,"FY95SLS"}</definedName>
    <definedName function="false" hidden="true" name="SX"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sz"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szx" vbProcedure="false">{"LAPO2N2",#N/A,FALSE,"CM"}</definedName>
    <definedName function="false" hidden="true" name="t" vbProcedure="false">{"'下期集計（10.27迄・速報値）'!$Q$16"}</definedName>
    <definedName function="false" hidden="true" name="t.2" vbProcedure="false">{#N/A,#N/A,FALSE,"Umsatz EO BP";#N/A,#N/A,FALSE,"Umsatz EO OP";#N/A,#N/A,FALSE,"ER EO BP";#N/A,#N/A,FALSE,"ER EO OP";#N/A,#N/A,FALSE,"EA EO (2)";#N/A,#N/A,FALSE,"EA EO";#N/A,#N/A,FALSE,"EA EO (3)";#N/A,#N/A,FALSE,"EA EO (4)";#N/A,#N/A,FALSE,"KA EO  (2)";#N/A,#N/A,FALSE,"KA EO";#N/A,#N/A,FALSE,"KA EO  (3)";#N/A,#N/A,FALSE,"KA EO (4)"}</definedName>
    <definedName function="false" hidden="true" name="t.5"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ta" vbProcedure="false">{"BA detail",#N/A,FALSE,"Q3YTD "}</definedName>
    <definedName function="false" hidden="true" name="taber" vbProcedure="false">1/eurextoiep</definedName>
    <definedName function="false" hidden="true" name="tabla" vbProcedure="false">{#N/A,#N/A,FALSE,"Resumen";#N/A,#N/A,FALSE,"Full";#N/A,"Carabeer",FALSE,"Dscto.";#N/A,"Disbracentro",FALSE,"Dscto.";#N/A,"Andes",FALSE,"Dscto.";#N/A,"Mar Caribe",FALSE,"Dscto.";#N/A,"Río Beer",FALSE,"Dscto.";#N/A,#N/A,FALSE,"P.L.Full";#N/A,#N/A,FALSE,"P.L.Desc."}</definedName>
    <definedName function="false" hidden="true" name="tabla1" vbProcedure="false">{#N/A,#N/A,FALSE,"Resumen";#N/A,#N/A,FALSE,"Full";#N/A,"Carabeer",FALSE,"Dscto.";#N/A,"Disbracentro",FALSE,"Dscto.";#N/A,"Andes",FALSE,"Dscto.";#N/A,"Mar Caribe",FALSE,"Dscto.";#N/A,"Río Beer",FALSE,"Dscto.";#N/A,#N/A,FALSE,"P.L.Full";#N/A,#N/A,FALSE,"P.L.Desc."}</definedName>
    <definedName function="false" hidden="true" name="table" vbProcedure="false">{#N/A,#N/A,TRUE,"Income";#N/A,#N/A,TRUE,"IncomeDetail";#N/A,#N/A,TRUE,"Balance";#N/A,#N/A,TRUE,"BalDetail"}</definedName>
    <definedName function="false" hidden="true" name="tai.v4" vbProcedure="false">{#N/A,#N/A,FALSE,"Umsatz EO BP";#N/A,#N/A,FALSE,"Umsatz EO OP";#N/A,#N/A,FALSE,"ER EO BP";#N/A,#N/A,FALSE,"ER EO OP";#N/A,#N/A,FALSE,"EA EO (2)";#N/A,#N/A,FALSE,"EA EO";#N/A,#N/A,FALSE,"EA EO (3)";#N/A,#N/A,FALSE,"EA EO (4)";#N/A,#N/A,FALSE,"KA EO  (2)";#N/A,#N/A,FALSE,"KA EO";#N/A,#N/A,FALSE,"KA EO  (3)";#N/A,#N/A,FALSE,"KA EO (4)"}</definedName>
    <definedName function="false" hidden="true" name="Tail.2" vbProcedure="false">{#N/A,#N/A,FALSE,"KA CH  (2)"}</definedName>
    <definedName function="false" hidden="false" name="Target_name" vbProcedure="false">#REF!</definedName>
    <definedName function="false" hidden="true" name="tat" vbProcedure="false">{#N/A,#N/A,FALSE,"TB";#N/A,#N/A,FALSE,"AR";#N/A,#N/A,FALSE,"BS";#N/A,#N/A,FALSE,"PL";#N/A,#N/A,FALSE,"NOTES";#N/A,#N/A,FALSE,"NOTES (2)";#N/A,#N/A,FALSE,"NOTES (3)";#N/A,#N/A,FALSE,"TAXC.INDEX";#N/A,#N/A,FALSE,"Schedule I";#N/A,#N/A,FALSE,"DPL";#N/A,#N/A,FALSE,"Schedule IV";#N/A,#N/A,FALSE,"Adjustments"}</definedName>
    <definedName function="false" hidden="true" name="taxol" vbProcedure="false">{#N/A,#N/A,FALSE,"Pharm";#N/A,#N/A,FALSE,"WWCM"}</definedName>
    <definedName function="false" hidden="true" name="Taxpb" vbProcedure="false">#REF!</definedName>
    <definedName function="false" hidden="true" name="tay" vbProcedure="false">{#N/A,#N/A,FALSE,"TAXC.INDEX";#N/A,#N/A,FALSE,"Schedule I";#N/A,#N/A,FALSE,"Schedule  II";#N/A,#N/A,FALSE,"Schedule III";#N/A,#N/A,FALSE,"Schedule IV";#N/A,#N/A,FALSE,"Schedule IV (Cont'd)";#N/A,#N/A,FALSE,"Schedule V";#N/A,#N/A,FALSE,"Schedule VI";#N/A,#N/A,FALSE,"Schedule VII"}</definedName>
    <definedName function="false" hidden="true" name="tb"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TBaae738a5_d061_445f_912b_a2eadaf96880" vbProcedure="false">#REF!</definedName>
    <definedName function="false" hidden="true" name="TBbc800a9d_d4c7_465f_ae2a_4ebae9aa6b8f" vbProcedure="false">#REF!</definedName>
    <definedName function="false" hidden="true" name="TBc51b1d13_fc00_4b78_826a_109d4093cd3d" vbProcedure="false">#REF!</definedName>
    <definedName function="false" hidden="true" name="tcot" vbProcedure="false">{#N/A,#N/A,FALSE,"TB";#N/A,#N/A,FALSE,"DR";#N/A,#N/A,FALSE,"AR";#N/A,#N/A,FALSE,"PL";#N/A,#N/A,FALSE,"BS";#N/A,#N/A,FALSE,"NOTES";#N/A,#N/A,FALSE,"NOTES (2)";#N/A,#N/A,FALSE,"NOTES (3)";#N/A,#N/A,FALSE,"DPL";#N/A,#N/A,FALSE,"TAXC.INDEX";#N/A,#N/A,FALSE,"Schedule I";#N/A,#N/A,FALSE,"Adjustments"}</definedName>
    <definedName function="false" hidden="true" name="td"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TDS" vbProcedure="false">{#N/A,#N/A,FALSE,"3";#N/A,#N/A,FALSE,"5";#N/A,#N/A,FALSE,"6";#N/A,#N/A,FALSE,"8";#N/A,#N/A,FALSE,"10";#N/A,#N/A,FALSE,"13";#N/A,#N/A,FALSE,"14";#N/A,#N/A,FALSE,"15";#N/A,#N/A,FALSE,"16"}</definedName>
    <definedName function="false" hidden="true" name="tdsissco" vbProcedure="false">{#N/A,#N/A,FALSE,"3";#N/A,#N/A,FALSE,"5";#N/A,#N/A,FALSE,"6";#N/A,#N/A,FALSE,"8";#N/A,#N/A,FALSE,"10";#N/A,#N/A,FALSE,"13";#N/A,#N/A,FALSE,"14";#N/A,#N/A,FALSE,"15";#N/A,#N/A,FALSE,"16"}</definedName>
    <definedName function="false" hidden="true" name="TDSplan" vbProcedure="false">{#N/A,#N/A,FALSE,"3";#N/A,#N/A,FALSE,"5";#N/A,#N/A,FALSE,"6";#N/A,#N/A,FALSE,"8";#N/A,#N/A,FALSE,"10";#N/A,#N/A,FALSE,"13";#N/A,#N/A,FALSE,"14";#N/A,#N/A,FALSE,"15";#N/A,#N/A,FALSE,"16"}</definedName>
    <definedName function="false" hidden="true" name="te" vbProcedure="false">{"pro_view",#N/A,FALSE,"EEFSNAP2";"rep_view",#N/A,FALSE,"EEFSNAP2"}</definedName>
    <definedName function="false" hidden="true" name="telop" vbProcedure="false">{#N/A,#N/A,FALSE,"Eastern";#N/A,#N/A,FALSE,"Western"}</definedName>
    <definedName function="false" hidden="true" name="Tem" vbProcedure="false">{#N/A,#N/A,FALSE,"Pharm";#N/A,#N/A,FALSE,"WWCM"}</definedName>
    <definedName function="false" hidden="true" name="Temp" vbProcedure="false">{#N/A,#N/A,FALSE,"TB";#N/A,#N/A,FALSE,"AR";#N/A,#N/A,FALSE,"BS";#N/A,#N/A,FALSE,"PL";#N/A,#N/A,FALSE,"NOTES";#N/A,#N/A,FALSE,"NOTES (2)";#N/A,#N/A,FALSE,"NOTES (3)";#N/A,#N/A,FALSE,"TAXC.INDEX";#N/A,#N/A,FALSE,"Schedule I";#N/A,#N/A,FALSE,"DPL";#N/A,#N/A,FALSE,"Schedule IV";#N/A,#N/A,FALSE,"Adjustments"}</definedName>
    <definedName function="false" hidden="true" name="TEMP1" vbProcedure="false">{"contributory1",#N/A,FALSE,"Contributory Assets Detail";"contributory2",#N/A,FALSE,"Contributory Assets Detail"}</definedName>
    <definedName function="false" hidden="true" name="temp2" vbProcedure="false">{#N/A,#N/A,FALSE,"Op_Stmt";#N/A,#N/A,FALSE,"Consol_Op_Stmt";#N/A,#N/A,FALSE,"rev_summ";#N/A,#N/A,FALSE,"Unit_Summ";#N/A,#N/A,FALSE,"EBIT_summ";#N/A,#N/A,FALSE,"RONA_NetAssets"}</definedName>
    <definedName function="false" hidden="true" name="temp3" vbProcedure="false">{#N/A,#N/A,FALSE,"Op_Stmt";#N/A,#N/A,FALSE,"Consol_Op_Stmt";#N/A,#N/A,FALSE,"rev_summ";#N/A,#N/A,FALSE,"Unit_Summ";#N/A,#N/A,FALSE,"EBIT_summ";#N/A,#N/A,FALSE,"RONA_NetAssets"}</definedName>
    <definedName function="false" hidden="true" name="Template"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TemplateVersion" vbProcedure="false">#REF!</definedName>
    <definedName function="false" hidden="true" name="teq" vbProcedure="false">{#N/A,#N/A,FALSE,"Pharm";#N/A,#N/A,FALSE,"WWCM"}</definedName>
    <definedName function="false" hidden="true" name="Tequin" vbProcedure="false">{#N/A,#N/A,FALSE,"Pharm";#N/A,#N/A,FALSE,"WWCM"}</definedName>
    <definedName function="false" hidden="true" name="tequinol" vbProcedure="false">{#N/A,#N/A,FALSE,"REPORT"}</definedName>
    <definedName function="false" hidden="true" name="ter"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terc" vbProcedure="false">{"YD GENERALH2",#N/A,FALSE,"YTD"}</definedName>
    <definedName function="false" hidden="true" name="terghrtjrt" vbProcedure="false">{"Units A",#N/A,FALSE,"FY95SLS";"Units B",#N/A,FALSE,"FY95SLS"}</definedName>
    <definedName function="false" hidden="true" name="terywer" vbProcedure="false">{"Pound Sterling",#N/A,TRUE,"PPD";"Pound Sterling",#N/A,TRUE,"Anaquest";"Pound Sterling",#N/A,TRUE,"Delta";"Pound Sterling",#N/A,TRUE,"INO"}</definedName>
    <definedName function="false" hidden="false" name="test" vbProcedure="false">{#N/A,"S 0373 ",TRUE,"Sheet1";#N/A,"S 0374 ",TRUE,"Sheet1";#N/A,"S 0375 ",TRUE,"Sheet1";#N/A,"S 0376 ",TRUE,"Sheet1";#N/A,"S 0699 ",TRUE,"Sheet1";#N/A,"S 0705 ",TRUE,"Sheet1";#N/A,"S 0707 ",TRUE,"Sheet1";#N/A,"S 0708 ",TRUE,"Sheet1";#N/A,"S 0709 ",TRUE,"Sheet1";#N/A,"S 0714 ",TRUE,"Sheet1";#N/A,"S 0716 ",TRUE,"Sheet1";#N/A,"S 0719 ",TRUE,"Sheet1";#N/A,"S 0723 ",TRUE,"Sheet1"}</definedName>
    <definedName function="false" hidden="true" name="test.table.test" vbProcedure="false">{#N/A,#N/A,FALSE,"Inc Stmt";#N/A,#N/A,FALSE,"Indirect Costs";#N/A,#N/A,FALSE,"Capital"}</definedName>
    <definedName function="false" hidden="true" name="test.test.123" vbProcedure="false">{#N/A,#N/A,FALSE,"Assumptions";#N/A,#N/A,FALSE,"Reforecast";#N/A,#N/A,FALSE,"Inc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function="false" hidden="true" name="test1" vbProcedure="false">{#N/A,#N/A,FALSE,"Umsatz";#N/A,#N/A,FALSE,"Base V.02";#N/A,#N/A,FALSE,"Charts"}</definedName>
    <definedName function="false" hidden="true" name="test123" vbProcedure="false">{#N/A,#N/A,FALSE,"BreakoutFY95";#N/A,#N/A,FALSE,"BreakoutFY96";#N/A,#N/A,FALSE,"BreakoutFY97";#N/A,#N/A,FALSE,"BreakoutFY98"}</definedName>
    <definedName function="false" hidden="true" name="test123456" vbProcedure="false">{#N/A,#N/A,FALSE,"Assumptions";#N/A,#N/A,FALSE,"N-IS-Sum";#N/A,#N/A,FALSE,"N-St-Sum";#N/A,#N/A,FALSE,"Inc Stmt";#N/A,#N/A,FALSE,"Stats"}</definedName>
    <definedName function="false" hidden="true" name="Test2" vbProcedure="false">#REF!,#REF!,#REF!,#REF!,#REF!,#REF!,#REF!,#REF!,#REF!,#REF!,#REF!,#REF!,#REF!,#REF!,#REF!</definedName>
    <definedName function="false" hidden="true" name="test3" vbProcedure="false">{"FCST_byMonth",#N/A,FALSE,"Legal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function="false" hidden="true" name="test4" vbProcedure="false">{"ASCONGRP","COMPANIES",TRUE}</definedName>
    <definedName function="false" hidden="true" name="test5" vbProcedure="false">{"EUUTIGRP","COMPANIES",TRUE}</definedName>
    <definedName function="false" hidden="true" name="test6" vbProcedure="false">{"EUUTI","COMPANIES",TRUE}</definedName>
    <definedName function="false" hidden="true" name="teste" vbProcedure="false">{#N/A,#N/A,FALSE,"Pharm";#N/A,#N/A,FALSE,"WWCM"}</definedName>
    <definedName function="false" hidden="true" name="tests" vbProcedure="false">{#N/A,#N/A,FALSE,"F_Plan";#N/A,#N/A,FALSE,"Parameter"}</definedName>
    <definedName function="false" hidden="true" name="TextRefCopyRangeCount" vbProcedure="false">4</definedName>
    <definedName function="false" hidden="true" name="tf" vbProcedure="false">{"Performance Details",#N/A,FALSE,"Current Yr";"Performance Details",#N/A,FALSE,"Budget";"Performance Details",#N/A,FALSE,"Prior Year"}</definedName>
    <definedName function="false" hidden="true" name="tftchristine" vbProcedure="false">{#N/A,#N/A,FALSE,"3";#N/A,#N/A,FALSE,"5";#N/A,#N/A,FALSE,"6";#N/A,#N/A,FALSE,"8";#N/A,#N/A,FALSE,"10";#N/A,#N/A,FALSE,"13";#N/A,#N/A,FALSE,"14";#N/A,#N/A,FALSE,"15";#N/A,#N/A,FALSE,"16"}</definedName>
    <definedName function="false" hidden="true" name="tftchristine2" vbProcedure="false">{#N/A,#N/A,FALSE,"3";#N/A,#N/A,FALSE,"5";#N/A,#N/A,FALSE,"6";#N/A,#N/A,FALSE,"8";#N/A,#N/A,FALSE,"10";#N/A,#N/A,FALSE,"13";#N/A,#N/A,FALSE,"14";#N/A,#N/A,FALSE,"15";#N/A,#N/A,FALSE,"16"}</definedName>
    <definedName function="false" hidden="true" name="tg" vbProcedure="false">{#N/A,"MacToolsZag",FALSE,"P&amp;L"}</definedName>
    <definedName function="false" hidden="true" name="tgvu" vbProcedure="false">{#N/A,#N/A,FALSE,"TAXC.INDEX";#N/A,#N/A,FALSE,"Schedule I";#N/A,#N/A,FALSE,"Schedule  II";#N/A,#N/A,FALSE,"Schedule III";#N/A,#N/A,FALSE,"Schedule IV";#N/A,#N/A,FALSE,"Schedule IV (Cont'd)";#N/A,#N/A,FALSE,"Schedule V";#N/A,#N/A,FALSE,"Schedule VI";#N/A,#N/A,FALSE,"Schedule VII"}</definedName>
    <definedName function="false" hidden="true" name="tha.2" vbProcedure="false">{#N/A,#N/A,FALSE,"Produkte Erw.";#N/A,#N/A,FALSE,"Produkte Plan";#N/A,#N/A,FALSE,"Leistungen Erw.";#N/A,#N/A,FALSE,"Leistungen Plan";#N/A,#N/A,FALSE,"KA Allg.Kosten (2)";#N/A,#N/A,FALSE,"KA All.Kosten"}</definedName>
    <definedName function="false" hidden="true" name="tha.3" vbProcedure="false">{#N/A,#N/A,FALSE,"KA CH  (2)"}</definedName>
    <definedName function="false" hidden="true" name="tha.4"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tha.4._99" vbProcedure="false">{#N/A,#N/A,FALSE,"Umsatz 99";#N/A,#N/A,FALSE,"ER 99 "}</definedName>
    <definedName function="false" hidden="true" name="Thail.2" vbProcedure="false">{#N/A,#N/A,FALSE,"Umsatz 99";#N/A,#N/A,FALSE,"ER 99 "}</definedName>
    <definedName function="false" hidden="true" name="thank" vbProcedure="false">{#N/A,#N/A,FALSE,"TB";#N/A,#N/A,FALSE,"AR";#N/A,#N/A,FALSE,"BS";#N/A,#N/A,FALSE,"PL";#N/A,#N/A,FALSE,"NOTES";#N/A,#N/A,FALSE,"NOTES (2)";#N/A,#N/A,FALSE,"NOTES (3)";#N/A,#N/A,FALSE,"TAXC.INDEX";#N/A,#N/A,FALSE,"Schedule I";#N/A,#N/A,FALSE,"DPL";#N/A,#N/A,FALSE,"Schedule IV";#N/A,#N/A,FALSE,"Adjustments"}</definedName>
    <definedName function="false" hidden="true" name="thierry" vbProcedure="false">{"Totax",#N/A,FALSE,"Sheet1";#N/A,#N/A,FALSE,"Law Output"}</definedName>
    <definedName function="false" hidden="true" name="thth" vbProcedure="false">{#N/A,#N/A,FALSE,"Calc";#N/A,#N/A,FALSE,"Sensitivity";#N/A,#N/A,FALSE,"LT Earn.Dil.";#N/A,#N/A,FALSE,"Dil. AVP"}</definedName>
    <definedName function="false" hidden="true" name="thtrhtrh" vbProcedure="false">{"Sum WW A",#N/A,FALSE,"FY95SLS";"Sum WW B",#N/A,FALSE,"FY95SLS";"Sum US A",#N/A,FALSE,"FY95SLS";"Sum US B",#N/A,FALSE,"FY95SLS";"Sum US Bocg",#N/A,FALSE,"FY95SLS";"Sum Can A",#N/A,FALSE,"FY95SLS";"Sum Can B",#N/A,FALSE,"FY95SLS";"Sum Europe",#N/A,FALSE,"FY95SLS";"Sum Row",#N/A,FALSE,"FY95SLS"}</definedName>
    <definedName function="false" hidden="true" name="thwrthw"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false" name="TIMEPRIS" vbProcedure="false">#REF!</definedName>
    <definedName function="false" hidden="true" name="tisg" vbProcedure="false">{#N/A,#N/A,FALSE,"TB";#N/A,#N/A,FALSE,"DR";#N/A,#N/A,FALSE,"AR";#N/A,#N/A,FALSE,"PL";#N/A,#N/A,FALSE,"BS";#N/A,#N/A,FALSE,"NOTES";#N/A,#N/A,FALSE,"NOTES (2)";#N/A,#N/A,FALSE,"NOTES (3)";#N/A,#N/A,FALSE,"DPL";#N/A,#N/A,FALSE,"TAXC.INDEX";#N/A,#N/A,FALSE,"Schedule I";#N/A,#N/A,FALSE,"Adjustments"}</definedName>
    <definedName function="false" hidden="true" name="titi" vbProcedure="false">#REF!</definedName>
    <definedName function="false" hidden="true" name="titleCol" vbProcedure="false">#REF!</definedName>
    <definedName function="false" hidden="true" name="tjd" vbProcedure="false">{"Sum WW A",#N/A,FALSE,"FY95SLS";"Sum WW B",#N/A,FALSE,"FY95SLS";"Sum US A",#N/A,FALSE,"FY95SLS";"Sum US B",#N/A,FALSE,"FY95SLS";"Sum US Bocg",#N/A,FALSE,"FY95SLS";"Sum Can A",#N/A,FALSE,"FY95SLS";"Sum Can B",#N/A,FALSE,"FY95SLS";"Sum Europe",#N/A,FALSE,"FY95SLS";"Sum Row",#N/A,FALSE,"FY95SLS"}</definedName>
    <definedName function="false" hidden="true" name="tjrjtr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tjxot" vbProcedure="false">{#N/A,#N/A,FALSE,"DIR-REP";#N/A,#N/A,FALSE,"AUD-REPORT";#N/A,#N/A,FALSE,"P7L&amp;BS";#N/A,#N/A,FALSE,"NOTES";#N/A,#N/A,FALSE,"FA";#N/A,#N/A,FALSE,"NOTES (2)";#N/A,#N/A,FALSE,"Schedule  IV";#N/A,#N/A,FALSE,"Schedule V"}</definedName>
    <definedName function="false" hidden="true" name="tl" vbProcedure="false">{"Commentary",#N/A,FALSE,"May"}</definedName>
    <definedName function="false" hidden="true" name="TLA.087" vbProcedure="false">0</definedName>
    <definedName function="false" hidden="true" name="tlsm" vbProcedure="false">{#N/A,#N/A,FALSE,"TB";#N/A,#N/A,FALSE,"DR";#N/A,#N/A,FALSE,"AR";#N/A,#N/A,FALSE,"PL";#N/A,#N/A,FALSE,"BS";#N/A,#N/A,FALSE,"NOTES";#N/A,#N/A,FALSE,"NOTES (2)";#N/A,#N/A,FALSE,"NOTES (3)";#N/A,#N/A,FALSE,"DPL";#N/A,#N/A,FALSE,"TAXC.INDEX";#N/A,#N/A,FALSE,"Schedule I";#N/A,#N/A,FALSE,"Adjustments"}</definedName>
    <definedName function="false" hidden="true" name="tltalta" vbProcedure="false">{#N/A,#N/A,FALSE,"TAXC.INDEX";#N/A,#N/A,FALSE,"Schedule I";#N/A,#N/A,FALSE,"Schedule  II";#N/A,#N/A,FALSE,"Schedule III"}</definedName>
    <definedName function="false" hidden="true" name="tm" vbProcedure="false">{"ICD Details",#N/A,FALSE,"Current Yr";"ICD Details",#N/A,FALSE,"Budget";"ICD Details",#N/A,FALSE,"Prior Year"}</definedName>
    <definedName function="false" hidden="true" name="tm1_SchutzPasswort" vbProcedure="false">"elKom"</definedName>
    <definedName function="false" hidden="true" name="tmp" vbProcedure="false">{#N/A,#N/A,FALSE,"Op_Stmt";#N/A,#N/A,FALSE,"Consol_Op_Stmt";#N/A,#N/A,FALSE,"rev_summ";#N/A,#N/A,FALSE,"Unit_Summ";#N/A,#N/A,FALSE,"EBIT_summ";#N/A,#N/A,FALSE,"RONA_NetAssets"}</definedName>
    <definedName function="false" hidden="true" name="tmto" vbProcedure="false">{"detail",#N/A,FALSE,"mfg";"summary",#N/A,FALSE,"mfg"}</definedName>
    <definedName function="false" hidden="true" name="tn"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to" vbProcedure="false">{#N/A,#N/A,FALSE,"TAXC.INDEX";#N/A,#N/A,FALSE,"Schedule I";#N/A,#N/A,FALSE,"Schedule  II";#N/A,#N/A,FALSE,"Schedule III";#N/A,#N/A,FALSE,"Schedule IV";#N/A,#N/A,FALSE,"Schedule IV (Cont'd)";#N/A,#N/A,FALSE,"Schedule V";#N/A,#N/A,FALSE,"Schedule VI";#N/A,#N/A,FALSE,"Schedule VII"}</definedName>
    <definedName function="false" hidden="true" name="toamtoamotm"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todl" vbProcedure="false">{#N/A,#N/A,FALSE,"DIR-REP";#N/A,#N/A,FALSE,"AUD-REPORT";#N/A,#N/A,FALSE,"P7L&amp;BS";#N/A,#N/A,FALSE,"NOTES";#N/A,#N/A,FALSE,"FA";#N/A,#N/A,FALSE,"NOTES (2)";#N/A,#N/A,FALSE,"Schedule  IV";#N/A,#N/A,FALSE,"Schedule V"}</definedName>
    <definedName function="false" hidden="true" name="tolet" vbProcedure="false">{#N/A,#N/A,FALSE,"DIR-REP";#N/A,#N/A,FALSE,"AUD-REPORT";#N/A,#N/A,FALSE,"P7L&amp;BS";#N/A,#N/A,FALSE,"NOTES";#N/A,#N/A,FALSE,"FA";#N/A,#N/A,FALSE,"NOTES (2)";#N/A,#N/A,FALSE,"Schedule  IV";#N/A,#N/A,FALSE,"Schedule V"}</definedName>
    <definedName function="false" hidden="true" name="tony" vbProcedure="false">{"Summary analysis",#N/A,FALSE,"Total";"OCPH analysis",#N/A,FALSE,"Total";"detail analysis",#N/A,FALSE,"Total"}</definedName>
    <definedName function="false" hidden="false" name="TopNCountryInput" vbProcedure="false">#REF!</definedName>
    <definedName function="false" hidden="false" name="TopNCustomerInput" vbProcedure="false">#REF!</definedName>
    <definedName function="false" hidden="false" name="TopN_By_Fiscal_period" vbProcedure="false">_xlfn.lambda(_xlpm.topncount,_xlpm.metric,_xlpm.fiscalperiod,_xlpm.fiscalrange,_xlpm.customerrange,_xlpm.metricnamerange,_xlpm.valuesrange, _xlfn.let( _xlpm.customerrangefiltered,_xlfn._xlws.filter(_xlpm.customerrange,(_xlpm.fiscalrange=_xlpm.fiscalperiod)*(_xlpm.metricnamerange=_xlpm.metric)), _xlpm.valuesrangefiltered,_xlfn._xlws.filter(_xlpm.valuesrange,(_xlpm.fiscalrange=_xlpm.fiscalperiod)*(_xlpm.metricnamerange=_xlpm.metric)), _xlpm.allcustomerssorted,_xlfn.sortby(_xlpm.customerrangefiltered,_xlpm.valuesrangefiltered,-1), _xlpm.topncustomers,INDEX(_xlpm.allcustomerssorted,_xlfn.sequence(_xlpm.topncount)), _xlpm.topncustomers) )</definedName>
    <definedName function="false" hidden="false" name="TopN_Customers_By_Fiscal_period" vbProcedure="false">_xlfn.lambda(_xlpm.topncount,_xlpm.metric,_xlpm.fiscalperiod,_xlpm.fiscalrange,_xlpm.customerrange,_xlpm.metricnamerange,_xlpm.valuesrange, _xlfn.let( _xlpm.customerrangefiltered,_xlfn._xlws.filter(_xlpm.customerrange,(_xlpm.fiscalrange=_xlpm.fiscalperiod)*(_xlpm.metricnamerange=_xlpm.metric)), _xlpm.valuesrangefiltered,_xlfn._xlws.filter(_xlpm.valuesrange,(_xlpm.fiscalrange=_xlpm.fiscalperiod)*(_xlpm.metricnamerange=_xlpm.metric)), _xlpm.allcustomerssorted,_xlfn.sortby(_xlpm.customerrangefiltered,_xlpm.valuesrangefiltered,-1), _xlpm.topncustomers,INDEX(_xlpm.allcustomerssorted,_xlfn.sequence(_xlpm.topncount)), _xlpm.topncustomers) )</definedName>
    <definedName function="false" hidden="false" name="TopN_manual_sorting" vbProcedure="false">OFFSET(#REF!, 0, 0, 1, COUNTA(#REF!))</definedName>
    <definedName function="false" hidden="false" name="TopN_test" vbProcedure="false">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_xlpm.topfirstlist, IF(ISBLANK(_xlpm.firsttopn), "", _xlfn.unique(_xlpm.gettopnlist(_xlpm.firsttopn))),         _xlpm.topsecondlist, IF(ISBLANK(_xlpm.secondtopn), "", _xlfn.unique(_xlfn._xlws.filter(_xlpm.gettopnlist(_xlpm.secondtopn), ISNA(MATCH(_xlpm.gettopnlist(_xlpm.secondtopn), _xlpm.topfirstlist, 0))))),          _xlpm.otherslist, IF(OR(ISBLANK(_xlpm.showremaining), _xlpm.showremaining="no"),             "Others",             _xlfn.unique(_xlfn._xlws.filter(_xlpm.customerrange, ISNA(MATCH(_xlpm.customerrange, _xlfn.vstack(_xlpm.topfirstlist, _xlpm.topsecondlist), 0)) * (_xlpm.customerrange&lt;&gt;"")))         ),          _xlpm.finallist, _xlfn.vstack(             _xlfn.unique(_xlfn._xlws.filter(_xlpm.topfirstlist, _xlpm.topfirstlist&lt;&gt;"")),             "Top " &amp; TEXT(_xlpm.firsttopn, "0"),             _xlfn.unique(_xlfn._xlws.filter(_xlpm.topsecondlist, _xlpm.topsecondlist&lt;&gt;"")),             "Top " &amp; TEXT(_xlpm.firsttopn+1, "0") &amp; " - " &amp; TEXT(_xlpm.secondtopn, "0"),             _xlpm.otherslist         ),          _xlpm.finallist     ) )</definedName>
    <definedName function="false" hidden="false" name="Top_N_Sorting" vbProcedure="false">OFFSET(#REF!, 0, 0, 1, COUNTA(#REF!))</definedName>
    <definedName function="false" hidden="true" name="total" vbProcedure="false">{"detail",#N/A,FALSE,"mfg";"summary",#N/A,FALSE,"mfg"}</definedName>
    <definedName function="false" hidden="true" name="TOTAL.TSET.NUMBER" vbProcedure="false">{#N/A,#N/A,FALSE,"RF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function="false" hidden="true" name="TotalAssets" vbProcedure="false">#REF!</definedName>
    <definedName function="false" hidden="true" name="TotalRevenue" vbProcedure="false">#REF!</definedName>
    <definedName function="false" hidden="true" name="TOTAL_IN" vbProcedure="false">{"Informes",#N/A,FALSE,"CA";"Informes",#N/A,FALSE,"CN";"Informes",#N/A,FALSE,"INVERSIONES";"Informes",#N/A,FALSE,"CN Oficial";"Informes",#N/A,FALSE,"CA Oficial";"Informes",#N/A,FALSE,"Res Datos Areas"}</definedName>
    <definedName function="false" hidden="true" name="TOTAL_INFORMES" vbProcedure="false">{"Informes",#N/A,FALSE,"CA";"Informes",#N/A,FALSE,"CN";"Informes",#N/A,FALSE,"INVERSIONES";"Informes",#N/A,FALSE,"CN Oficial";"Informes",#N/A,FALSE,"CA Oficial";"Informes",#N/A,FALSE,"Res Datos Areas"}</definedName>
    <definedName function="false" hidden="true" name="toto" vbProcedure="false">{#N/A,#N/A,FALSE,"3";#N/A,#N/A,FALSE,"5";#N/A,#N/A,FALSE,"6";#N/A,#N/A,FALSE,"8";#N/A,#N/A,FALSE,"10";#N/A,#N/A,FALSE,"13";#N/A,#N/A,FALSE,"14";#N/A,#N/A,FALSE,"15";#N/A,#N/A,FALSE,"16"}</definedName>
    <definedName function="false" hidden="true" name="toto2" vbProcedure="false">{#N/A,#N/A,FALSE,"3";#N/A,#N/A,FALSE,"5";#N/A,#N/A,FALSE,"6";#N/A,#N/A,FALSE,"8";#N/A,#N/A,FALSE,"10";#N/A,#N/A,FALSE,"13";#N/A,#N/A,FALSE,"14";#N/A,#N/A,FALSE,"15";#N/A,#N/A,FALSE,"16"}</definedName>
    <definedName function="false" hidden="true" name="tototo2" vbProcedure="false">{#N/A,#N/A,FALSE,"3";#N/A,#N/A,FALSE,"5";#N/A,#N/A,FALSE,"6";#N/A,#N/A,FALSE,"8";#N/A,#N/A,FALSE,"10";#N/A,#N/A,FALSE,"13";#N/A,#N/A,FALSE,"14";#N/A,#N/A,FALSE,"15";#N/A,#N/A,FALSE,"16"}</definedName>
    <definedName function="false" hidden="true" name="tr"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trans" vbProcedure="false">#REF!</definedName>
    <definedName function="false" hidden="true" name="Transf" vbProcedure="false">{#N/A,#N/A,FALSE,"Cristal D'Oro (Tabela)";#N/A,#N/A,FALSE,"Cond Rio Tietê (Tabela)";#N/A,#N/A,FALSE,"Jacyr Leal (Tabela)";#N/A,#N/A,FALSE,"Paul Cézanne (Tabela)";#N/A,#N/A,FALSE,"Tom Jobim  (Tabela)"}</definedName>
    <definedName function="false" hidden="true" name="trcde" vbProcedure="fals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function="false" hidden="true" name="trdltla" vbProcedure="false">{#N/A,#N/A,FALSE,"TB";#N/A,#N/A,FALSE,"DR";#N/A,#N/A,FALSE,"AR";#N/A,#N/A,FALSE,"BS";#N/A,#N/A,FALSE,"PL";#N/A,#N/A,FALSE,"NOTES";#N/A,#N/A,FALSE,"NOTES (2)";#N/A,#N/A,FALSE,"NOTES (3)";#N/A,#N/A,FALSE,"DPL";#N/A,#N/A,FALSE,"DPL"}</definedName>
    <definedName function="false" hidden="true" name="tre" vbProcedure="false">{"pro_view",#N/A,FALSE,"EEFSNAP2";"rep_view",#N/A,FALSE,"EEFSNAP2"}</definedName>
    <definedName function="false" hidden="true" name="treeList" vbProcedure="false">"00000000000000000000000000000000000000000000000000000000000000000000000000000000000000000000000000000000000000000000000000000000000000000000000000000000000000000000000000000000000000000000000000000000"</definedName>
    <definedName function="false" hidden="true" name="trhtrhy" vbProcedure="false">{"Units A",#N/A,FALSE,"FY95SLS";"Units B",#N/A,FALSE,"FY95SLS"}</definedName>
    <definedName function="false" hidden="true" name="trh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triyuri" vbProcedure="false">{"Pound Sterling",#N/A,TRUE,"PPD";"Pound Sterling",#N/A,TRUE,"Anaquest";"Pound Sterling",#N/A,TRUE,"Delta";"Pound Sterling",#N/A,TRUE,"INO"}</definedName>
    <definedName function="false" hidden="true" name="trjwjtr" vbProcedure="false">{"Units A",#N/A,FALSE,"FY95SLS";"Units B",#N/A,FALSE,"FY95SLS"}</definedName>
    <definedName function="false" hidden="true" name="trmp" vbProcedure="false">{#N/A,#N/A,FALSE,"A"}</definedName>
    <definedName function="false" hidden="true" name="trtlt" vbProcedure="false">{#N/A,#N/A,FALSE,"TB";#N/A,#N/A,FALSE,"AR";#N/A,#N/A,FALSE,"BS";#N/A,#N/A,FALSE,"PL";#N/A,#N/A,FALSE,"NOTES";#N/A,#N/A,FALSE,"NOTES (2)";#N/A,#N/A,FALSE,"NOTES (3)";#N/A,#N/A,FALSE,"TAXC.INDEX";#N/A,#N/A,FALSE,"Schedule I";#N/A,#N/A,FALSE,"DPL";#N/A,#N/A,FALSE,"Schedule IV";#N/A,#N/A,FALSE,"Adjustments"}</definedName>
    <definedName function="false" hidden="true" name="truir" vbProcedure="false">{"Pound Sterling",#N/A,TRUE,"PPD";"Pound Sterling",#N/A,TRUE,"Anaquest";"Pound Sterling",#N/A,TRUE,"Delta";"Pound Sterling",#N/A,TRUE,"INO"}</definedName>
    <definedName function="false" hidden="true" name="trurtu" vbProcedure="false">{#N/A,#N/A,FALSE,"3";#N/A,#N/A,FALSE,"5";#N/A,#N/A,FALSE,"6";#N/A,#N/A,FALSE,"8";#N/A,#N/A,FALSE,"10";#N/A,#N/A,FALSE,"13";#N/A,#N/A,FALSE,"14";#N/A,#N/A,FALSE,"15";#N/A,#N/A,FALSE,"16"}</definedName>
    <definedName function="false" hidden="true" name="trurturturt" vbProcedure="false">{#N/A,#N/A,FALSE,"3";#N/A,#N/A,FALSE,"5";#N/A,#N/A,FALSE,"6";#N/A,#N/A,FALSE,"8";#N/A,#N/A,FALSE,"10";#N/A,#N/A,FALSE,"13";#N/A,#N/A,FALSE,"14";#N/A,#N/A,FALSE,"15";#N/A,#N/A,FALSE,"16"}</definedName>
    <definedName function="false" hidden="true" name="trurtutru" vbProcedure="false">{#N/A,#N/A,FALSE,"3";#N/A,#N/A,FALSE,"5";#N/A,#N/A,FALSE,"6";#N/A,#N/A,FALSE,"8";#N/A,#N/A,FALSE,"10";#N/A,#N/A,FALSE,"13";#N/A,#N/A,FALSE,"14";#N/A,#N/A,FALSE,"15";#N/A,#N/A,FALSE,"16"}</definedName>
    <definedName function="false" hidden="true" name="trutrturt" vbProcedure="false">{#N/A,#N/A,FALSE,"3";#N/A,#N/A,FALSE,"5";#N/A,#N/A,FALSE,"6";#N/A,#N/A,FALSE,"8";#N/A,#N/A,FALSE,"10";#N/A,#N/A,FALSE,"13";#N/A,#N/A,FALSE,"14";#N/A,#N/A,FALSE,"15";#N/A,#N/A,FALSE,"16"}</definedName>
    <definedName function="false" hidden="true" name="tryeuyit" vbProcedure="false">{#N/A,#N/A,FALSE,"Pharm";#N/A,#N/A,FALSE,"WWCM"}</definedName>
    <definedName function="false" hidden="true" name="trywty" vbProcedure="false">{"Sum WW A",#N/A,FALSE,"FY95SLS";"Sum WW B",#N/A,FALSE,"FY95SLS";"Sum US A",#N/A,FALSE,"FY95SLS";"Sum US B",#N/A,FALSE,"FY95SLS";"Sum US Bocg",#N/A,FALSE,"FY95SLS";"Sum Can A",#N/A,FALSE,"FY95SLS";"Sum Can B",#N/A,FALSE,"FY95SLS";"Sum Europe",#N/A,FALSE,"FY95SLS";"Sum Row",#N/A,FALSE,"FY95SLS"}</definedName>
    <definedName function="false" hidden="true" name="ts" vbProcedure="false">{"oct_res_comm",#N/A,FALSE,"VarToBud"}</definedName>
    <definedName function="false" hidden="true" name="tsllo" vbProcedure="false">{#N/A,#N/A,FALSE,"TAXC.INDEX";#N/A,#N/A,FALSE,"Schedule I";#N/A,#N/A,FALSE,"Schedule  II";#N/A,#N/A,FALSE,"Schedule III"}</definedName>
    <definedName function="false" hidden="true" name="tsoa" vbProcedure="false">{#N/A,#N/A,FALSE,"TB";#N/A,#N/A,FALSE,"AR";#N/A,#N/A,FALSE,"BS";#N/A,#N/A,FALSE,"PL";#N/A,#N/A,FALSE,"NOTES";#N/A,#N/A,FALSE,"NOTES (2)";#N/A,#N/A,FALSE,"NOTES (3)";#N/A,#N/A,FALSE,"TAXC.INDEX";#N/A,#N/A,FALSE,"Schedule I";#N/A,#N/A,FALSE,"DPL";#N/A,#N/A,FALSE,"Schedule IV";#N/A,#N/A,FALSE,"Adjustments"}</definedName>
    <definedName function="false" hidden="true" name="tsos" vbProcedure="false">{#N/A,#N/A,FALSE,"TAXC.INDEX";#N/A,#N/A,FALSE,"Schedule I";#N/A,#N/A,FALSE,"Schedule  II";#N/A,#N/A,FALSE,"Schedule III";#N/A,#N/A,FALSE,"Schedule IV";#N/A,#N/A,FALSE,"Schedule IV (Cont'd)";#N/A,#N/A,FALSE,"Schedule V";#N/A,#N/A,FALSE,"Schedule VI";#N/A,#N/A,FALSE,"Schedule VII"}</definedName>
    <definedName function="false" hidden="true" name="tsot" vbProcedure="false">{#N/A,#N/A,FALSE,"TB";#N/A,#N/A,FALSE,"DR";#N/A,#N/A,FALSE,"AR";#N/A,#N/A,FALSE,"PL";#N/A,#N/A,FALSE,"BS";#N/A,#N/A,FALSE,"NOTES";#N/A,#N/A,FALSE,"NOTES (2)";#N/A,#N/A,FALSE,"NOTES (3)";#N/A,#N/A,FALSE,"DPL";#N/A,#N/A,FALSE,"TAXC.INDEX";#N/A,#N/A,FALSE,"Schedule I";#N/A,#N/A,FALSE,"Adjustments"}</definedName>
    <definedName function="false" hidden="true" name="tt" vbProcedure="false">{#N/A,#N/A,FALSE,"Umsatz EO BP";#N/A,#N/A,FALSE,"Umsatz EO OP";#N/A,#N/A,FALSE,"ER EO BP";#N/A,#N/A,FALSE,"ER EO OP";#N/A,#N/A,FALSE,"EA EO (2)";#N/A,#N/A,FALSE,"EA EO";#N/A,#N/A,FALSE,"EA EO (3)";#N/A,#N/A,FALSE,"EA EO (4)";#N/A,#N/A,FALSE,"KA EO  (2)";#N/A,#N/A,FALSE,"KA EO";#N/A,#N/A,FALSE,"KA EO  (3)";#N/A,#N/A,FALSE,"KA EO (4)"}</definedName>
    <definedName function="false" hidden="true" name="tt.8" vbProcedure="false">{#N/A,#N/A,FALSE,"PMW Gruppe 99_98";#N/A,#N/A,FALSE,"PMW KG 98_99";#N/A,#N/A,FALSE,"PMW Inc. 99_98";#N/A,#N/A,FALSE,"PMW VTECH 99_98";#N/A,#N/A,FALSE,"PMW Thail. 99_98";#N/A,#N/A,FALSE,"PMW Canada 99_98";#N/A,#N/A,FALSE,"Währungsabw. 99_98"}</definedName>
    <definedName function="false" hidden="true" name="ttt" vbProcedure="false">{#N/A,"PURCHM",FALSE,"Business Analysis";#N/A,"SPADD",FALSE,"Business Analysis"}</definedName>
    <definedName function="false" hidden="true" name="tttt" vbProcedure="false">{#N/A,#N/A,FALSE,"Produkte Erw.";#N/A,#N/A,FALSE,"Produkte Plan";#N/A,#N/A,FALSE,"Leistungen Erw.";#N/A,#N/A,FALSE,"Leistungen Plan";#N/A,#N/A,FALSE,"KA Allg.Kosten (2)";#N/A,#N/A,FALSE,"KA All.Kosten"}</definedName>
    <definedName function="false" hidden="true" name="ttttt" vbProcedure="false">{#N/A,#N/A,FALSE,"3";#N/A,#N/A,FALSE,"5";#N/A,#N/A,FALSE,"6";#N/A,#N/A,FALSE,"8";#N/A,#N/A,FALSE,"10";#N/A,#N/A,FALSE,"13";#N/A,#N/A,FALSE,"14";#N/A,#N/A,FALSE,"15";#N/A,#N/A,FALSE,"16"}</definedName>
    <definedName function="false" hidden="true" name="tttttttt" vbProcedure="false">{#N/A,#N/A,FALSE,"3";#N/A,#N/A,FALSE,"5";#N/A,#N/A,FALSE,"6";#N/A,#N/A,FALSE,"8";#N/A,#N/A,FALSE,"10";#N/A,#N/A,FALSE,"13";#N/A,#N/A,FALSE,"14";#N/A,#N/A,FALSE,"15";#N/A,#N/A,FALSE,"16"}</definedName>
    <definedName function="false" hidden="true" name="ttzz" vbProcedure="false">{#N/A,#N/A,FALSE,"Umsatz CH";#N/A,#N/A,FALSE,"ER CH";#N/A,#N/A,FALSE,"EA CH (2) ";#N/A,#N/A,FALSE,"EA CH";#N/A,#N/A,FALSE,"EA CH (3) ";#N/A,#N/A,FALSE,"EA CH (4)";#N/A,#N/A,FALSE,"KA CH";#N/A,#N/A,FALSE,"KA CH  (2)";#N/A,#N/A,FALSE,"KA CH  (3)";#N/A,#N/A,FALSE,"KA CH (4)"}</definedName>
    <definedName function="false" hidden="true" name="turd" vbProcedure="false">{"detail",#N/A,FALSE,"mfg";"summary",#N/A,FALSE,"mfg"}</definedName>
    <definedName function="false" hidden="true" name="turu" vbProcedure="false">{#N/A,#N/A,FALSE,"3";#N/A,#N/A,FALSE,"5";#N/A,#N/A,FALSE,"6";#N/A,#N/A,FALSE,"8";#N/A,#N/A,FALSE,"10";#N/A,#N/A,FALSE,"13";#N/A,#N/A,FALSE,"14";#N/A,#N/A,FALSE,"15";#N/A,#N/A,FALSE,"16"}</definedName>
    <definedName function="false" hidden="true" name="tuut" vbProcedure="false">{#N/A,#N/A,FALSE,"3";#N/A,#N/A,FALSE,"5";#N/A,#N/A,FALSE,"6";#N/A,#N/A,FALSE,"8";#N/A,#N/A,FALSE,"10";#N/A,#N/A,FALSE,"13";#N/A,#N/A,FALSE,"14";#N/A,#N/A,FALSE,"15";#N/A,#N/A,FALSE,"16"}</definedName>
    <definedName function="false" hidden="true" name="tuytu" vbProcedure="false">{#N/A,#N/A,FALSE,"3";#N/A,#N/A,FALSE,"5";#N/A,#N/A,FALSE,"6";#N/A,#N/A,FALSE,"8";#N/A,#N/A,FALSE,"10";#N/A,#N/A,FALSE,"13";#N/A,#N/A,FALSE,"14";#N/A,#N/A,FALSE,"15";#N/A,#N/A,FALSE,"16"}</definedName>
    <definedName function="false" hidden="true" name="tv"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twergsdf" vbProcedure="false">{"Pound Sterling",#N/A,TRUE,"PPD";"Pound Sterling",#N/A,TRUE,"Anaquest";"Pound Sterling",#N/A,TRUE,"Delta";"Pound Sterling",#N/A,TRUE,"INO"}</definedName>
    <definedName function="false" hidden="true" name="twregfasd" vbProcedure="false">{#N/A,#N/A,FALSE,"3";#N/A,#N/A,FALSE,"5";#N/A,#N/A,FALSE,"6";#N/A,#N/A,FALSE,"8";#N/A,#N/A,FALSE,"10";#N/A,#N/A,FALSE,"13";#N/A,#N/A,FALSE,"14";#N/A,#N/A,FALSE,"15";#N/A,#N/A,FALSE,"16"}</definedName>
    <definedName function="false" hidden="true" name="ty" vbProcedure="false">{#N/A,#N/A,FALSE,"DIR-REP";#N/A,#N/A,FALSE,"AUD-REPORT";#N/A,#N/A,FALSE,"P7L&amp;BS";#N/A,#N/A,FALSE,"NOTES";#N/A,#N/A,FALSE,"FA";#N/A,#N/A,FALSE,"NOTES (2)";#N/A,#N/A,FALSE,"Schedule  IV";#N/A,#N/A,FALSE,"Schedule V"}</definedName>
    <definedName function="false" hidden="true" name="tyertqergt" vbProcedure="false">{"US Dollars",#N/A,TRUE,"PPD";"US Dollar",#N/A,TRUE,"Anaquest";"US Dollar",#N/A,TRUE,"Delta";"US Dollar",#N/A,TRUE,"INO"}</definedName>
    <definedName function="false" hidden="true" name="tynm" vbProcedure="false">{"apci",#N/A,FALSE,"Chem_CY";"eastman",#N/A,FALSE,"Eastman";"betz",#N/A,FALSE,"Betz";"great lakes",#N/A,FALSE,"Great_Lakes";"hercules",#N/A,FALSE,"Hercules Chem Seg Data";"rohm",#N/A,FALSE,"Rohm";"union carbide",#N/A,FALSE,"Union";"witco",#N/A,FALSE,"Witco"}</definedName>
    <definedName function="false" hidden="false" name="Type_1" vbProcedure="false">#REF!</definedName>
    <definedName function="false" hidden="false" name="Type_2" vbProcedure="false">#REF!</definedName>
    <definedName function="false" hidden="false" name="Type_3" vbProcedure="false">#REF!</definedName>
    <definedName function="false" hidden="false" name="Type_4" vbProcedure="false">#REF!</definedName>
    <definedName function="false" hidden="false" name="Type_5" vbProcedure="false">#REF!</definedName>
    <definedName function="false" hidden="true" name="tyu" vbProcedure="false">{"oct_res_comm",#N/A,FALSE,"VarToBud"}</definedName>
    <definedName function="false" hidden="true" name="tyui" vbProcedure="false">{"ICD Details",#N/A,FALSE,"Current Yr";"ICD Details",#N/A,FALSE,"Budget";"ICD Details",#N/A,FALSE,"Prior Year"}</definedName>
    <definedName function="false" hidden="true" name="tyutytyi" vbProcedure="false">{#N/A,#N/A,FALSE,"Pharm";#N/A,#N/A,FALSE,"WWCM"}</definedName>
    <definedName function="false" hidden="true" name="tyutyutyu" vbProcedure="false">{#N/A,#N/A,FALSE,"3";#N/A,#N/A,FALSE,"5";#N/A,#N/A,FALSE,"6";#N/A,#N/A,FALSE,"8";#N/A,#N/A,FALSE,"10";#N/A,#N/A,FALSE,"13";#N/A,#N/A,FALSE,"14";#N/A,#N/A,FALSE,"15";#N/A,#N/A,FALSE,"16"}</definedName>
    <definedName function="false" hidden="true" name="tyyufkjkhjd" vbProcedure="false">{#N/A,#N/A,FALSE,"Pharm";#N/A,#N/A,FALSE,"WWCM"}</definedName>
    <definedName function="false" hidden="true" name="tzt" vbProcedure="false">{#N/A,#N/A,FALSE,"Umsatz HM";#N/A,#N/A,FALSE,"ER HM";#N/A,#N/A,FALSE,"EA HM  (2)";#N/A,#N/A,FALSE,"EA HM ";#N/A,#N/A,FALSE,"EA HM  (4)";#N/A,#N/A,FALSE,"EA HM  (3)";#N/A,#N/A,FALSE,"KA HM  (2)";#N/A,#N/A,FALSE,"KA HM";#N/A,#N/A,FALSE,"KA HM  (3)";#N/A,#N/A,FALSE,"KA HM (4)"}</definedName>
    <definedName function="false" hidden="true" name="tzutz.lkjkljk" vbProcedure="false">{#N/A,#N/A,FALSE,"Umsatz CH";#N/A,#N/A,FALSE,"ER CH";#N/A,#N/A,FALSE,"EA CH (2) ";#N/A,#N/A,FALSE,"EA CH";#N/A,#N/A,FALSE,"EA CH (3) ";#N/A,#N/A,FALSE,"EA CH (4)";#N/A,#N/A,FALSE,"KA CH";#N/A,#N/A,FALSE,"KA CH  (2)";#N/A,#N/A,FALSE,"KA CH  (3)";#N/A,#N/A,FALSE,"KA CH (4)"}</definedName>
    <definedName function="false" hidden="true" name="u" vbProcedure="false">{"'Internat.oper.netti'!$B$1:$J$25"}</definedName>
    <definedName function="false" hidden="true" name="uay" vbProcedure="false">{#N/A,#N/A,FALSE,"DIR-REP";#N/A,#N/A,FALSE,"AUD-REPORT";#N/A,#N/A,FALSE,"P7L&amp;BS";#N/A,#N/A,FALSE,"NOTES";#N/A,#N/A,FALSE,"FA";#N/A,#N/A,FALSE,"NOTES (2)";#N/A,#N/A,FALSE,"Schedule  IV";#N/A,#N/A,FALSE,"Schedule V"}</definedName>
    <definedName function="false" hidden="true" name="udi" vbProcedure="false">{#N/A,#N/A,FALSE,"00 P&amp;L vs 99"}</definedName>
    <definedName function="false" hidden="true" name="ueytu" vbProcedure="false">{"Pound Sterling",#N/A,TRUE,"PPD";"Pound Sterling",#N/A,TRUE,"Anaquest";"Pound Sterling",#N/A,TRUE,"Delta";"Pound Sterling",#N/A,TRUE,"INO"}</definedName>
    <definedName function="false" hidden="true" name="ugfegfydilgfy" vbProcedure="false">{"away stand alones",#N/A,FALSE,"Target"}</definedName>
    <definedName function="false" hidden="true" name="uh" vbProcedure="false">{"detail",#N/A,FALSE,"mfg";"summary",#N/A,FALSE,"mfg"}</definedName>
    <definedName function="false" hidden="true" name="ui" vbProcedure="false">{#N/A,#N/A,FALSE,"TB";#N/A,#N/A,FALSE,"AR";#N/A,#N/A,FALSE,"BS";#N/A,#N/A,FALSE,"PL";#N/A,#N/A,FALSE,"NOTES";#N/A,#N/A,FALSE,"NOTES (2)";#N/A,#N/A,FALSE,"NOTES (3)";#N/A,#N/A,FALSE,"TAXC.INDEX";#N/A,#N/A,FALSE,"Schedule I";#N/A,#N/A,FALSE,"DPL";#N/A,#N/A,FALSE,"Schedule IV";#N/A,#N/A,FALSE,"Adjustments"}</definedName>
    <definedName function="false" hidden="true" name="uidrtyue" vbProcedure="false">{"Units A",#N/A,FALSE,"FY95SLS";"Units B",#N/A,FALSE,"FY95SLS"}</definedName>
    <definedName function="false" hidden="true" name="uiim" vbProcedure="false">{"Pg1",#N/A,FALSE,"OpExYTDvsBud";"Pg2",#N/A,FALSE,"OpExYTDvsBud"}</definedName>
    <definedName function="false" hidden="true" name="uiluliuliul" vbProcedure="false">{#N/A,#N/A,FALSE,"3";#N/A,#N/A,FALSE,"5";#N/A,#N/A,FALSE,"6";#N/A,#N/A,FALSE,"8";#N/A,#N/A,FALSE,"10";#N/A,#N/A,FALSE,"13";#N/A,#N/A,FALSE,"14";#N/A,#N/A,FALSE,"15";#N/A,#N/A,FALSE,"16"}</definedName>
    <definedName function="false" hidden="true" name="uiou" vbProcedure="false">{#N/A,#N/A,FALSE,"TAXC.INDEX";#N/A,#N/A,FALSE,"Schedule I";#N/A,#N/A,FALSE,"Schedule  II";#N/A,#N/A,FALSE,"Schedule III"}</definedName>
    <definedName function="false" hidden="true" name="uiryuo" vbProcedure="false">{"US Dollars",#N/A,TRUE,"PPD";"US Dollar",#N/A,TRUE,"Anaquest";"US Dollar",#N/A,TRUE,"Delta";"US Dollar",#N/A,TRUE,"INO"}</definedName>
    <definedName function="false" hidden="true" name="uiui" vbProcedure="false">{#N/A,#N/A,FALSE,"Umsatz HM";#N/A,#N/A,FALSE,"ER HM";#N/A,#N/A,FALSE,"EA HM  (2)";#N/A,#N/A,FALSE,"EA HM ";#N/A,#N/A,FALSE,"EA HM  (4)";#N/A,#N/A,FALSE,"EA HM  (3)";#N/A,#N/A,FALSE,"KA HM  (2)";#N/A,#N/A,FALSE,"KA HM";#N/A,#N/A,FALSE,"KA HM  (3)";#N/A,#N/A,FALSE,"KA HM (4)"}</definedName>
    <definedName function="false" hidden="true" name="uiuriiuyjk" vbProcedure="false">{"Pound Sterling",#N/A,TRUE,"PPD";"Pound Sterling",#N/A,TRUE,"Anaquest";"Pound Sterling",#N/A,TRUE,"Delta";"Pound Sterling",#N/A,TRUE,"INO"}</definedName>
    <definedName function="false" hidden="true" name="uiuyi" vbProcedure="false">{#N/A,#N/A,FALSE,"3";#N/A,#N/A,FALSE,"5";#N/A,#N/A,FALSE,"6";#N/A,#N/A,FALSE,"8";#N/A,#N/A,FALSE,"10";#N/A,#N/A,FALSE,"13";#N/A,#N/A,FALSE,"14";#N/A,#N/A,FALSE,"15";#N/A,#N/A,FALSE,"16"}</definedName>
    <definedName function="false" hidden="true" name="uiuyo" vbProcedure="false">{"Sum WW A",#N/A,FALSE,"FY95SLS";"Sum WW B",#N/A,FALSE,"FY95SLS";"Sum US A",#N/A,FALSE,"FY95SLS";"Sum US B",#N/A,FALSE,"FY95SLS";"Sum US Bocg",#N/A,FALSE,"FY95SLS";"Sum Can A",#N/A,FALSE,"FY95SLS";"Sum Can B",#N/A,FALSE,"FY95SLS";"Sum Europe",#N/A,FALSE,"FY95SLS";"Sum Row",#N/A,FALSE,"FY95SLS"}</definedName>
    <definedName function="false" hidden="true" name="uj" vbProcedure="false">{#N/A,#N/A,FALSE,"DIR-REP";#N/A,#N/A,FALSE,"AUD-REPORT";#N/A,#N/A,FALSE,"P7L&amp;BS";#N/A,#N/A,FALSE,"NOTES";#N/A,#N/A,FALSE,"FA";#N/A,#N/A,FALSE,"NOTES (2)";#N/A,#N/A,FALSE,"Schedule  IV";#N/A,#N/A,FALSE,"Schedule V"}</definedName>
    <definedName function="false" hidden="true" name="uk" vbProcedure="false">{"Sum WW A",#N/A,FALSE,"FY95SLS";"Sum WW B",#N/A,FALSE,"FY95SLS";"Sum US A",#N/A,FALSE,"FY95SLS";"Sum US B",#N/A,FALSE,"FY95SLS";"Sum US Bocg",#N/A,FALSE,"FY95SLS";"Sum Can A",#N/A,FALSE,"FY95SLS";"Sum Can B",#N/A,FALSE,"FY95SLS";"Sum Europe",#N/A,FALSE,"FY95SLS";"Sum Row",#N/A,FALSE,"FY95SLS"}</definedName>
    <definedName function="false" hidden="true" name="ukdkghj"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ukyukluy" vbProcedure="false">{"Pound Sterling",#N/A,TRUE,"PPD";"Pound Sterling",#N/A,TRUE,"Anaquest";"Pound Sterling",#N/A,TRUE,"Delta";"Pound Sterling",#N/A,TRUE,"INO"}</definedName>
    <definedName function="false" hidden="true" name="ul" vbProcedure="false">{"Title",#N/A,TRUE,"Title";"Content",#N/A,TRUE,"Title";"Section1",#N/A,TRUE,"Title";"Output1",#N/A,TRUE,"Output";"Section2",#N/A,TRUE,"Title";"Graph1",#N/A,TRUE,"Output";"Section3",#N/A,TRUE,"Title";"Graph2",#N/A,TRUE,"Output";"Section4",#N/A,TRUE,"Title";"Gap1",#N/A,TRUE,"Output";"Section5",#N/A,TRUE,"Title";"Model_all",#N/A,TRUE,"Autostrade S.p.A."}</definedName>
    <definedName function="false" hidden="false" name="ULTIMOCAD" vbProcedure="false">#REF!</definedName>
    <definedName function="false" hidden="false" name="ULTIMOEUR" vbProcedure="false">#REF!</definedName>
    <definedName function="false" hidden="false" name="ULTIMOHKD" vbProcedure="false">#REF!</definedName>
    <definedName function="false" hidden="false" name="ULTIMONOK" vbProcedure="false">#REF!</definedName>
    <definedName function="false" hidden="false" name="ULTIMOSAR" vbProcedure="false">#REF!</definedName>
    <definedName function="false" hidden="false" name="ULTIMOTRY" vbProcedure="false">#REF!</definedName>
    <definedName function="false" hidden="false" name="ULTIMOUSD" vbProcedure="false">#REF!</definedName>
    <definedName function="false" hidden="true" name="Unit" vbProcedure="false">{#N/A,#N/A,FALSE,"Pharm";#N/A,#N/A,FALSE,"WWCM"}</definedName>
    <definedName function="false" hidden="false" name="Unit_indicator" vbProcedure="false">#REF!</definedName>
    <definedName function="false" hidden="true" name="UNI_FILT_OFFSPEC" vbProcedure="false">2</definedName>
    <definedName function="false" hidden="true" name="UNI_FILT_ONSPEC" vbProcedure="false">1</definedName>
    <definedName function="false" hidden="true" name="UNI_NOTHING" vbProcedure="false">0</definedName>
    <definedName function="false" hidden="true" name="UNI_PRES_FILTER" vbProcedure="false">1</definedName>
    <definedName function="false" hidden="true" name="UNI_PRES_HEADINGS" vbProcedure="false">16</definedName>
    <definedName function="false" hidden="true" name="UNI_PRES_INVERT" vbProcedure="false">2</definedName>
    <definedName function="false" hidden="true" name="UNI_PRES_MATRIX" vbProcedure="false">4</definedName>
    <definedName function="false" hidden="true" name="UNI_PRES_MERGED" vbProcedure="false">8</definedName>
    <definedName function="false" hidden="true" name="UNI_PRES_OUTLIERS" vbProcedure="false">32</definedName>
    <definedName function="false" hidden="true" name="UNI_RET_ATTRIB" vbProcedure="false">64</definedName>
    <definedName function="false" hidden="true" name="UNI_RET_CONF" vbProcedure="false">32</definedName>
    <definedName function="false" hidden="true" name="UNI_RET_DESC" vbProcedure="false">4</definedName>
    <definedName function="false" hidden="true" name="UNI_RET_EQUIP" vbProcedure="false">1</definedName>
    <definedName function="false" hidden="true" name="UNI_RET_OFFSPEC" vbProcedure="false">512</definedName>
    <definedName function="false" hidden="true" name="UNI_RET_ONSPEC" vbProcedure="false">256</definedName>
    <definedName function="false" hidden="true" name="UNI_RET_PROP" vbProcedure="false">32</definedName>
    <definedName function="false" hidden="true" name="UNI_RET_PROPDESC" vbProcedure="false">64</definedName>
    <definedName function="false" hidden="true" name="UNI_RET_SMPLPNT" vbProcedure="false">4</definedName>
    <definedName function="false" hidden="true" name="UNI_RET_SPECMAX" vbProcedure="false">2048</definedName>
    <definedName function="false" hidden="true" name="UNI_RET_SPECMIN" vbProcedure="false">1024</definedName>
    <definedName function="false" hidden="true" name="UNI_RET_TAG" vbProcedure="false">1</definedName>
    <definedName function="false" hidden="true" name="UNI_RET_TESTTIME" vbProcedure="false">128</definedName>
    <definedName function="false" hidden="true" name="UNI_RET_TIME" vbProcedure="false">8</definedName>
    <definedName function="false" hidden="true" name="UNI_RET_UNIT" vbProcedure="false">2</definedName>
    <definedName function="false" hidden="true" name="UNI_RET_VALUE" vbProcedure="false">16</definedName>
    <definedName function="false" hidden="true" name="uoroy"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UPDATEACT" vbProcedure="false">TRUE()</definedName>
    <definedName function="false" hidden="true" name="UPDATEADHOC" vbProcedure="false">FALSE()</definedName>
    <definedName function="false" hidden="true" name="UPDATEBUD" vbProcedure="false">FALSE()</definedName>
    <definedName function="false" hidden="true" name="UPDATELY" vbProcedure="false">TRUE()</definedName>
    <definedName function="false" hidden="true" name="UPDATEPRG" vbProcedure="false">FALSE()</definedName>
    <definedName function="false" hidden="true" name="uq" vbProcedure="false">{"detail",#N/A,FALSE,"mfg";"summary",#N/A,FALSE,"mfg"}</definedName>
    <definedName function="false" hidden="true" name="URGENT" vbProcedure="false">{#N/A,#N/A,FALSE,"AHF"}</definedName>
    <definedName function="false" hidden="true" name="ut" vbProcedure="false">{#N/A,"PURCHM",FALSE,"Business Analysis";#N/A,"SPADD",FALSE,"Business Analysis"}</definedName>
    <definedName function="false" hidden="true" name="utyu" vbProcedure="false">{#N/A,#N/A,FALSE,"3";#N/A,#N/A,FALSE,"5";#N/A,#N/A,FALSE,"6";#N/A,#N/A,FALSE,"8";#N/A,#N/A,FALSE,"10";#N/A,#N/A,FALSE,"13";#N/A,#N/A,FALSE,"14";#N/A,#N/A,FALSE,"15";#N/A,#N/A,FALSE,"16"}</definedName>
    <definedName function="false" hidden="true" name="uu" vbProcedure="false">{#N/A,#N/A,FALSE,"TAXC.INDEX";#N/A,#N/A,FALSE,"Schedule I";#N/A,#N/A,FALSE,"Schedule  II";#N/A,#N/A,FALSE,"Schedule III"}</definedName>
    <definedName function="false" hidden="true" name="uu.kk" vbProcedure="false">{#N/A,#N/A,FALSE,"KA CH  (2)"}</definedName>
    <definedName function="false" hidden="true" name="uuu" vbProcedure="false">{#N/A,#N/A,TRUE,"COVER";#N/A,#N/A,TRUE,"DIR";#N/A,#N/A,TRUE,"AUDIT"}</definedName>
    <definedName function="false" hidden="true" name="uuuuu" vbProcedure="false">1/eurextofrf</definedName>
    <definedName function="false" hidden="true" name="uyikuyik" vbProcedure="false">{#N/A,#N/A,FALSE,"3";#N/A,#N/A,FALSE,"5";#N/A,#N/A,FALSE,"6";#N/A,#N/A,FALSE,"8";#N/A,#N/A,FALSE,"10";#N/A,#N/A,FALSE,"13";#N/A,#N/A,FALSE,"14";#N/A,#N/A,FALSE,"15";#N/A,#N/A,FALSE,"16"}</definedName>
    <definedName function="false" hidden="true" name="uyirui"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uy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uyt" vbProcedure="false">{#N/A,"PURADD",FALSE,"Business Analysis";#N/A,"PURSPP",FALSE,"Business Analysis";#N/A,"CTGIND",FALSE,"Business Analysis";#N/A,"PURCHM",FALSE,"Business Analysis";#N/A,"SPADD",FALSE,"Business Analysis";#N/A,"EPOXY",FALSE,"Business Analysis";#N/A,"PURPER",FALSE,"Business Analysis"}</definedName>
    <definedName function="false" hidden="true" name="uytr" vbProcedure="false">{#N/A,"PURCHM",FALSE,"Business Analysis";#N/A,"SPADD",FALSE,"Business Analysis"}</definedName>
    <definedName function="false" hidden="true" name="uztuz" vbProcedure="false">{#N/A,#N/A,FALSE,"Umsatz OK";#N/A,#N/A,FALSE,"ER OK ";#N/A,#N/A,FALSE,"EA OK (2)";#N/A,#N/A,FALSE,"EA OK";#N/A,#N/A,FALSE,"EA OK (3)";#N/A,#N/A,FALSE,"EA OK (4)";#N/A,#N/A,FALSE,"KA OK  (2)";#N/A,#N/A,FALSE,"KA OK";#N/A,#N/A,FALSE,"KA OK  (3)";#N/A,#N/A,FALSE,"KA OK (4)"}</definedName>
    <definedName function="false" hidden="true" name="uzuztt" vbProcedure="false">{#N/A,#N/A,FALSE,"Umsatz HM";#N/A,#N/A,FALSE,"ER HM";#N/A,#N/A,FALSE,"EA HM  (2)";#N/A,#N/A,FALSE,"EA HM ";#N/A,#N/A,FALSE,"EA HM  (4)";#N/A,#N/A,FALSE,"EA HM  (3)";#N/A,#N/A,FALSE,"KA HM  (2)";#N/A,#N/A,FALSE,"KA HM";#N/A,#N/A,FALSE,"KA HM  (3)";#N/A,#N/A,FALSE,"KA HM (4)"}</definedName>
    <definedName function="false" hidden="true" name="v" vbProcedure="false">{#N/A,#N/A,FALSE,"Umsatz CH";#N/A,#N/A,FALSE,"ER CH";#N/A,#N/A,FALSE,"EA CH (2) ";#N/A,#N/A,FALSE,"EA CH";#N/A,#N/A,FALSE,"EA CH (3) ";#N/A,#N/A,FALSE,"EA CH (4)";#N/A,#N/A,FALSE,"KA CH";#N/A,#N/A,FALSE,"KA CH  (2)";#N/A,#N/A,FALSE,"KA CH  (3)";#N/A,#N/A,FALSE,"KA CH (4)"}</definedName>
    <definedName function="false" hidden="true" name="v.1" vbProcedure="false">{#N/A,#N/A,FALSE,"Umsatz HM";#N/A,#N/A,FALSE,"ER HM";#N/A,#N/A,FALSE,"EA HM  (2)";#N/A,#N/A,FALSE,"EA HM ";#N/A,#N/A,FALSE,"EA HM  (4)";#N/A,#N/A,FALSE,"EA HM  (3)";#N/A,#N/A,FALSE,"KA HM  (2)";#N/A,#N/A,FALSE,"KA HM";#N/A,#N/A,FALSE,"KA HM  (3)";#N/A,#N/A,FALSE,"KA HM (4)"}</definedName>
    <definedName function="false" hidden="true" name="v.10" vbProcedure="false">{#N/A,#N/A,FALSE,"Produkte Erw.";#N/A,#N/A,FALSE,"Produkte Plan";#N/A,#N/A,FALSE,"Leistungen Erw.";#N/A,#N/A,FALSE,"Leistungen Plan";#N/A,#N/A,FALSE,"KA Allg.Kosten (2)";#N/A,#N/A,FALSE,"KA All.Kosten"}</definedName>
    <definedName function="false" hidden="true" name="V.2" vbProcedure="false">{#N/A,#N/A,FALSE,"Produkte Erw.";#N/A,#N/A,FALSE,"Produkte Plan";#N/A,#N/A,FALSE,"Leistungen Erw.";#N/A,#N/A,FALSE,"Leistungen Plan";#N/A,#N/A,FALSE,"KA Allg.Kosten (2)";#N/A,#N/A,FALSE,"KA All.Kosten"}</definedName>
    <definedName function="false" hidden="true" name="V.3" vbProcedure="false">{#N/A,#N/A,FALSE,"Produkte Erw.";#N/A,#N/A,FALSE,"Produkte Plan";#N/A,#N/A,FALSE,"Leistungen Erw.";#N/A,#N/A,FALSE,"Leistungen Plan";#N/A,#N/A,FALSE,"KA Allg.Kosten (2)";#N/A,#N/A,FALSE,"KA All.Kosten"}</definedName>
    <definedName function="false" hidden="true" name="v.6" vbProcedure="false">{#N/A,#N/A,FALSE,"Umsatz CH";#N/A,#N/A,FALSE,"ER CH";#N/A,#N/A,FALSE,"EA CH (2) ";#N/A,#N/A,FALSE,"EA CH";#N/A,#N/A,FALSE,"EA CH (3) ";#N/A,#N/A,FALSE,"EA CH (4)";#N/A,#N/A,FALSE,"KA CH";#N/A,#N/A,FALSE,"KA CH  (2)";#N/A,#N/A,FALSE,"KA CH  (3)";#N/A,#N/A,FALSE,"KA CH (4)"}</definedName>
    <definedName function="false" hidden="true" name="v.7" vbProcedure="false">{#N/A,#N/A,FALSE,"Umsatz CH";#N/A,#N/A,FALSE,"ER CH";#N/A,#N/A,FALSE,"EA CH (2) ";#N/A,#N/A,FALSE,"EA CH";#N/A,#N/A,FALSE,"EA CH (3) ";#N/A,#N/A,FALSE,"EA CH (4)";#N/A,#N/A,FALSE,"KA CH";#N/A,#N/A,FALSE,"KA CH  (2)";#N/A,#N/A,FALSE,"KA CH  (3)";#N/A,#N/A,FALSE,"KA CH (4)"}</definedName>
    <definedName function="false" hidden="true" name="v.8" vbProcedure="false">{#N/A,#N/A,FALSE,"Produkte Erw.";#N/A,#N/A,FALSE,"Produkte Plan";#N/A,#N/A,FALSE,"Leistungen Erw.";#N/A,#N/A,FALSE,"Leistungen Plan";#N/A,#N/A,FALSE,"KA Allg.Kosten (2)";#N/A,#N/A,FALSE,"KA All.Kosten"}</definedName>
    <definedName function="false" hidden="true" name="val" vbProcedure="false">{"detail",#N/A,FALSE,"mfg";"summary",#N/A,FALSE,"mfg"}</definedName>
    <definedName function="false" hidden="true" name="vamnos" vbProcedure="false">#REF!</definedName>
    <definedName function="false" hidden="true" name="vay" vbProcedure="false">{#N/A,#N/A,TRUE,"COVER";#N/A,#N/A,TRUE,"DIR";#N/A,#N/A,TRUE,"AUDIT"}</definedName>
    <definedName function="false" hidden="true" name="vbadfga"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vbhj" vbProcedure="false">{#N/A,"PURCHM",FALSE,"Business Analysis";#N/A,"SPADD",FALSE,"Business Analysis"}</definedName>
    <definedName function="false" hidden="true" name="vbnm" vbProcedure="false">{"net assets",#N/A,FALSE,"summary";"asset turnover",#N/A,FALSE,"summary";"orona",#N/A,FALSE,"summary"}</definedName>
    <definedName function="false" hidden="true" name="vbvbvbv"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vbvn" vbProcedure="false">"c116"</definedName>
    <definedName function="false" hidden="true" name="vcb" vbProcedure="false">{#N/A,#N/A,FALSE,"3";#N/A,#N/A,FALSE,"5";#N/A,#N/A,FALSE,"6";#N/A,#N/A,FALSE,"8";#N/A,#N/A,FALSE,"10";#N/A,#N/A,FALSE,"13";#N/A,#N/A,FALSE,"14";#N/A,#N/A,FALSE,"15";#N/A,#N/A,FALSE,"16"}</definedName>
    <definedName function="false" hidden="true" name="vcfd"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vcfg" vbProcedure="false">{#N/A,#N/A,FALSE,"TB";#N/A,#N/A,FALSE,"DR";#N/A,#N/A,FALSE,"AR";#N/A,#N/A,FALSE,"BS";#N/A,#N/A,FALSE,"PL";#N/A,#N/A,FALSE,"NOTES";#N/A,#N/A,FALSE,"NOTES (2)";#N/A,#N/A,FALSE,"NOTES (3)";#N/A,#N/A,FALSE,"DPL";#N/A,#N/A,FALSE,"DPL"}</definedName>
    <definedName function="false" hidden="true" name="vcncvnc" vbProcedure="false">{"landexbravo",#N/A,FALSE,"Land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function="false" hidden="true" name="vcncvncnb" vbProcedure="false">{"comps",#N/A,FALSE,"HANDPACK";"footnotes",#N/A,FALSE,"HANDPACK"}</definedName>
    <definedName function="false" hidden="true" name="vcvc" vbProcedure="false">{"Polymers Details",#N/A,FALSE,"Current Yr";"Polymer Details",#N/A,FALSE,"Budget";"Polymer Details",#N/A,FALSE,"Prior Year"}</definedName>
    <definedName function="false" hidden="true" name="vcvcv" vbProcedure="false">{#N/A,#N/A,FALSE,"Umsatz EO BP";#N/A,#N/A,FALSE,"Umsatz EO OP";#N/A,#N/A,FALSE,"ER EO BP";#N/A,#N/A,FALSE,"ER EO OP";#N/A,#N/A,FALSE,"EA EO (2)";#N/A,#N/A,FALSE,"EA EO";#N/A,#N/A,FALSE,"EA EO (3)";#N/A,#N/A,FALSE,"EA EO (4)";#N/A,#N/A,FALSE,"KA EO  (2)";#N/A,#N/A,FALSE,"KA EO";#N/A,#N/A,FALSE,"KA EO  (3)";#N/A,#N/A,FALSE,"KA EO (4)"}</definedName>
    <definedName function="false" hidden="true" name="vcx" vbProcedure="false">{"YD PACKAGE",#N/A,FALSE,"YTD"}</definedName>
    <definedName function="false" hidden="true" name="vcxz"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vc_01" vbProcedure="false">#REF!</definedName>
    <definedName function="false" hidden="true" name="venga" vbProcedure="false">#REF!</definedName>
    <definedName function="false" hidden="true" name="version1" vbProcedure="false">{"'Internat.oper.netti'!$B$1:$J$25"}</definedName>
    <definedName function="false" hidden="true" name="VersionNumber" vbProcedure="false">"4.5.5708"</definedName>
    <definedName function="false" hidden="true" name="vf" vbProcedure="false">{#N/A,"PURADD",FALSE,"Business Analysis";#N/A,"PURSPP",FALSE,"Business Analysis";#N/A,"CTGIND",FALSE,"Business Analysis";#N/A,"PURCHM",FALSE,"Business Analysis";#N/A,"SPADD",FALSE,"Business Analysis";#N/A,"EPOXY",FALSE,"Business Analysis";#N/A,"PURPER",FALSE,"Business Analysis"}</definedName>
    <definedName function="false" hidden="true" name="vfcd" vbProcedure="false">{"QTD",#N/A,FALSE,"SUM"}</definedName>
    <definedName function="false" hidden="true" name="vfhy" vbProcedure="false">{"GENERALH2",#N/A,FALSE,"CM"}</definedName>
    <definedName function="false" hidden="true" name="vgf" vbProcedure="false">{"GENERALH2",#N/A,FALSE,"CM"}</definedName>
    <definedName function="false" hidden="true" name="vgkt" vbProcedure="false">{#N/A,#N/A,FALSE,"DIR-REP";#N/A,#N/A,FALSE,"AUD-REPORT";#N/A,#N/A,FALSE,"P7L&amp;BS";#N/A,#N/A,FALSE,"NOTES";#N/A,#N/A,FALSE,"FA";#N/A,#N/A,FALSE,"NOTES (2)";#N/A,#N/A,FALSE,"Schedule  IV";#N/A,#N/A,FALSE,"Schedule V"}</definedName>
    <definedName function="false" hidden="true" name="vhj" vbProcedure="false">#REF!</definedName>
    <definedName function="false" hidden="true" name="vhvhvhvhvhvh"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Viastar" vbProcedure="false">{#N/A,#N/A,FALSE,"Assumptions";#N/A,#N/A,FALSE,"N-IS-Sum";#N/A,#N/A,FALSE,"N-St-Sum";#N/A,#N/A,FALSE,"Inc Stmt";#N/A,#N/A,FALSE,"Stats"}</definedName>
    <definedName function="false" hidden="true" name="vin" vbProcedure="false">#REF!</definedName>
    <definedName function="false" hidden="true" name="vince" vbProcedure="false">{#N/A,#N/A,TRUE,"Cover sheet";#N/A,#N/A,TRUE,"DCF analysis";#N/A,#N/A,TRUE,"WACC calculation"}</definedName>
    <definedName function="false" hidden="true" name="vj" vbProcedure="false">{#N/A,#N/A,TRUE,"COVER";#N/A,#N/A,TRUE,"DIR";#N/A,#N/A,TRUE,"AUDIT"}</definedName>
    <definedName function="false" hidden="true" name="vjdfo" vbProcedure="false">{#N/A,#N/A,FALSE,"DIR-REP";#N/A,#N/A,FALSE,"AUD-REPORT";#N/A,#N/A,FALSE,"P7L&amp;BS";#N/A,#N/A,FALSE,"NOTES";#N/A,#N/A,FALSE,"FA";#N/A,#N/A,FALSE,"NOTES (2)";#N/A,#N/A,FALSE,"Schedule  IV";#N/A,#N/A,FALSE,"Schedule V"}</definedName>
    <definedName function="false" hidden="true" name="vjo" vbProcedure="false">{#N/A,#N/A,FALSE,"TB";#N/A,#N/A,FALSE,"AR";#N/A,#N/A,FALSE,"BS";#N/A,#N/A,FALSE,"PL";#N/A,#N/A,FALSE,"NOTES";#N/A,#N/A,FALSE,"NOTES (2)";#N/A,#N/A,FALSE,"NOTES (3)";#N/A,#N/A,FALSE,"TAXC.INDEX";#N/A,#N/A,FALSE,"Schedule I";#N/A,#N/A,FALSE,"DPL";#N/A,#N/A,FALSE,"Schedule IV";#N/A,#N/A,FALSE,"Adjustments"}</definedName>
    <definedName function="false" hidden="true" name="vlle" vbProcedure="false">{#N/A,#N/A,FALSE,"DIR-REP";#N/A,#N/A,FALSE,"AUD-REPORT";#N/A,#N/A,FALSE,"P7L&amp;BS";#N/A,#N/A,FALSE,"NOTES";#N/A,#N/A,FALSE,"FA";#N/A,#N/A,FALSE,"NOTES (2)";#N/A,#N/A,FALSE,"Schedule  IV";#N/A,#N/A,FALSE,"Schedule V"}</definedName>
    <definedName function="false" hidden="true" name="vn.2" vbProcedure="false">{#N/A,#N/A,FALSE,"KA CH  (2)"}</definedName>
    <definedName function="false" hidden="true" name="vn.9" vbProcedure="false">{#N/A,#N/A,FALSE,"Umsatz CH";#N/A,#N/A,FALSE,"ER CH";#N/A,#N/A,FALSE,"EA CH (2) ";#N/A,#N/A,FALSE,"EA CH";#N/A,#N/A,FALSE,"EA CH (3) ";#N/A,#N/A,FALSE,"EA CH (4)";#N/A,#N/A,FALSE,"KA CH";#N/A,#N/A,FALSE,"KA CH  (2)";#N/A,#N/A,FALSE,"KA CH  (3)";#N/A,#N/A,FALSE,"KA CH (4)"}</definedName>
    <definedName function="false" hidden="true" name="vnb" vbProcedure="false">{#N/A,#N/A,FALSE,"3";#N/A,#N/A,FALSE,"5";#N/A,#N/A,FALSE,"6";#N/A,#N/A,FALSE,"8";#N/A,#N/A,FALSE,"10";#N/A,#N/A,FALSE,"13";#N/A,#N/A,FALSE,"14";#N/A,#N/A,FALSE,"15";#N/A,#N/A,FALSE,"16"}</definedName>
    <definedName function="false" hidden="true" name="vo" vbProcedure="false">{"consolidated",#N/A,FALSE,"Sheet1";"cms",#N/A,FALSE,"Sheet1";"fse",#N/A,FALSE,"Sheet1"}</definedName>
    <definedName function="false" hidden="true" name="vqefge" vbProcedure="false">{"Units A",#N/A,FALSE,"FY95SLS";"Units B",#N/A,FALSE,"FY95SLS"}</definedName>
    <definedName function="false" hidden="true" name="vv" vbProcedure="false">{#N/A,#N/A,FALSE,"IS US";#N/A,#N/A,FALSE,"BS US";#N/A,#N/A,FALSE,"IS LOCAL";#N/A,#N/A,FALSE,"BS INPUT";#N/A,#N/A,FALSE,"EQUITY";#N/A,#N/A,FALSE,"LOCAL ADJ";#N/A,#N/A,FALSE,"GAAP ADJ"}</definedName>
    <definedName function="false" hidden="true" name="VVV" vbProcedure="false">{#N/A,#N/A,FALSE,"CA";#N/A,#N/A,FALSE,"CN";#N/A,#N/A,FALSE,"Inv";#N/A,#N/A,FALSE,"Inv Acc";"Miguel_balance",#N/A,FALSE,"Bal";#N/A,#N/A,FALSE,"Plantilla";#N/A,#N/A,FALSE,"CA (2)";#N/A,#N/A,FALSE,"CN (2)"}</definedName>
    <definedName function="false" hidden="true" name="vvvvvvvvvv" vbProcedure="false">{"net assets",#N/A,FALSE,"summary";"asset turnover",#N/A,FALSE,"summary";"orona",#N/A,FALSE,"summary"}</definedName>
    <definedName function="false" hidden="true" name="vz" vbProcedure="false">{"detail",#N/A,FALSE,"mfg";"summary",#N/A,FALSE,"mfg"}</definedName>
    <definedName function="false" hidden="true" name="w" vbProcedure="false">{#N/A,"PURCHM",FALSE,"Business Analysis";#N/A,"SPADD",FALSE,"Business Analysis"}</definedName>
    <definedName function="false" hidden="true" name="w.l" vbProcedure="false">{#N/A,#N/A,FALSE,"Umsatz HM";#N/A,#N/A,FALSE,"ER HM";#N/A,#N/A,FALSE,"EA HM  (2)";#N/A,#N/A,FALSE,"EA HM ";#N/A,#N/A,FALSE,"EA HM  (4)";#N/A,#N/A,FALSE,"EA HM  (3)";#N/A,#N/A,FALSE,"KA HM  (2)";#N/A,#N/A,FALSE,"KA HM";#N/A,#N/A,FALSE,"KA HM  (3)";#N/A,#N/A,FALSE,"KA HM (4)"}</definedName>
    <definedName function="false" hidden="true" name="w2f" vbProcedure="false">{"QTD_LPO2N2",#N/A,FALSE,"QTD";"QTD_HYCO",#N/A,FALSE,"QTD";"QTD_LOUISIANA",#N/A,FALSE,"QTD";"QTD_GENERALH2",#N/A,FALSE,"QTD";"QTD_PACKAGE",#N/A,FALSE,"QTD";"QTD_PRS",#N/A,FALSE,"QTD";"QTD_OTHER",#N/A,FALSE,"QTD"}</definedName>
    <definedName function="false" hidden="true" name="w2r5" vbProcedure="false">{"QTD_OTHER",#N/A,FALSE,"QTD"}</definedName>
    <definedName function="false" hidden="true" name="wa" vbProcedure="false">{"apci",#N/A,FALSE,"Chem_CY";"eastman",#N/A,FALSE,"Eastman";"betz",#N/A,FALSE,"Betz";"great lakes",#N/A,FALSE,"Great_Lakes";"hercules",#N/A,FALSE,"Hercules Chem Seg Data";"rohm",#N/A,FALSE,"Rohm";"union carbide",#N/A,FALSE,"Union";"witco",#N/A,FALSE,"Witco"}</definedName>
    <definedName function="false" hidden="true" name="waccnew" vbProcedure="false">{#N/A,#N/A,FALSE,"Aging Summary";#N/A,#N/A,FALSE,"Ratio Analysis";#N/A,#N/A,FALSE,"Test 120 Day Accts";#N/A,#N/A,FALSE,"Tickmarks"}</definedName>
    <definedName function="false" hidden="true" name="wae.2" vbProcedure="false">{#N/A,#N/A,FALSE,"Umsatz CH";#N/A,#N/A,FALSE,"ER CH";#N/A,#N/A,FALSE,"EA CH (2) ";#N/A,#N/A,FALSE,"EA CH";#N/A,#N/A,FALSE,"EA CH (3) ";#N/A,#N/A,FALSE,"EA CH (4)";#N/A,#N/A,FALSE,"KA CH";#N/A,#N/A,FALSE,"KA CH  (2)";#N/A,#N/A,FALSE,"KA CH  (3)";#N/A,#N/A,FALSE,"KA CH (4)"}</definedName>
    <definedName function="false" hidden="true" name="wae.er_er." vbProcedure="false">{#N/A,#N/A,FALSE,"Umsatz EO BP";#N/A,#N/A,FALSE,"Umsatz EO OP";#N/A,#N/A,FALSE,"ER EO BP";#N/A,#N/A,FALSE,"ER EO OP";#N/A,#N/A,FALSE,"EA EO (2)";#N/A,#N/A,FALSE,"EA EO";#N/A,#N/A,FALSE,"EA EO (3)";#N/A,#N/A,FALSE,"EA EO (4)";#N/A,#N/A,FALSE,"KA EO  (2)";#N/A,#N/A,FALSE,"KA EO";#N/A,#N/A,FALSE,"KA EO  (3)";#N/A,#N/A,FALSE,"KA EO (4)"}</definedName>
    <definedName function="false" hidden="true" name="was" vbProcedure="false">{#N/A,#N/A,FALSE,"Sales Graph";#N/A,#N/A,FALSE,"BUC Graph";#N/A,#N/A,FALSE,"P&amp;L - YTD"}</definedName>
    <definedName function="false" hidden="true" name="Watsco" vbProcedure="false">{#N/A,#N/A,FALSE,"Eastern";#N/A,#N/A,FALSE,"Western"}</definedName>
    <definedName function="false" hidden="true" name="way" vbProcedure="false">{#N/A,#N/A,FALSE,"CONTENTS";#N/A,#N/A,FALSE,"DR";#N/A,#N/A,FALSE,"PL";#N/A,#N/A,FALSE,"BS";#N/A,#N/A,FALSE,"Cash Flow";#N/A,#N/A,FALSE,"NOTES";#N/A,#N/A,FALSE,"NOTES (FA)";#N/A,#N/A,FALSE,"Notes(3)";#N/A,#N/A,FALSE,"NOTES (4)";#N/A,#N/A,FALSE,"DP&amp;L";#N/A,#N/A,FALSE,"EXPENSES";#N/A,#N/A,FALSE,"EXPENSES-1"}</definedName>
    <definedName function="false" hidden="true" name="wb" vbProcedure="false">{#N/A,#N/A,FALSE,"Pharm";#N/A,#N/A,FALSE,"WWCM"}</definedName>
    <definedName function="false" hidden="true" name="wc" vbProcedure="false">{#N/A,#N/A,FALSE,"Pharm";#N/A,#N/A,FALSE,"WWCM"}</definedName>
    <definedName function="false" hidden="true" name="wcom" vbProcedure="false">{"IS",#N/A,FALSE,"IS";"RPTIS",#N/A,FALSE,"RPTIS";"STATS",#N/A,FALSE,"STATS";"BS",#N/A,FALSE,"BS"}</definedName>
    <definedName function="false" hidden="true" name="wcy" vbProcedure="false">{"YD PRS",#N/A,FALSE,"YTD"}</definedName>
    <definedName function="false" hidden="true" name="we" vbProcedure="false">{#N/A,#N/A,FALSE,"Pharm";#N/A,#N/A,FALSE,"WWCM"}</definedName>
    <definedName function="false" hidden="true" name="we.3" vbProcedure="false">{#N/A,#N/A,FALSE,"PMW Gruppe 99_98";#N/A,#N/A,FALSE,"PMW KG 98_99";#N/A,#N/A,FALSE,"PMW Inc. 99_98";#N/A,#N/A,FALSE,"PMW VTECH 99_98";#N/A,#N/A,FALSE,"PMW Thail. 99_98";#N/A,#N/A,FALSE,"PMW Canada 99_98";#N/A,#N/A,FALSE,"Währungsabw. 99_98"}</definedName>
    <definedName function="false" hidden="true" name="we.gb.gg" vbProcedure="false">{#N/A,#N/A,FALSE,"Umsatz HM";#N/A,#N/A,FALSE,"ER HM";#N/A,#N/A,FALSE,"EA HM  (2)";#N/A,#N/A,FALSE,"EA HM ";#N/A,#N/A,FALSE,"EA HM  (4)";#N/A,#N/A,FALSE,"EA HM  (3)";#N/A,#N/A,FALSE,"KA HM  (2)";#N/A,#N/A,FALSE,"KA HM";#N/A,#N/A,FALSE,"KA HM  (3)";#N/A,#N/A,FALSE,"KA HM (4)"}</definedName>
    <definedName function="false" hidden="true" name="we3x" vbProcedure="false">{"QTD_LPO2N2",#N/A,FALSE,"QTD"}</definedName>
    <definedName function="false" hidden="true" name="weaw" vbProcedure="false">{"YTD",#N/A,FALSE,"SUM"}</definedName>
    <definedName function="false" hidden="true" name="weawe" vbProcedure="false">{"QTD_HYCO",#N/A,FALSE,"QTD"}</definedName>
    <definedName function="false" hidden="true" name="wec"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wecs" vbProcedure="false">{"QTD_PRS",#N/A,FALSE,"QTD"}</definedName>
    <definedName function="false" hidden="true" name="wecsd" vbProcedure="false">{"sales growth",#N/A,FALSE,"summary";"oper income",#N/A,FALSE,"summary";"oros rank",#N/A,FALSE,"summary";"net assets",#N/A,FALSE,"summary";"asset turnover",#N/A,FALSE,"summary";"orona",#N/A,FALSE,"summary"}</definedName>
    <definedName function="false" hidden="true" name="wed" vbProcedure="false">{#N/A,#N/A,FALSE,"Aging Summary";#N/A,#N/A,FALSE,"Ratio Analysis";#N/A,#N/A,FALSE,"Test 120 Day Accts";#N/A,#N/A,FALSE,"Tickmarks"}</definedName>
    <definedName function="false" hidden="true" name="wed.2"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3"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5"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s" vbProcedure="false">{"overview",#N/A,FALSE,"summary";"net assets",#N/A,FALSE,"summary";"asset turnover",#N/A,FALSE,"summary";"orona",#N/A,FALSE,"summary"}</definedName>
    <definedName function="false" hidden="true" name="wee" vbProcedure="false">{#N/A,#N/A,FALSE,"KA CH  (2)"}</definedName>
    <definedName function="false" hidden="true" name="wefd" vbProcedure="false">{"werbung",#N/A,FALSE,"GuV9900-0399";"betrieb",#N/A,FALSE,"GuV9900-0399";"personal",#N/A,FALSE,"GuV9900-0399";"tvg",#N/A,FALSE,"GuV9900-0399";"verwaltung",#N/A,FALSE,"GuV9900-0399"}</definedName>
    <definedName function="false" hidden="true" name="wefsdfasdf"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egji" vbProcedure="false">{"Sum WW A",#N/A,FALSE,"FY95SLS";"Sum WW B",#N/A,FALSE,"FY95SLS";"Sum US A",#N/A,FALSE,"FY95SLS";"Sum US B",#N/A,FALSE,"FY95SLS";"Sum US Bocg",#N/A,FALSE,"FY95SLS";"Sum Can A",#N/A,FALSE,"FY95SLS";"Sum Can B",#N/A,FALSE,"FY95SLS";"Sum Europe",#N/A,FALSE,"FY95SLS";"Sum Row",#N/A,FALSE,"FY95SLS"}</definedName>
    <definedName function="false" hidden="true" name="wei.units" vbProcedure="false">{"Units A",#N/A,FALSE,"FY95SLS";"Units B",#N/A,FALSE,"FY95SLS"}</definedName>
    <definedName function="false" hidden="true" name="weix" vbProcedure="false">{"Comp_of_Price_Effect",#N/A,FALSE,"QTRDPVAR"}</definedName>
    <definedName function="false" hidden="true" name="wels" vbProcedure="false">{#N/A,#N/A,FALSE,"TAXC.INDEX";#N/A,#N/A,FALSE,"Schedule I";#N/A,#N/A,FALSE,"Schedule  II";#N/A,#N/A,FALSE,"Schedule III"}</definedName>
    <definedName function="false" hidden="true" name="wen.gb._hm." vbProcedure="false">{#N/A,#N/A,FALSE,"Umsatz HM";#N/A,#N/A,FALSE,"ER HM";#N/A,#N/A,FALSE,"EA HM  (2)";#N/A,#N/A,FALSE,"EA HM ";#N/A,#N/A,FALSE,"EA HM  (4)";#N/A,#N/A,FALSE,"EA HM  (3)";#N/A,#N/A,FALSE,"KA HM  (2)";#N/A,#N/A,FALSE,"KA HM";#N/A,#N/A,FALSE,"KA HM  (3)";#N/A,#N/A,FALSE,"KA HM (4)"}</definedName>
    <definedName function="false" hidden="true" name="wendy"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weop" vbProcedure="false">{"oct_res_comm",#N/A,FALSE,"VarToBud"}</definedName>
    <definedName function="false" hidden="true" name="wer" vbProcedure="false">{#N/A,#N/A,FALSE,"TB";#N/A,#N/A,FALSE,"AR";#N/A,#N/A,FALSE,"BS";#N/A,#N/A,FALSE,"PL";#N/A,#N/A,FALSE,"NOTES";#N/A,#N/A,FALSE,"NOTES (2)";#N/A,#N/A,FALSE,"NOTES (3)";#N/A,#N/A,FALSE,"TAXC.INDEX";#N/A,#N/A,FALSE,"Schedule I";#N/A,#N/A,FALSE,"DPL";#N/A,#N/A,FALSE,"Schedule IV";#N/A,#N/A,FALSE,"Adjustments"}</definedName>
    <definedName function="false" hidden="true" name="wer.g" vbProcedure="false">{#N/A,#N/A,FALSE,"KA CH  (2)"}</definedName>
    <definedName function="false" hidden="true" name="werrr" vbProcedure="false">{#N/A,#N/A,FALSE,"Pharm";#N/A,#N/A,FALSE,"WWCM"}</definedName>
    <definedName function="false" hidden="true" name="wert" vbProcedure="false">{#N/A,"PURADD",FALSE,"Business Analysis";#N/A,"PURSPP",FALSE,"Business Analysis";#N/A,"CTGIND",FALSE,"Business Analysis";#N/A,"PURCHM",FALSE,"Business Analysis";#N/A,"SPADD",FALSE,"Business Analysis";#N/A,"EPOXY",FALSE,"Business Analysis";#N/A,"PURPER",FALSE,"Business Analysis"}</definedName>
    <definedName function="false" hidden="true" name="Westlake" vbProcedure="false">{#N/A,#N/A,FALSE,"A"}</definedName>
    <definedName function="false" hidden="true" name="wetqey"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wew"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we" vbProcedure="false">{"LOUISIANA",#N/A,FALSE,"CM"}</definedName>
    <definedName function="false" hidden="true" name="wews" vbProcedure="false">{"pro_view",#N/A,FALSE,"EEFSNAP2";"rep_view",#N/A,FALSE,"EEFSNAP2"}</definedName>
    <definedName function="false" hidden="true" name="weza" vbProcedure="false">{"QTD_PACKAGE",#N/A,FALSE,"QTD"}</definedName>
    <definedName function="false" hidden="true" name="weze" vbProcedure="false">{#N/A,"PURADD",FALSE,"Business Analysis";#N/A,"PURSPP",FALSE,"Business Analysis";#N/A,"CTGIND",FALSE,"Business Analysis";#N/A,"PURCHM",FALSE,"Business Analysis";#N/A,"SPADD",FALSE,"Business Analysis";#N/A,"EPOXY",FALSE,"Business Analysis";#N/A,"PURPER",FALSE,"Business Analysis"}</definedName>
    <definedName function="false" hidden="true" name="wezf" vbProcedure="false">{"YD PACKAGE",#N/A,FALSE,"YTD"}</definedName>
    <definedName function="false" hidden="true" name="wfeab" vbProcedure="false">{"werbung",#N/A,FALSE,"GuV9900-0399";"betrieb",#N/A,FALSE,"GuV9900-0399";"personal",#N/A,FALSE,"GuV9900-0399";"tvg",#N/A,FALSE,"GuV9900-0399";"verwaltung",#N/A,FALSE,"GuV9900-0399"}</definedName>
    <definedName function="false" hidden="true" name="what"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whatever" vbProcedure="false">{#N/A,#N/A,FALSE,"CHANGES";#N/A,#N/A,FALSE,"PROD SUMMARY";#N/A,#N/A,FALSE,"1995 PO SUM";#N/A,#N/A,FALSE,"1995 GEOG SUM";#N/A,#N/A,FALSE,"1996 PO SUM";#N/A,#N/A,FALSE,"1996 GEOG SUM"}</definedName>
    <definedName function="false" hidden="true" name="wjtrujtr"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wlds" vbProcedure="false">{#N/A,#N/A,FALSE,"TB";#N/A,#N/A,FALSE,"AR";#N/A,#N/A,FALSE,"BS";#N/A,#N/A,FALSE,"PL";#N/A,#N/A,FALSE,"NOTES";#N/A,#N/A,FALSE,"NOTES (2)";#N/A,#N/A,FALSE,"NOTES (3)";#N/A,#N/A,FALSE,"TAXC.INDEX";#N/A,#N/A,FALSE,"Schedule I";#N/A,#N/A,FALSE,"DPL";#N/A,#N/A,FALSE,"Schedule IV";#N/A,#N/A,FALSE,"Adjustments"}</definedName>
    <definedName function="false" hidden="true" name="wm.tiger." vbProcedure="false">{#N/A,#N/A,FALSE,"TB";#N/A,#N/A,FALSE,"DR";#N/A,#N/A,FALSE,"AR";#N/A,#N/A,FALSE,"BS";#N/A,#N/A,FALSE,"PL";#N/A,#N/A,FALSE,"NOTES";#N/A,#N/A,FALSE,"NOTES (2)";#N/A,#N/A,FALSE,"NOTES (3)";#N/A,#N/A,FALSE,"DPL";#N/A,#N/A,FALSE,"DPL"}</definedName>
    <definedName function="false" hidden="true" name="wn" vbProcedure="false">{#N/A,#N/A,FALSE,"3";#N/A,#N/A,FALSE,"5";#N/A,#N/A,FALSE,"6";#N/A,#N/A,FALSE,"8";#N/A,#N/A,FALSE,"10";#N/A,#N/A,FALSE,"13";#N/A,#N/A,FALSE,"14";#N/A,#N/A,FALSE,"15";#N/A,#N/A,FALSE,"16"}</definedName>
    <definedName function="false" hidden="true" name="wnr" vbProcedure="false">{"Sum WW A",#N/A,FALSE,"FY95SLS";"Sum WW B",#N/A,FALSE,"FY95SLS";"Sum US A",#N/A,FALSE,"FY95SLS";"Sum US B",#N/A,FALSE,"FY95SLS";"Sum US Bocg",#N/A,FALSE,"FY95SLS";"Sum Can A",#N/A,FALSE,"FY95SLS";"Sum Can B",#N/A,FALSE,"FY95SLS";"Sum Europe",#N/A,FALSE,"FY95SLS";"Sum Row",#N/A,FALSE,"FY95SLS"}</definedName>
    <definedName function="false" hidden="true" name="woi" vbProcedure="false">{"detail",#N/A,FALSE,"mfg";"summary",#N/A,FALSE,"mfg"}</definedName>
    <definedName function="false" hidden="true" name="womxien" vbProcedure="false">{"detail",#N/A,FALSE,"mfg";"summary",#N/A,FALSE,"mfg"}</definedName>
    <definedName function="false" hidden="true" name="working" vbProcedure="false">{#N/A,#N/A,FALSE,"REPORT"}</definedName>
    <definedName function="false" hidden="true" name="Workload" vbProcedure="false">{#N/A,#N/A,FALSE,"Presentation by Unit";#N/A,#N/A,FALSE,"Presentation by BD";#N/A,#N/A,FALSE,"Presentation Split by Biggest U";#N/A,#N/A,FALSE,"Presentation Split by Area";#N/A,#N/A,FALSE,"Presentation Split by BD"}</definedName>
    <definedName function="false" hidden="true" name="wq" vbProcedure="false">{"PRS",#N/A,FALSE,"CM"}</definedName>
    <definedName function="false" hidden="true" name="wqa" vbProcedure="false">{#N/A,"PURCHM",FALSE,"Business Analysis";#N/A,"SPADD",FALSE,"Business Analysis"}</definedName>
    <definedName function="false" hidden="true" name="wqc" vbProcedure="false">{"ACT",#N/A,FALSE,"Q3Elec P&amp;L fy 99  ";"BUD",#N/A,FALSE,"Q3Elec P&amp;L fy 99  ";"PRIOR",#N/A,FALSE,"Q3Elec P&amp;L fy 99  "}</definedName>
    <definedName function="false" hidden="true" name="wqd" vbProcedure="false">{"OTHER",#N/A,FALSE,"CM"}</definedName>
    <definedName function="false" hidden="true" name="wqeq" vbProcedure="false">{"Commentary",#N/A,FALSE,"May"}</definedName>
    <definedName function="false" hidden="true" name="wqer" vbProcedure="false">{"TXO2N2_SLS",#N/A,FALSE,"MTHLYSLES";"TXH2_SLS",#N/A,FALSE,"MTHLYSLES";"LOUIS_SLS",#N/A,FALSE,"MTHLYSLES";"H2_SLS",#N/A,FALSE,"MTHLYSLES";"O2N2_SLS",#N/A,FALSE,"MTHLYSLES";"PACKAGE_SLS",#N/A,FALSE,"MTHLYSLES"}</definedName>
    <definedName function="false" hidden="true" name="wqew" vbProcedure="false">#REF!</definedName>
    <definedName function="false" hidden="true" name="wqewqeqwe" vbProcedure="false">{#N/A,#N/A,FALSE,"3";#N/A,#N/A,FALSE,"5";#N/A,#N/A,FALSE,"6";#N/A,#N/A,FALSE,"8";#N/A,#N/A,FALSE,"10";#N/A,#N/A,FALSE,"13";#N/A,#N/A,FALSE,"14";#N/A,#N/A,FALSE,"15";#N/A,#N/A,FALSE,"16"}</definedName>
    <definedName function="false" hidden="true" name="wqwq" vbProcedure="false">{"BA detail",#N/A,FALSE,"Q3YTD "}</definedName>
    <definedName function="false" hidden="true" name="wqx" vbProcedure="false">{"Comp_of_Price_Effect",#N/A,FALSE,"QTRDPVAR"}</definedName>
    <definedName function="false" hidden="true" name="wr34ar" vbProcedure="false">{"QTD_LOUISIANA",#N/A,FALSE,"QTD"}</definedName>
    <definedName function="false" hidden="true" name="wradw" vbProcedure="false">{"YD LAPO2",#N/A,FALSE,"YTD";"YD LPH2",#N/A,FALSE,"YTD";"YD LOUISIANA",#N/A,FALSE,"YTD";"YD GENERALH2",#N/A,FALSE,"YTD";"YD PRS",#N/A,FALSE,"YTD";"YD PACKAGE",#N/A,FALSE,"YTD";"YD OTHER",#N/A,FALSE,"YTD"}</definedName>
    <definedName function="false" hidden="true" name="wrc" vbProcedure="false">{#N/A,#N/A,FALSE,"TECH CENTRE RXDU66";#N/A,#N/A,FALSE,"ASU VAAX66";#N/A,#N/A,FALSE,"TCM VAKX66"}</definedName>
    <definedName function="false" hidden="true" name="wrd.2._.pagers.3" vbProcedure="false">{"Cover",#N/A,FALSE,"Cover";"Summary",#N/A,FALSE,"Summarpage"}</definedName>
    <definedName function="false" hidden="true" name="wreqwrwrw" vbProcedure="false">{#N/A,#N/A,FALSE,"3";#N/A,#N/A,FALSE,"5";#N/A,#N/A,FALSE,"6";#N/A,#N/A,FALSE,"8";#N/A,#N/A,FALSE,"10";#N/A,#N/A,FALSE,"13";#N/A,#N/A,FALSE,"14";#N/A,#N/A,FALSE,"15";#N/A,#N/A,FALSE,"16"}</definedName>
    <definedName function="false" hidden="true" name="wrewrw"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wrf" vbProcedure="false">{#N/A,"PURCHM",FALSE,"Business Analysis";#N/A,"SPADD",FALSE,"Business Analysis"}</definedName>
    <definedName function="false" hidden="true" name="wrm" vbProcedure="false">{#N/A,#N/A,FALSE,"TB";#N/A,#N/A,FALSE,"DR";#N/A,#N/A,FALSE,"AR";#N/A,#N/A,FALSE,"PL";#N/A,#N/A,FALSE,"BS";#N/A,#N/A,FALSE,"NOTES";#N/A,#N/A,FALSE,"NOTES (2)";#N/A,#N/A,FALSE,"NOTES (3)";#N/A,#N/A,FALSE,"DPL";#N/A,#N/A,FALSE,"TAXC.INDEX";#N/A,#N/A,FALSE,"Schedule I";#N/A,#N/A,FALSE,"Adjustments"}</definedName>
    <definedName function="false" hidden="true" name="wrm.pucspaddq2" vbProcedure="false">{#N/A,"PURCHM",FALSE,"Business Analysis";#N/A,"SPADD",FALSE,"Business Analysis"}</definedName>
    <definedName function="false" hidden="true" name="wrn" vbProcedure="false">{"vue1",#N/A,FALSE,"synthese";"vue2",#N/A,FALSE,"synthese"}</definedName>
    <definedName function="false" hidden="true" name="wrn.1." vbProcedure="false">{#N/A,#N/A,FALSE,"Calc";#N/A,#N/A,FALSE,"Sensitivity";#N/A,#N/A,FALSE,"LT Earn.Dil.";#N/A,#N/A,FALSE,"Dil. AVP"}</definedName>
    <definedName function="false" hidden="true" name="wrn.1.1" vbProcedure="false">{#N/A,#N/A,FALSE,"Calc";#N/A,#N/A,FALSE,"Sensitivity";#N/A,#N/A,FALSE,"LT Earn.Dil.";#N/A,#N/A,FALSE,"Dil. AVP"}</definedName>
    <definedName function="false" hidden="true" name="wrn.1.1.2" vbProcedure="false">{#N/A,#N/A,FALSE,"Calc";#N/A,#N/A,FALSE,"Sensitivity";#N/A,#N/A,FALSE,"LT Earn.Dil.";#N/A,#N/A,FALSE,"Dil. AVP"}</definedName>
    <definedName function="false" hidden="true" name="wrn.1.1.3" vbProcedure="false">{#N/A,#N/A,FALSE,"Calc";#N/A,#N/A,FALSE,"Sensitivity";#N/A,#N/A,FALSE,"LT Earn.Dil.";#N/A,#N/A,FALSE,"Dil. AVP"}</definedName>
    <definedName function="false" hidden="true" name="wrn.1.2" vbProcedure="false">{#N/A,#N/A,FALSE,"Calc";#N/A,#N/A,FALSE,"Sensitivity";#N/A,#N/A,FALSE,"LT Earn.Dil.";#N/A,#N/A,FALSE,"Dil. AVP"}</definedName>
    <definedName function="false" hidden="true" name="wrn.1.3" vbProcedure="false">{#N/A,#N/A,FALSE,"Calc";#N/A,#N/A,FALSE,"Sensitivity";#N/A,#N/A,FALSE,"LT Earn.Dil.";#N/A,#N/A,FALSE,"Dil. AVP"}</definedName>
    <definedName function="false" hidden="true" name="wrn.10." vbProcedure="false">{"cover",#N/A,TRUE,"Cover";"toc3",#N/A,TRUE,"TOC";"over",#N/A,TRUE,"Overview";"ts2",#N/A,TRUE,"Det_Trans_Sum";"ei1c",#N/A,TRUE,"Earnings Impact";"ad1",#N/A,TRUE,"accretion dilution";"pfis1",#N/A,TRUE,"Pro Forma Income Statement";"acq1c",#N/A,TRUE,"Acquirer";"tar1c",#N/A,TRUE,"Target"}</definedName>
    <definedName function="false" hidden="true" name="wrn.10yp._.balance._.sheet." vbProcedure="false">{"10yp balance sheet",#N/A,FALSE,"Celtel alternative 6"}</definedName>
    <definedName function="false" hidden="true" name="wrn.10yp._.capex." vbProcedure="false">{"10yp capex",#N/A,FALSE,"Celtel alternative 6"}</definedName>
    <definedName function="false" hidden="true" name="wrn.10yp._.customers." vbProcedure="false">{"10yp customers",#N/A,FALSE,"Celtel alternative 6"}</definedName>
    <definedName function="false" hidden="true" name="wrn.10yp._.graphs." vbProcedure="false">{"10yp graphs",#N/A,FALSE,"Market Data"}</definedName>
    <definedName function="false" hidden="true" name="wrn.10yp._.key._.data." vbProcedure="false">{"10yp key data",#N/A,FALSE,"Market Data"}</definedName>
    <definedName function="false" hidden="true" name="wrn.10yp._.profit._.and._.loss." vbProcedure="false">{"10yp profit and loss",#N/A,FALSE,"Celtel alternative 6"}</definedName>
    <definedName function="false" hidden="true" name="wrn.10yp._.tariffs." vbProcedure="false">{"10yp tariffs",#N/A,FALSE,"Celtel alternative 6"}</definedName>
    <definedName function="false" hidden="true" name="wrn.11." vbProcedure="false">{"cover",#N/A,TRUE,"Cover";"toc3",#N/A,TRUE,"TOC";"over",#N/A,TRUE,"Overview";"ts2",#N/A,TRUE,"Det_Trans_Sum";"ei2c",#N/A,TRUE,"Earnings Impact";"ad2",#N/A,TRUE,"accretion dilution";"pfis2",#N/A,TRUE,"Pro Forma Income Statement";"acq2c",#N/A,TRUE,"Acquirer";"tar2c",#N/A,TRUE,"Target"}</definedName>
    <definedName function="false" hidden="true" name="wrn.111111" vbProcedure="false">{#N/A,#N/A,FALSE,"Pharm";#N/A,#N/A,FALSE,"WWCM"}</definedName>
    <definedName function="false" hidden="true" name="wrn.12." vbProcedure="false">{"cover",#N/A,TRUE,"Cover";"toc3",#N/A,TRUE,"TOC";"over",#N/A,TRUE,"Overview";"ts2",#N/A,TRUE,"Det_Trans_Sum";"ei3c",#N/A,TRUE,"Earnings Impact";"ad3",#N/A,TRUE,"accretion dilution";"pfis3",#N/A,TRUE,"Pro Forma Income Statement";"acq3c",#N/A,TRUE,"Acquirer";"tar3c",#N/A,TRUE,"Target"}</definedName>
    <definedName function="false" hidden="true" name="wrn.13." vbProcedure="false">{"cover",#N/A,TRUE,"Cover";"toc4",#N/A,TRUE,"TOC";"over",#N/A,TRUE,"Overview";"ts2",#N/A,TRUE,"Det_Trans_Sum";"eic",#N/A,TRUE,"Earnings Impact";"ad",#N/A,TRUE,"accretion dilution";"tas",#N/A,TRUE,"TaintedShares";"hg",#N/A,TRUE,"Has-Gets";"pfis",#N/A,TRUE,"Pro Forma Income Statement";"ca",#N/A,TRUE,"Contribution_Analysis";"acqc",#N/A,TRUE,"Acquirer";"tarc",#N/A,TRUE,"Target"}</definedName>
    <definedName function="false" hidden="true" name="wrn.14." vbProcedure="false">{"cover",#N/A,TRUE,"Cover";"toc4",#N/A,TRUE,"TOC";"over",#N/A,TRUE,"Overview";"ts2",#N/A,TRUE,"Det_Trans_Sum";"ei1c",#N/A,TRUE,"Earnings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function="false" hidden="true" name="wrn.15." vbProcedure="false">{"cover",#N/A,TRUE,"Cover";"toc4",#N/A,TRUE,"TOC";"over",#N/A,TRUE,"Overview";"ts2",#N/A,TRUE,"Det_Trans_Sum";"ei2c",#N/A,TRUE,"Earnings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function="false" hidden="true" name="wrn.16." vbProcedure="false">{"cover",#N/A,TRUE,"Cover";"toc4",#N/A,TRUE,"TOC";"over",#N/A,TRUE,"Overview";"ts2",#N/A,TRUE,"Det_Trans_Sum";"ei3c",#N/A,TRUE,"Earnings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function="false" hidden="true" name="wrn.17." vbProcedure="false">{"cover",#N/A,TRUE,"Cover";"toc5",#N/A,TRUE,"TOC";"over",#N/A,TRUE,"Overview";"ts2",#N/A,TRUE,"Det_Trans_Sum";"eic",#N/A,TRUE,"Earnings Impact";"ad",#N/A,TRUE,"accretion dilution";"pfis",#N/A,TRUE,"Pro Forma Income Statement";"ca",#N/A,TRUE,"Contribution_Analysis";"acqc",#N/A,TRUE,"Acquirer";"tarc",#N/A,TRUE,"Target"}</definedName>
    <definedName function="false" hidden="true" name="wrn.18." vbProcedure="false">{"cover",#N/A,TRUE,"Cover";"toc5",#N/A,TRUE,"TOC";"over",#N/A,TRUE,"Overview";"ts2",#N/A,TRUE,"Det_Trans_Sum";"ei1c",#N/A,TRUE,"Earnings Impact";"ad1",#N/A,TRUE,"accretion dilution";"pfis1",#N/A,TRUE,"Pro Forma Income Statement";"ca1",#N/A,TRUE,"Contribution_Analysis";"acq1c",#N/A,TRUE,"Acquirer";"tar1c",#N/A,TRUE,"Target"}</definedName>
    <definedName function="false" hidden="true" name="wrn.19." vbProcedure="false">{"cover",#N/A,TRUE,"Cover";"toc5",#N/A,TRUE,"TOC";"ts2",#N/A,TRUE,"Det_Trans_Sum";"over",#N/A,TRUE,"Overview";"ei2c",#N/A,TRUE,"Earnings Impact";"ad2",#N/A,TRUE,"accretion dilution";"pfis2",#N/A,TRUE,"Pro Forma Income Statement";"ca2",#N/A,TRUE,"Contribution_Analysis";"acq2c",#N/A,TRUE,"Acquirer";"tar2c",#N/A,TRUE,"Target"}</definedName>
    <definedName function="false" hidden="true" name="wrn.1996._.BUDGET." vbProcedure="false">{"SUMMARY",#N/A,TRUE,"SUMMARY";"compare",#N/A,TRUE,"Vs. Bus Plan";"ratios",#N/A,TRUE,"Ratios";"REVENUE",#N/A,TRUE,"Revenue";"expenses",#N/A,TRUE,"1996 budget";"payroll",#N/A,TRUE,"Payroll"}</definedName>
    <definedName function="false" hidden="true" name="wrn.1996._.BUDGET.1" vbProcedure="false">{"SUMMARY",#N/A,TRUE,"SUMMARY";"compare",#N/A,TRUE,"Vs. Bus Plan";"ratios",#N/A,TRUE,"Ratios";"REVENUE",#N/A,TRUE,"Revenue";"expenses",#N/A,TRUE,"1996 budget";"payroll",#N/A,TRUE,"Payroll"}</definedName>
    <definedName function="false" hidden="true" name="wrn.1996._.TO._.2004." vbProcedure="false">{"ten year ratios",#N/A,TRUE,"PROFIT_LOSS";"ten year ratios",#N/A,TRUE,"Ratios";"ten yr opex and capex",#N/A,TRUE,"1996 budget";"ten year revenues",#N/A,TRUE,"Revenue_1996-2004";"ten year payroll",#N/A,TRUE,"Payroll"}</definedName>
    <definedName function="false" hidden="true" name="WRN.2." vbProcedure="false">{#N/A,#N/A,FALSE,"Calc";#N/A,#N/A,FALSE,"Sensitivity";#N/A,#N/A,FALSE,"LT Earn.Dil.";#N/A,#N/A,FALSE,"Dil. AVP"}</definedName>
    <definedName function="false" hidden="true" name="wrn.2._.pagers." vbProcedure="false">{"Cover",#N/A,FALSE,"Cover";"Summary",#N/A,FALSE,"Summarpage"}</definedName>
    <definedName function="false" hidden="true" name="wrn.2._.pagers.2" vbProcedure="false">{"Cover",#N/A,FALSE,"Cover";"Summary",#N/A,FALSE,"Summarpage"}</definedName>
    <definedName function="false" hidden="true" name="wrn.20." vbProcedure="false">{"cover",#N/A,TRUE,"Cover";"toc5",#N/A,TRUE,"TOC";"over",#N/A,TRUE,"Overview";"ts2",#N/A,TRUE,"Det_Trans_Sum";"ei3c",#N/A,TRUE,"Earnings Impact";"ad3",#N/A,TRUE,"accretion dilution";"pfis3",#N/A,TRUE,"Pro Forma Income Statement";"ca3",#N/A,TRUE,"Contribution_Analysis";"acq3c",#N/A,TRUE,"Acquirer";"tar3c",#N/A,TRUE,"Target"}</definedName>
    <definedName function="false" hidden="true" name="wrn.2000Base." vbProcedure="false">{"a_assump1",#N/A,FALSE,"BPlan 96-00 - Base";"a_assump2",#N/A,FALSE,"BPlan 96-00 - Base";"a_plus",#N/A,FALSE,"BPlan 96-00 - Base";"a_bs",#N/A,FALSE,"BPlan 96-00 - Base";"a_cf",#N/A,FALSE,"BPlan 96-00 - Base";"a_irrbase",#N/A,FALSE,"BPlan 96-00 - Base";"a_notes",#N/A,FALSE,"BPlan 96-00 - Base"}</definedName>
    <definedName function="false" hidden="true" name="wrn.21." vbProcedure="false">{"cover",#N/A,TRUE,"Cover";"toc6",#N/A,TRUE,"TOC";"over",#N/A,TRUE,"Overview";"ts2",#N/A,TRUE,"Det_Trans_Sum";"eic",#N/A,TRUE,"Earnings Impact";"ad",#N/A,TRUE,"accretion dilution";"hg",#N/A,TRUE,"Has-Gets";"pfis",#N/A,TRUE,"Pro Forma Income Statement";"ca",#N/A,TRUE,"Contribution_Analysis";"acqc",#N/A,TRUE,"Acquirer";"tarc",#N/A,TRUE,"Target"}</definedName>
    <definedName function="false" hidden="true" name="wrn.22." vbProcedure="false">{"cover",#N/A,TRUE,"Cover";"toc6",#N/A,TRUE,"TOC";"over",#N/A,TRUE,"Overview";"ts2",#N/A,TRUE,"Det_Trans_Sum";"ei1c",#N/A,TRUE,"Earnings Impact";"ad1",#N/A,TRUE,"accretion dilution";"hg1",#N/A,TRUE,"Has-Gets";"pfis1",#N/A,TRUE,"Pro Forma Income Statement";"ca1",#N/A,TRUE,"Contribution_Analysis";"acq1c",#N/A,TRUE,"Acquirer";"tar1c",#N/A,TRUE,"Target"}</definedName>
    <definedName function="false" hidden="true" name="wrn.23." vbProcedure="false">{"cover",#N/A,TRUE,"Cover";"toc6",#N/A,TRUE,"TOC";"pfis3",#N/A,TRUE,"Overview";"ts2",#N/A,TRUE,"Det_Trans_Sum";"ei2c",#N/A,TRUE,"Earnings Impact";"ad2",#N/A,TRUE,"accretion dilution";"hg2",#N/A,TRUE,"Has-Gets";"pfis2",#N/A,TRUE,"Pro Forma Income Statement";"ca2",#N/A,TRUE,"Contribution_Analysis";"acq2c",#N/A,TRUE,"Acquirer";"tar2c",#N/A,TRUE,"Target"}</definedName>
    <definedName function="false" hidden="true" name="wrn.24." vbProcedure="false">{"cover",#N/A,TRUE,"Cover";"toc6",#N/A,TRUE,"TOC";"over",#N/A,TRUE,"Overview";"ts2",#N/A,TRUE,"Det_Trans_Sum";"ei3c",#N/A,TRUE,"Earnings Impact";"ad3",#N/A,TRUE,"accretion dilution";"hg3",#N/A,TRUE,"Has-Gets";"pfis",#N/A,TRUE,"Pro Forma Income Statement";"ca3",#N/A,TRUE,"Contribution_Analysis";"acq3c",#N/A,TRUE,"Acquirer";"tar3c",#N/A,TRUE,"Target"}</definedName>
    <definedName function="false" hidden="true" name="wrn.25." vbProcedure="false">{"cover",#N/A,TRUE,"Cover";"toc3",#N/A,TRUE,"TOC";"over",#N/A,TRUE,"Overview";"ts2",#N/A,TRUE,"Det_Trans_Sum";"ei",#N/A,TRUE,"Earnings Impact";"ad",#N/A,TRUE,"accretion dilution";"pfis",#N/A,TRUE,"Pro Forma Income Statement";"acq",#N/A,TRUE,"Acquirer";"tar",#N/A,TRUE,"Target"}</definedName>
    <definedName function="false" hidden="true" name="wrn.26." vbProcedure="false">{"cover",#N/A,TRUE,"Cover";"toc3",#N/A,TRUE,"TOC";"over",#N/A,TRUE,"Overview";"ts2",#N/A,TRUE,"Det_Trans_Sum";"ei1",#N/A,TRUE,"Earnings Impact";"ad1",#N/A,TRUE,"accretion dilution";"pfis1",#N/A,TRUE,"Pro Forma Income Statement";"acq1",#N/A,TRUE,"Acquirer";"tar1",#N/A,TRUE,"Target"}</definedName>
    <definedName function="false" hidden="true" name="wrn.27." vbProcedure="false">{"cover",#N/A,TRUE,"Cover";"toc3",#N/A,TRUE,"TOC";"over",#N/A,TRUE,"Overview";"ts2",#N/A,TRUE,"Det_Trans_Sum";"ei2",#N/A,TRUE,"Earnings Impact";"ad2",#N/A,TRUE,"accretion dilution";"pfis2",#N/A,TRUE,"Pro Forma Income Statement";"acq2",#N/A,TRUE,"Acquirer";"tar2",#N/A,TRUE,"Target"}</definedName>
    <definedName function="false" hidden="true" name="wrn.28." vbProcedure="false">{"cover",#N/A,TRUE,"Cover";"toc3",#N/A,TRUE,"TOC";"over",#N/A,TRUE,"Overview";"ts2",#N/A,TRUE,"Det_Trans_Sum";"ei3",#N/A,TRUE,"Earnings Impact";"ad3",#N/A,TRUE,"accretion dilution";"pfis3",#N/A,TRUE,"Pro Forma Income Statement";"acq3",#N/A,TRUE,"Acquirer";"tar3",#N/A,TRUE,"Target"}</definedName>
    <definedName function="false" hidden="true" name="wrn.29." vbProcedure="false">{"cover",#N/A,TRUE,"Cover";"toc4",#N/A,TRUE,"TOC";"over",#N/A,TRUE,"Overview";"ts2",#N/A,TRUE,"Det_Trans_Sum";"ei",#N/A,TRUE,"Earnings Impact";"ad",#N/A,TRUE,"accretion dilution";"tas",#N/A,TRUE,"TaintedShares";"hg",#N/A,TRUE,"Has-Gets";"pfis",#N/A,TRUE,"Pro Forma Income Statement";"ca",#N/A,TRUE,"Contribution_Analysis";"acq",#N/A,TRUE,"Acquirer";"tar",#N/A,TRUE,"Target"}</definedName>
    <definedName function="false" hidden="true" name="wrn.3." vbProcedure="false">{"cover",#N/A,TRUE,"Cover";"toc1",#N/A,TRUE,"TOC";"ts1",#N/A,TRUE,"Transaction Summary";"ei2",#N/A,TRUE,"Earnings Impact";"ad2",#N/A,TRUE,"accretion dilution"}</definedName>
    <definedName function="false" hidden="true" name="wrn.30." vbProcedure="false">{"cover",#N/A,TRUE,"Cover";"toc4",#N/A,TRUE,"TOC";"over",#N/A,TRUE,"Overview";"ts2",#N/A,TRUE,"Det_Trans_Sum";"ei1",#N/A,TRUE,"Earnings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function="false" hidden="true" name="wrn.31." vbProcedure="false">{"cover",#N/A,TRUE,"Cover";"toc4",#N/A,TRUE,"TOC";"over",#N/A,TRUE,"Overview";"ts2",#N/A,TRUE,"Det_Trans_Sum";"ei2",#N/A,TRUE,"Earnings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function="false" hidden="true" name="wrn.32." vbProcedure="false">{"cover",#N/A,TRUE,"Cover";"toc4",#N/A,TRUE,"TOC";"over",#N/A,TRUE,"Overview";"ts2",#N/A,TRUE,"Det_Trans_Sum";"ei3",#N/A,TRUE,"Earnings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function="false" hidden="true" name="wrn.33." vbProcedure="false">{"cover",#N/A,TRUE,"Cover";"toc5",#N/A,TRUE,"TOC";"over",#N/A,TRUE,"Overview";"ts2",#N/A,TRUE,"Det_Trans_Sum";"ei",#N/A,TRUE,"Earnings Impact";"ad",#N/A,TRUE,"accretion dilution";"pfis",#N/A,TRUE,"Pro Forma Income Statement";"ca",#N/A,TRUE,"Contribution_Analysis";"acq",#N/A,TRUE,"Acquirer";"tar",#N/A,TRUE,"Target"}</definedName>
    <definedName function="false" hidden="true" name="wrn.34." vbProcedure="false">{"cover",#N/A,TRUE,"Cover";"toc5",#N/A,TRUE,"TOC";"over",#N/A,TRUE,"Overview";"ts2",#N/A,TRUE,"Det_Trans_Sum";"ei1",#N/A,TRUE,"Earnings Impact";"ad1",#N/A,TRUE,"accretion dilution";"pfis1",#N/A,TRUE,"Pro Forma Income Statement";"ca1",#N/A,TRUE,"Contribution_Analysis";"acq1",#N/A,TRUE,"Acquirer";"tar1",#N/A,TRUE,"Target"}</definedName>
    <definedName function="false" hidden="true" name="wrn.35." vbProcedure="false">{"cover",#N/A,TRUE,"Cover";"toc5",#N/A,TRUE,"TOC";"over",#N/A,TRUE,"Overview";"ts2",#N/A,TRUE,"Det_Trans_Sum";"ei2",#N/A,TRUE,"Earnings Impact";"ad2",#N/A,TRUE,"accretion dilution";"pfis2",#N/A,TRUE,"Pro Forma Income Statement";"ca2",#N/A,TRUE,"Contribution_Analysis";"acq2",#N/A,TRUE,"Acquirer";"tar2",#N/A,TRUE,"Target"}</definedName>
    <definedName function="false" hidden="true" name="wrn.36." vbProcedure="false">{"cover",#N/A,TRUE,"Cover";"toc5",#N/A,TRUE,"TOC";"over",#N/A,TRUE,"Overview";"ts2",#N/A,TRUE,"Det_Trans_Sum";"ei3",#N/A,TRUE,"Earnings Impact";"ad3",#N/A,TRUE,"accretion dilution";"pfis3",#N/A,TRUE,"Pro Forma Income Statement";"ca3",#N/A,TRUE,"Contribution_Analysis";"acq3",#N/A,TRUE,"Acquirer";"tar3",#N/A,TRUE,"Target"}</definedName>
    <definedName function="false" hidden="true" name="wrn.37." vbProcedure="false">{"cover",#N/A,TRUE,"Cover";"toc6",#N/A,TRUE,"TOC";"over",#N/A,TRUE,"Overview";"ts2",#N/A,TRUE,"Det_Trans_Sum";"ei",#N/A,TRUE,"Earnings Impact";"ad",#N/A,TRUE,"accretion dilution";"hg",#N/A,TRUE,"Has-Gets";"pfis",#N/A,TRUE,"Pro Forma Income Statement";"ca",#N/A,TRUE,"Contribution_Analysis";"acq",#N/A,TRUE,"Acquirer";"tar",#N/A,TRUE,"Target"}</definedName>
    <definedName function="false" hidden="true" name="wrn.38." vbProcedure="false">{"cover",#N/A,TRUE,"Cover";"toc6",#N/A,TRUE,"TOC";"over",#N/A,TRUE,"Overview";"ts2",#N/A,TRUE,"Det_Trans_Sum";"ei1",#N/A,TRUE,"Earnings Impact";"ad1",#N/A,TRUE,"accretion dilution";"hg1",#N/A,TRUE,"Has-Gets";"pfis1",#N/A,TRUE,"Pro Forma Income Statement";"ca1",#N/A,TRUE,"Contribution_Analysis";"acq1",#N/A,TRUE,"Acquirer";"tar1",#N/A,TRUE,"Target"}</definedName>
    <definedName function="false" hidden="true" name="wrn.39." vbProcedure="false">{"cover",#N/A,TRUE,"Cover";"toc6",#N/A,TRUE,"TOC";"over",#N/A,TRUE,"Overview";"ts2",#N/A,TRUE,"Det_Trans_Sum";"ei2",#N/A,TRUE,"Earnings Impact";"ad2",#N/A,TRUE,"accretion dilution";"hg2",#N/A,TRUE,"Has-Gets";"pfis2",#N/A,TRUE,"Pro Forma Income Statement";"ca2",#N/A,TRUE,"Contribution_Analysis";"acq2",#N/A,TRUE,"Acquirer";"tar2",#N/A,TRUE,"Target"}</definedName>
    <definedName function="false" hidden="true" name="wrn.3yr._.plan._.local._.currency." vbProcedure="false">{"Backlog and PL",#N/A,FALSE,"3yr plan (local currency)";"Revenue",#N/A,FALSE,"3yr plan (local currency)";"Other",#N/A,FALSE,"3yr plan (local currency)"}</definedName>
    <definedName function="false" hidden="true" name="wrn.3yr._.plan._.USD." vbProcedure="false">{"Backlog and PL $",#N/A,FALSE,"3yr plan (local currency)";"Revenue $",#N/A,FALSE,"3yr plan (local currency)";"Other $",#N/A,FALSE,"3yr plan (local currency)"}</definedName>
    <definedName function="false" hidden="true" name="wrn.4." vbProcedure="false">{"toc1",#N/A,FALSE,"TOC";"cover",#N/A,FALSE,"Cover";"ts1",#N/A,FALSE,"Transaction Summary";"ei3",#N/A,FALSE,"Earnings Impact";"ad3",#N/A,FALSE,"accretion dilution"}</definedName>
    <definedName function="false" hidden="true" name="wrn.40." vbProcedure="false">{"cover",#N/A,TRUE,"Cover";"toc6",#N/A,TRUE,"TOC";"over",#N/A,TRUE,"Overview";"ts2",#N/A,TRUE,"Det_Trans_Sum";"ei3",#N/A,TRUE,"Earnings Impact";"ad3",#N/A,TRUE,"accretion dilution";"hg3",#N/A,TRUE,"Has-Gets";"pfis3",#N/A,TRUE,"Pro Forma Income Statement";"ca3",#N/A,TRUE,"Contribution_Analysis";"acq3",#N/A,TRUE,"Acquirer";"tar3",#N/A,TRUE,"Target"}</definedName>
    <definedName function="false" hidden="true" name="wrn.41." vbProcedure="false">{"cover",#N/A,TRUE,"Cover";"toc7",#N/A,TRUE,"TOC";"over",#N/A,TRUE,"Overview";"ts2",#N/A,TRUE,"Det_Trans_Sum";"eic",#N/A,TRUE,"Earnings Impact";"ad",#N/A,TRUE,"accretion dilution";"pfis",#N/A,TRUE,"Pro Forma Income Statement";"profba",#N/A,TRUE,"Pro Forma Balance Sheet";"acqc",#N/A,TRUE,"Acquirer";"tarc",#N/A,TRUE,"Target"}</definedName>
    <definedName function="false" hidden="true" name="wrn.42." vbProcedure="false">{"cover",#N/A,TRUE,"Cover";"toc7",#N/A,TRUE,"TOC";"over",#N/A,TRUE,"Overview";"ts2",#N/A,TRUE,"Det_Trans_Sum";"ei1c",#N/A,TRUE,"Earnings Impact";"ad1",#N/A,TRUE,"accretion dilution";"pfis1",#N/A,TRUE,"Pro Forma Income Statement";"profba",#N/A,TRUE,"Pro Forma Balance Sheet";"acq1c",#N/A,TRUE,"Acquirer";"tar1c",#N/A,TRUE,"Target"}</definedName>
    <definedName function="false" hidden="true" name="wrn.43." vbProcedure="false">{"cover",#N/A,TRUE,"Cover";"toc7",#N/A,TRUE,"TOC";"over",#N/A,TRUE,"Overview";"ts2",#N/A,TRUE,"Det_Trans_Sum";"ei2c",#N/A,TRUE,"Earnings Impact";"ad2",#N/A,TRUE,"accretion dilution";"pfis2",#N/A,TRUE,"Pro Forma Income Statement";"profba",#N/A,TRUE,"Pro Forma Balance Sheet";"acq2c",#N/A,TRUE,"Acquirer";"tar2c",#N/A,TRUE,"Target"}</definedName>
    <definedName function="false" hidden="true" name="wrn.44." vbProcedure="false">{"cover",#N/A,TRUE,"Cover";"toc7",#N/A,TRUE,"TOC";"over",#N/A,TRUE,"Overview";"ts2",#N/A,TRUE,"Det_Trans_Sum";"ei3c",#N/A,TRUE,"Earnings Impact";"ad3",#N/A,TRUE,"accretion dilution";"pfis3",#N/A,TRUE,"Pro Forma Income Statement";"profba",#N/A,TRUE,"Pro Forma Balance Sheet";"acq3c",#N/A,TRUE,"Acquirer";"tar3c",#N/A,TRUE,"Target"}</definedName>
    <definedName function="false" hidden="true" name="wrn.45." vbProcedure="false">{"cover",#N/A,TRUE,"Cover";"toc8",#N/A,TRUE,"TOC";"over",#N/A,TRUE,"Overview";"ts2",#N/A,TRUE,"Det_Trans_Sum";"eic",#N/A,TRUE,"Earnings Impact";"ad",#N/A,TRUE,"accretion dilution";"pfis",#N/A,TRUE,"Pro Forma Income Statement";"ca",#N/A,TRUE,"Contribution_Analysis";"profba",#N/A,TRUE,"Pro Forma Balance Sheet";"acqc",#N/A,TRUE,"Acquirer";"tarc",#N/A,TRUE,"Target"}</definedName>
    <definedName function="false" hidden="true" name="wrn.46." vbProcedure="false">{"cover",#N/A,TRUE,"Cover";"toc8",#N/A,TRUE,"TOC";"over",#N/A,TRUE,"Overview";"ts2",#N/A,TRUE,"Det_Trans_Sum";"ei1c",#N/A,TRUE,"Earnings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function="false" hidden="true" name="wrn.47." vbProcedure="false">{"cover",#N/A,TRUE,"Cover";"toc8",#N/A,TRUE,"TOC";"over",#N/A,TRUE,"Overview";"ts2",#N/A,TRUE,"Det_Trans_Sum";"ei2c",#N/A,TRUE,"Earnings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function="false" hidden="true" name="wrn.48." vbProcedure="false">{"cover",#N/A,TRUE,"Cover";"toc8",#N/A,TRUE,"TOC";"over",#N/A,TRUE,"Overview";"ts2",#N/A,TRUE,"Det_Trans_Sum";"ei3c",#N/A,TRUE,"Earnings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function="false" hidden="true" name="wrn.49." vbProcedure="false">{"cover",#N/A,TRUE,"Cover";"toc9",#N/A,TRUE,"TOC";"over",#N/A,TRUE,"Overview";"ts2",#N/A,TRUE,"Det_Trans_Sum";"eic",#N/A,TRUE,"Earnings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function="false" hidden="true" name="wrn.5." vbProcedure="false">{"cover",#N/A,TRUE,"Cover";"toc2",#N/A,TRUE,"TOC";"ts1",#N/A,TRUE,"Transaction Summary";"ei",#N/A,TRUE,"Earnings Impact";"ad",#N/A,TRUE,"accretion dilution";"hg",#N/A,TRUE,"Has-Gets"}</definedName>
    <definedName function="false" hidden="true" name="wrn.50." vbProcedure="false">{"cover",#N/A,TRUE,"Cover";"toc9",#N/A,TRUE,"TOC";"over",#N/A,TRUE,"Overview";"ts2",#N/A,TRUE,"Det_Trans_Sum";"ei1c",#N/A,TRUE,"Earnings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function="false" hidden="true" name="wrn.50.2" vbProcedure="false">{"assumption 50 50",#N/A,TRUE,"Merger";"has gets cash",#N/A,TRUE,"Merger";"accretion dilution",#N/A,TRUE,"Merger";"comparison credit stats",#N/A,TRUE,"Merger";"pf credit stats",#N/A,TRUE,"Merger";"pf sheets",#N/A,TRUE,"Merger"}</definedName>
    <definedName function="false" hidden="true" name="wrn.50._.50." vbProcedure="false">{"assumption 50 50",#N/A,TRUE,"Merger";"has gets cash",#N/A,TRUE,"Merger";"accretion dilution",#N/A,TRUE,"Merger";"comparison credit stats",#N/A,TRUE,"Merger";"pf credit stats",#N/A,TRUE,"Merger";"pf sheets",#N/A,TRUE,"Merger"}</definedName>
    <definedName function="false" hidden="true" name="wrn.50_.501" vbProcedure="false">{"assumption 50 50",#N/A,TRUE,"Merger";"has gets cash",#N/A,TRUE,"Merger";"accretion dilution",#N/A,TRUE,"Merger";"comparison credit stats",#N/A,TRUE,"Merger";"pf credit stats",#N/A,TRUE,"Merger";"pf sheets",#N/A,TRUE,"Merger"}</definedName>
    <definedName function="false" hidden="true" name="wrn.51." vbProcedure="false">{"cover",#N/A,TRUE,"Cover";"toc9",#N/A,TRUE,"TOC";"over",#N/A,TRUE,"Overview";"ei2c",#N/A,TRUE,"Earnings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function="false" hidden="true" name="wrn.52." vbProcedure="false">{"cover",#N/A,TRUE,"Cover";"toc9",#N/A,TRUE,"TOC";"over",#N/A,TRUE,"Overview";"ts2",#N/A,TRUE,"Det_Trans_Sum";"ei3c",#N/A,TRUE,"Earnings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function="false" hidden="true" name="wrn.53." vbProcedure="false">{"cover",#N/A,TRUE,"Cover";"toc10",#N/A,TRUE,"TOC";"over",#N/A,TRUE,"Overview";"ts2",#N/A,TRUE,"Det_Trans_Sum";"eic",#N/A,TRUE,"Earnings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function="false" hidden="true" name="wrn.54." vbProcedure="false">{"cover",#N/A,TRUE,"Cover";"toc10",#N/A,TRUE,"TOC";"over",#N/A,TRUE,"Overview";"over",#N/A,TRUE,"Det_Trans_Sum";"ei1c",#N/A,TRUE,"Earnings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function="false" hidden="true" name="wrn.55." vbProcedure="false">{"cover",#N/A,TRUE,"Cover";"toc10",#N/A,TRUE,"TOC";"over",#N/A,TRUE,"Overview";"ts2",#N/A,TRUE,"Det_Trans_Sum";"ei2c",#N/A,TRUE,"Earnings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function="false" hidden="true" name="wrn.56." vbProcedure="false">{"cover",#N/A,TRUE,"Cover";"toc10",#N/A,TRUE,"TOC";"over",#N/A,TRUE,"Overview";"ts2",#N/A,TRUE,"Det_Trans_Sum";"ei3c",#N/A,TRUE,"Earnings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function="false" hidden="true" name="wrn.57." vbProcedure="false">{"cover",#N/A,TRUE,"Cover";"toc7",#N/A,TRUE,"TOC";"over",#N/A,TRUE,"Overview";"ts2",#N/A,TRUE,"Det_Trans_Sum";"ei",#N/A,TRUE,"Earnings Impact";"ad",#N/A,TRUE,"accretion dilution";"pfis",#N/A,TRUE,"Pro Forma Income Statement";"profba",#N/A,TRUE,"Pro Forma Balance Sheet";"acq",#N/A,TRUE,"Acquirer";"tar",#N/A,TRUE,"Target"}</definedName>
    <definedName function="false" hidden="true" name="wrn.58." vbProcedure="false">{"cover",#N/A,TRUE,"Cover";"toc7",#N/A,TRUE,"TOC";"over",#N/A,TRUE,"Overview";"ts2",#N/A,TRUE,"Det_Trans_Sum";"ei1",#N/A,TRUE,"Earnings Impact";"ad1",#N/A,TRUE,"accretion dilution";"pfis1",#N/A,TRUE,"Pro Forma Income Statement";"profba",#N/A,TRUE,"Pro Forma Balance Sheet";"acq1",#N/A,TRUE,"Acquirer";"tar1",#N/A,TRUE,"Target"}</definedName>
    <definedName function="false" hidden="true" name="wrn.59." vbProcedure="false">{"cover",#N/A,TRUE,"Cover";"toc7",#N/A,TRUE,"TOC";"over",#N/A,TRUE,"Overview";"ts2",#N/A,TRUE,"Det_Trans_Sum";"ei2",#N/A,TRUE,"Earnings Impact";"ad2",#N/A,TRUE,"accretion dilution";"pfis2",#N/A,TRUE,"Pro Forma Income Statement";"profba",#N/A,TRUE,"Pro Forma Balance Sheet";"acq2",#N/A,TRUE,"Acquirer";"tar2",#N/A,TRUE,"Target"}</definedName>
    <definedName function="false" hidden="true" name="wrn.6." vbProcedure="false">{"cover",#N/A,TRUE,"Cover";"toc2",#N/A,TRUE,"TOC";"ts1",#N/A,TRUE,"Transaction Summary";"ei1",#N/A,TRUE,"Earnings Impact";"ad1",#N/A,TRUE,"accretion dilution";"hg1",#N/A,TRUE,"Has-Gets"}</definedName>
    <definedName function="false" hidden="true" name="wrn.60." vbProcedure="false">{"cover",#N/A,TRUE,"Cover";"toc7",#N/A,TRUE,"TOC";"over",#N/A,TRUE,"Overview";"ts2",#N/A,TRUE,"Det_Trans_Sum";"ei3",#N/A,TRUE,"Earnings Impact";"ad3",#N/A,TRUE,"accretion dilution";"pfis3",#N/A,TRUE,"Pro Forma Income Statement";"profba",#N/A,TRUE,"Pro Forma Balance Sheet";"acq3",#N/A,TRUE,"Acquirer";"tar3",#N/A,TRUE,"Target"}</definedName>
    <definedName function="false" hidden="true" name="wrn.61." vbProcedure="false">{"cover",#N/A,TRUE,"Cover";"toc8",#N/A,TRUE,"TOC";"over",#N/A,TRUE,"Overview";"ts2",#N/A,TRUE,"Det_Trans_Sum";"ei",#N/A,TRUE,"Earnings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function="false" hidden="true" name="wrn.62." vbProcedure="false">{"cover",#N/A,TRUE,"Cover";"toc8",#N/A,TRUE,"TOC";"over",#N/A,TRUE,"Overview";"ts2",#N/A,TRUE,"Det_Trans_Sum";"ei1",#N/A,TRUE,"Earnings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function="false" hidden="true" name="wrn.63." vbProcedure="false">{"cover",#N/A,TRUE,"Cover";"toc8",#N/A,TRUE,"TOC";"over",#N/A,TRUE,"Overview";"ts2",#N/A,TRUE,"Det_Trans_Sum";"ei2",#N/A,TRUE,"Earnings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function="false" hidden="true" name="wrn.64." vbProcedure="false">{"cover",#N/A,TRUE,"Cover";"toc8",#N/A,TRUE,"TOC";"over",#N/A,TRUE,"Overview";"ts2",#N/A,TRUE,"Det_Trans_Sum";"ei3",#N/A,TRUE,"Earnings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function="false" hidden="true" name="wrn.65." vbProcedure="false">{"cover",#N/A,TRUE,"Cover";"toc9",#N/A,TRUE,"TOC";"over",#N/A,TRUE,"Overview";"ts2",#N/A,TRUE,"Det_Trans_Sum";"ei",#N/A,TRUE,"Earnings Impact";"ad1",#N/A,TRUE,"accretion dilution";"pfis",#N/A,TRUE,"Pro Forma Income Statement";"ca",#N/A,TRUE,"Contribution_Analysis";"profba",#N/A,TRUE,"Pro Forma Balance Sheet";"acq",#N/A,TRUE,"Acquirer";"tar",#N/A,TRUE,"Target"}</definedName>
    <definedName function="false" hidden="true" name="wrn.66." vbProcedure="false">{"cover",#N/A,TRUE,"Cover";"toc9",#N/A,TRUE,"TOC";"over",#N/A,TRUE,"Overview";"ts2",#N/A,TRUE,"Det_Trans_Sum";"ei1",#N/A,TRUE,"Earnings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function="false" hidden="true" name="wrn.67." vbProcedure="false">{"cover",#N/A,TRUE,"Cover";"toc9",#N/A,TRUE,"TOC";"over",#N/A,TRUE,"Overview";"ts2",#N/A,TRUE,"Det_Trans_Sum";"ei2",#N/A,TRUE,"Earnings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function="false" hidden="true" name="wrn.68." vbProcedure="false">{"cover",#N/A,TRUE,"Cover";"toc9",#N/A,TRUE,"TOC";"over",#N/A,TRUE,"Overview";"ts2",#N/A,TRUE,"Det_Trans_Sum";"ei3",#N/A,TRUE,"Earnings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function="false" hidden="true" name="wrn.69." vbProcedure="false">{"cover",#N/A,TRUE,"Cover";"toc10",#N/A,TRUE,"TOC";"over",#N/A,TRUE,"Overview";"ts2",#N/A,TRUE,"Det_Trans_Sum";"ei",#N/A,TRUE,"Earnings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function="false" hidden="true" name="wrn.7." vbProcedure="false">{"cover",#N/A,TRUE,"Cover";"toc2",#N/A,TRUE,"TOC";"ts1",#N/A,TRUE,"Transaction Summary";"ei2c",#N/A,TRUE,"Earnings Impact";"ad2",#N/A,TRUE,"accretion dilution";"hg2",#N/A,TRUE,"Has-Gets"}</definedName>
    <definedName function="false" hidden="true" name="wrn.70." vbProcedure="false">{"cover",#N/A,TRUE,"Cover";"toc10",#N/A,TRUE,"TOC";"over",#N/A,TRUE,"Overview";"ts2",#N/A,TRUE,"Det_Trans_Sum";"ei1",#N/A,TRUE,"Earnings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function="false" hidden="true" name="wrn.71." vbProcedure="false">{"cover",#N/A,TRUE,"Cover";"toc10",#N/A,TRUE,"TOC";"over",#N/A,TRUE,"Overview";"ts2",#N/A,TRUE,"Det_Trans_Sum";"ei2",#N/A,TRUE,"Earnings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function="false" hidden="true" name="wrn.72." vbProcedure="false">{"cover",#N/A,TRUE,"Cover";"toc10",#N/A,TRUE,"TOC";"over",#N/A,TRUE,"Overview";"ts2",#N/A,TRUE,"Det_Trans_Sum";"ei3",#N/A,TRUE,"Earnings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function="false" hidden="true" name="wrn.730." vbProcedure="false">{#N/A,#N/A,FALSE,"REPORT"}</definedName>
    <definedName function="false" hidden="true" name="wrn.731" vbProcedure="false">{#N/A,#N/A,FALSE,"REPORT"}</definedName>
    <definedName function="false" hidden="true" name="wrn.750." vbProcedure="false">{#N/A,#N/A,FALSE,"REPORT"}</definedName>
    <definedName function="false" hidden="true" name="wrn.7501" vbProcedure="false">{#N/A,#N/A,FALSE,"REPORT"}</definedName>
    <definedName function="false" hidden="true" name="wrn.760.16." vbProcedure="false">{#N/A,#N/A,FALSE,"REPORT"}</definedName>
    <definedName function="false" hidden="true" name="wrn.7900" vbProcedure="false">{#N/A,#N/A,FALSE,"REPORT"}</definedName>
    <definedName function="false" hidden="true" name="wrn.8." vbProcedure="false">{"cover",#N/A,TRUE,"Cover";"toc2",#N/A,TRUE,"TOC";"ts1",#N/A,TRUE,"Transaction Summary";"ei3",#N/A,TRUE,"Earnings Impact";"ad3",#N/A,TRUE,"accretion dilution";"hg3",#N/A,TRUE,"Has-Gets"}</definedName>
    <definedName function="false" hidden="true" name="wrn.9." vbProcedure="false">{"cover",#N/A,TRUE,"Cover";"toc3",#N/A,TRUE,"TOC";"over",#N/A,TRUE,"Overview";"ts2",#N/A,TRUE,"Det_Trans_Sum";"eic",#N/A,TRUE,"Earnings Impact";"ad",#N/A,TRUE,"accretion dilution";"pfis",#N/A,TRUE,"Pro Forma Income Statement";"acqc",#N/A,TRUE,"Acquirer";"tarc",#N/A,TRUE,"Target"}</definedName>
    <definedName function="false" hidden="true" name="wrn.905" vbProcedure="false">{#N/A,#N/A,FALSE,"REPORT"}</definedName>
    <definedName function="false" hidden="true" name="wrn.99._.vs._.00._.PL." vbProcedure="false">{#N/A,#N/A,FALSE,"00 P&amp;L vs 99"}</definedName>
    <definedName function="false" hidden="true" name="wrn.99999" vbProcedure="false">{#N/A,#N/A,FALSE,"REPORT"}</definedName>
    <definedName function="false" hidden="true" name="wrn.a." vbProcedure="false">{"cob_aber",#N/A,FALSE,"COBR ajustada";"cob_fe",#N/A,FALSE,"COBR ajustada"}</definedName>
    <definedName function="false" hidden="true" name="wrn.aaa" vbProcedure="false">{#N/A,#N/A,FALSE,"Pharm";#N/A,#N/A,FALSE,"WWCM"}</definedName>
    <definedName function="false" hidden="true" name="wrn.aaaaaaa" vbProcedure="false">{#N/A,#N/A,FALSE,"Pharm";#N/A,#N/A,FALSE,"WWCM"}</definedName>
    <definedName function="false" hidden="true" name="wrn.Accounts." vbProcedure="false">{"turnover",#N/A,FALSE;"profits",#N/A,FALSE;"cash",#N/A,FALSE}</definedName>
    <definedName function="false" hidden="true" name="wrn.Accounts._.and._.Assumptions.b" vbProcedure="false">{"S&amp;U",#N/A,FALSE,"s&amp;u";"financing",#N/A,FALSE,"Input";"financing2",#N/A,FALSE,"Input";"Balance Sheet",#N/A,FALSE,"BS";"P&amp;L",#N/A,FALSE,"P&amp;L";"Cashflow",#N/A,FALSE,"CF"}</definedName>
    <definedName function="false" hidden="true" name="wrn.AcqState." vbProcedure="false">{#N/A,#N/A,TRUE,"Acq-Ass";#N/A,#N/A,TRUE,"Acq-IS";#N/A,#N/A,TRUE,"Acq-BS";#N/A,#N/A,TRUE,"Acq-CF"}</definedName>
    <definedName function="false" hidden="true" name="wrn.Acquiror." vbProcedure="false">{#N/A,#N/A,TRUE,"Acq-Ass";#N/A,#N/A,TRUE,"Acq-IS";#N/A,#N/A,TRUE,"Acq-BS";#N/A,#N/A,TRUE,"Acq-CF";#N/A,#N/A,TRUE,"Acq-Proj";#N/A,#N/A,TRUE,"Acq-CapEx";#N/A,#N/A,TRUE,"Acq-Debt";#N/A,#N/A,TRUE,"Acq-Int";#N/A,#N/A,TRUE,"Acq-BD";#N/A,#N/A,TRUE,"Acq-TD";#N/A,#N/A,TRUE,"Acq-Taxes";#N/A,#N/A,TRUE,"Acq-Credit";#N/A,#N/A,TRUE,"Acq-Val";#N/A,#N/A,TRUE,"Acq-Mult Val"}</definedName>
    <definedName function="false" hidden="true" name="wrn.Acquisition_matrix." vbProcedure="false">{"Acq_matrix",#N/A,FALSE,"Acquisition Matrix"}</definedName>
    <definedName function="false" hidden="true" name="wrn.AcqVal." vbProcedure="false">{#N/A,#N/A,FALSE,"Acq-Val";#N/A,#N/A,FALSE,"Acq-Mult Val"}</definedName>
    <definedName function="false" hidden="true" name="wrn.actual"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wrn.actual_2"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wrn.adj95." vbProcedure="false">{"adj95mult",#N/A,FALSE,"COMPCO";"adj95est",#N/A,FALSE,"COMPCO"}</definedName>
    <definedName function="false" hidden="true" name="wrn.Aging._.and._.Trend._.Analysis." vbProcedure="false">{#N/A,#N/A,FALSE,"Aging Summary";#N/A,#N/A,FALSE,"Ratio Analysis";#N/A,#N/A,FALSE,"Test 120 Day Accts";#N/A,#N/A,FALSE,"Tickmarks"}</definedName>
    <definedName function="false" hidden="true" name="wrn.ahfstep." vbProcedure="false">{#N/A,#N/A,TRUE,"AHFSTEP"}</definedName>
    <definedName function="false" hidden="true" name="wrn.AHFYLD." vbProcedure="false">{#N/A,#N/A,FALSE,"AHF"}</definedName>
    <definedName function="false" hidden="true" name="wrn.AirTools." vbProcedure="false">{#N/A,"AirToolsTOTAL",FALSE,"P&amp;L";#N/A,"AirToolsUK",FALSE,"P&amp;L";#N/A,"AirToolsFrance",FALSE,"P&amp;L";#N/A,"AirToolsGermany",FALSE,"P&amp;L";#N/A,"AirToolsItaly",FALSE,"P&amp;L"}</definedName>
    <definedName function="false" hidden="tru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true" name="wrn.all." vbProcedure="false">{#N/A,#N/A,FALSE,"by Plant";#N/A,#N/A,FALSE,"by Product";#N/A,#N/A,FALSE,"Calvert City";#N/A,#N/A,FALSE,"City of Industry";#N/A,#N/A,FALSE,"Cleveland";#N/A,#N/A,FALSE,"Elkton";#N/A,#N/A,FALSE,"Langley";#N/A,#N/A,FALSE,"Piedmont";#N/A,#N/A,FALSE,"South Brunswick";#N/A,#N/A,FALSE,"Non-Plant"}</definedName>
    <definedName function="false" hidden="true" name="wrn.all.2" vbProcedure="false">{#N/A,#N/A,FALSE,"DCF";#N/A,#N/A,FALSE,"WACC";#N/A,#N/A,FALSE,"Sales_EBIT";#N/A,#N/A,FALSE,"Capex_Depreciation";#N/A,#N/A,FALSE,"WC";#N/A,#N/A,FALSE,"Interest";#N/A,#N/A,FALSE,"Assumptions"}</definedName>
    <definedName function="false" hidden="true" name="wrn.all._.3._.years." vbProcedure="false">{#N/A,#N/A,FALSE,"Worldwide FY00";#N/A,#N/A,FALSE,"Worldwide FY01";#N/A,#N/A,FALSE,"Worldwide FY02"}</definedName>
    <definedName function="false" hidden="true" name="wrn.All._.Affiliates." vbProcedure="false">{#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function="false" hidden="true" name="wrn.All._.Company._.Analyses." vbProcedure="false">{"Methodology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function="false" hidden="true" name="wrn.all._.comps."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comps.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First._.Pass._.Schedules." vbProcedure="false">{#N/A,#N/A,FALSE,"Assumptions";#N/A,#N/A,FALSE,"Inc Stmt";#N/A,#N/A,FALSE,"Stats";#N/A,#N/A,FALSE,"Existing Business";#N/A,#N/A,FALSE,"New Business";#N/A,#N/A,FALSE,"Labor";#N/A,#N/A,FALSE,"Vehicles";#N/A,#N/A,FALSE,"Facilities";#N/A,#N/A,FALSE,"Indirect Costs";#N/A,#N/A,FALSE,"Capital";#N/A,#N/A,FALSE,"CABR Form";#N/A,#N/A,FALSE,"Corp Costs";#N/A,#N/A,FALSE,"YTD Upload"}</definedName>
    <definedName function="false" hidden="true" name="wrn.All._.including._.appendices." vbProcedure="false">{#N/A,#N/A,FALSE,"Summary";#N/A,#N/A,FALSE,"structure";#N/A,#N/A,FALSE,"o bal sheet";#N/A,#N/A,FALSE,"input info";#N/A,#N/A,FALSE,"p and l";#N/A,#N/A,FALSE,"cashflow";#N/A,#N/A,FALSE,"bal sheet";#N/A,#N/A,FALSE,"ratios";#N/A,#N/A,FALSE,"returns";#N/A,#N/A,FALSE,"DCF";#N/A,#N/A,FALSE,"Depn";#N/A,#N/A,FALSE,"Tax Comps";#N/A,#N/A,FALSE,"Detailed P&amp;L"}</definedName>
    <definedName function="false" hidden="tru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Pages_Front"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PnLs." vbProcedure="false">{"Sep 98 Segment PnL",#N/A,FALSE,"Full Income Statements";"Sep 99 Segment PnL",#N/A,FALSE,"Full Income Statements";"Sep 98 PnL",#N/A,FALSE,"Full Income Statements";"Sep 99 PnL",#N/A,FALSE,"Full Income Statements"}</definedName>
    <definedName function="false" hidden="true" name="wrn.all._.reports." vbProcedure="false">{"qty and inventory value",#N/A,FALSE,"MPartners";"general ledger entries",#N/A,FALSE,"MPartners"}</definedName>
    <definedName function="false" hidden="true" name="wrn.All._.Schedules." vbProcedure="false">{#N/A,#N/A,FALSE,"Assumptions";#N/A,#N/A,FALSE,"Inc Stmt";#N/A,#N/A,FALSE,"Stats";#N/A,#N/A,FALSE,"Existing Business";#N/A,#N/A,FALSE,"New Business";#N/A,#N/A,FALSE,"Labor";#N/A,#N/A,FALSE,"Vehicles";#N/A,#N/A,FALSE,"Facilities";#N/A,#N/A,FALSE,"Indirect Costs";#N/A,#N/A,FALSE,"Capital";#N/A,#N/A,FALSE,"CABR Form";#N/A,#N/A,FALSE,"Corp Costs"}</definedName>
    <definedName function="false" hidden="true" name="wrn.All._.Sections." vbProcedure="false">{"Data Entry",#N/A,FALSE,"COMPTEMP";"Ratios",#N/A,FALSE,"COMPTEMP";"Aggregate Values",#N/A,FALSE,"COMPTEMP";"Equity Multiples",#N/A,FALSE,"COMPTEMP";"Summary Overview",#N/A,FALSE,"COMPTEMP"}</definedName>
    <definedName function="false" hidden="true" name="wrn.All._.sheets." vbProcedure="false">{#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function="false" hidden="true" name="wrn.all._.slides." vbProcedure="false">{#N/A,#N/A,FALSE,"Trends";#N/A,#N/A,FALSE,"As Reported";#N/A,#N/A,FALSE,"(un) Commited"}</definedName>
    <definedName function="false" hidden="true" name="wrn.All._.Stock_10_12_14." vbProcedure="false">{"Has Gets","$10, All Stock, Purchase",FALSE,"Has Gets";"Has Gets","$10, All Stock, Pooling",FALSE,"Has Gets";"Has Gets","$12, All Stock, Purchase",FALSE,"Has Gets";"Has Gets","$12, All Stock, Pooling",FALSE,"Has Gets";"Has Gets","$14, All Stock, Purchase",FALSE,"Has Gets";"Has Gets","$14, All Stock, Pooling",FALSE,"Has Gets"}</definedName>
    <definedName function="false" hidden="true" name="wrn.all._.views." vbProcedure="false">{"vol data",#N/A,FALSE,"Datasheet";"vol graph",#N/A,FALSE,"Volume";"price data",#N/A,FALSE,"Datasheet";"price graph",#N/A,FALSE,"Price";"dp data",#N/A,FALSE,"Datasheet";"dp graph",#N/A,FALSE,"DirectProfit"}</definedName>
    <definedName function="false" hidden="true" name="wrn.ALL2." vbProcedure="false">{#N/A,#N/A,FALSE,"DCF";#N/A,#N/A,FALSE,"WACC";#N/A,#N/A,FALSE,"Sales_EBIT";#N/A,#N/A,FALSE,"Capex_Depreciation";#N/A,#N/A,FALSE,"WC";#N/A,#N/A,FALSE,"Interest";#N/A,#N/A,FALSE,"Assumptions"}</definedName>
    <definedName function="false" hidden="true" name="wrn.all3" vbProcedure="false">{#N/A,#N/A,FALSE,"assumptions";#N/A,#N/A,FALSE,"v_projcy";#N/A,#N/A,FALSE,"tar_proj";#N/A,#N/A,FALSE,"contrib_annual";#N/A,#N/A,FALSE,"Proforma";#N/A,#N/A,FALSE,"purc_97";#N/A,#N/A,FALSE,"syn_purc_97";#N/A,#N/A,FALSE,"pool_97";#N/A,#N/A,FALSE,"syn_pool_97";#N/A,#N/A,FALSE,"pool1_FY2"}</definedName>
    <definedName function="false" hidden="true" name="wrn.alle._.cijfers." vbProcedure="false">{#N/A,#N/A,FALSE,"EV.D.P.BC";#N/A,#N/A,FALSE,"EV.D.P.HC";#N/A,#N/A,FALSE,"EV.D.P.LC";#N/A,#N/A,FALSE,"AN.CIV.BC";#N/A,#N/A,FALSE,"AN.CIV.HC";#N/A,#N/A,FALSE,"AN.CIV.LC";#N/A,#N/A,FALSE,"Res.1";#N/A,#N/A,FALSE,"AN.GAZ.BC";#N/A,#N/A,FALSE,"AN.GAZ.HC";#N/A,#N/A,FALSE,"AN.GAZ.LC";#N/A,#N/A,FALSE,"AN.GAZ.BC M3";#N/A,#N/A,FALSE,"AN.GAZ.HC M3";#N/A,#N/A,FALSE,"AN.GAZ.LC M3";#N/A,#N/A,FALSE,"Res.2"}</definedName>
    <definedName function="false" hidden="true" name="wrn.Allegati." vbProcedure="false">{#N/A,#N/A,FALSE,"Leather SpA P&amp;L A1";#N/A,#N/A,FALSE,"Leather SpA balance sheet A2";#N/A,#N/A,FALSE,"Leather SpA Cash flow A3";#N/A,#N/A,FALSE,"Assumptions A4"}</definedName>
    <definedName function="false" hidden="true" name="wrn.allpages." vbProcedure="false">{#N/A,#N/A,TRUE,"Historicals";#N/A,#N/A,TRUE,"Charts";#N/A,#N/A,TRUE,"Forecasts"}</definedName>
    <definedName function="false" hidden="true" name="wrn.AMORTIZATION." vbProcedure="false">{"amortization",#N/A,FALSE,"Amort-Dep"}</definedName>
    <definedName function="false" hidden="true" name="wrn.ANALYSIS." vbProcedure="false">{"STATIONS",#N/A,TRUE,"Station OCF";"COMPS",#N/A,TRUE,"COMPS";"CAP",#N/A,TRUE,"PUBLIC";"TVCAPDET",#N/A,TRUE,"CAPDET";"DCF",#N/A,TRUE,"DCF"}</definedName>
    <definedName function="false" hidden="true" name="wrn.annexe." vbProcedure="false">{#N/A,#N/A,FALSE,"Annexe 1";#N/A,#N/A,FALSE,"Annexe 2";#N/A,#N/A,FALSE,"Annexe 3";#N/A,#N/A,FALSE,"Annexe 4";#N/A,#N/A,FALSE,"Annexe 5"}</definedName>
    <definedName function="false" hidden="true" name="wrn.ANNEXEEURO." vbProcedure="false">{#N/A,#N/A,FALSE,"Annexe 1 EURO";#N/A,#N/A,FALSE,"Annexe 2 EURO";#N/A,#N/A,FALSE,"Annexe 3 EURO";#N/A,#N/A,FALSE,"Annexe 4 EURO";#N/A,#N/A,FALSE,"Annexe 5 EURO"}</definedName>
    <definedName function="false" hidden="true" name="wrn.Annual._.Operating._.Earnings." vbProcedure="false">{"Annual 1996",#N/A,FALSE,"Ann-Op (Mng)";"Annual 1996",#N/A,FALSE,"Ann-Op (Rep)";"Operating Vs. Reported Earnings",#N/A,FALSE,"Rpt-Op Inc"}</definedName>
    <definedName function="false" hidden="true" name="wrn.Annual._.Operating._.Earnings1." vbProcedure="false">{"Annual 1996",#N/A,FALSE,"Ann-Op (Mng)";"Annual 1996",#N/A,FALSE,"Ann-Op (Rep)";"Operating Vs. Reported Earnings",#N/A,FALSE,"Rpt-Op Inc"}</definedName>
    <definedName function="false" hidden="true" name="wrn.APCI._.Tab." vbProcedure="false">{#N/A,#N/A,FALSE,"P and L ";#N/A,#N/A,FALSE,"Sales";#N/A,#N/A,FALSE,"Overheads";#N/A,#N/A,FALSE,"R and D";#N/A,#N/A,FALSE,"Operating Income";#N/A,#N/A,FALSE,"Equity Affiliate Income";"M Factors Print",#N/A,FALSE,"Major Factors"}</definedName>
    <definedName function="false" hidden="true" name="wrn.APCT." vbProcedure="false">{"Page1",#N/A,FALSE,"APCT";"Page2",#N/A,FALSE,"APCT"}</definedName>
    <definedName function="false" hidden="true" name="wrn.APL." vbProcedure="false">{"Page1",#N/A,FALSE,"APL";"Page2",#N/A,FALSE,"APL"}</definedName>
    <definedName function="false" hidden="true" name="wrn.APPROPRIATION." vbProcedure="false">{"appropriation",#N/A,FALSE,"APPROP"}</definedName>
    <definedName function="false" hidden="true" name="wrn.AQUIROR._.DCF." vbProcedure="false">{"AQUIRORDCF",#N/A,FALSE,"Merger consequences";"Acquirorassns",#N/A,FALSE,"Merger consequences"}</definedName>
    <definedName function="false" hidden="true" name="WRN.ARCCYLD2003" vbProcedure="false">{#N/A,#N/A,FALSE,"ARCYLD"}</definedName>
    <definedName function="false" hidden="true" name="wrn.ARCSTEP." vbProcedure="false">{#N/A,#N/A,FALSE,"ARCSTEP"}</definedName>
    <definedName function="false" hidden="true" name="wrn.ARCYLD." vbProcedure="false">{#N/A,#N/A,FALSE,"ARCYLD"}</definedName>
    <definedName function="false" hidden="true" name="wrn.ARGON._.PRICING." vbProcedure="false">{"ARGON PRICING",#N/A,FALSE,"ARGON"}</definedName>
    <definedName function="false" hidden="true" name="wrn.ARGON._.REVENUE." vbProcedure="false">{"ARGON REVENUE",#N/A,FALSE,"ARGON"}</definedName>
    <definedName function="false" hidden="true" name="wrn.ARGON._.VOLUME." vbProcedure="false">{"ARGON VOLUME",#N/A,FALSE,"ARGON"}</definedName>
    <definedName function="false" hidden="true" name="wrn.ARGON_VOL" vbProcedure="false">{"ARGON VOLUME",#N/A,FALSE,"ARGON"}</definedName>
    <definedName function="false" hidden="true" name="wrn.Asia." vbProcedure="false">{"PnL",#N/A,FALSE,"Gas Asia P&amp;L";"Responsibility",#N/A,FALSE,"Gas Asia P&amp;L";"Cost Control",#N/A,FALSE,"Gas Asia P&amp;L"}</definedName>
    <definedName function="false" hidden="true" name="wrn.Assembly._.Tech." vbProcedure="false">{#N/A,"Assembly Tech UK",FALSE,"P&amp;L";#N/A,"Assembly Tech France",FALSE,"P&amp;L";#N/A,"Assembly Tech Germany",FALSE,"P&amp;L";#N/A,"Assembly tech Italy",FALSE,"P&amp;L";#N/A,"Assembly tech TOTAL",FALSE,"P&amp;L"}</definedName>
    <definedName function="false" hidden="true" name="wrn.assumptions." vbProcedure="false">{"casespecific",#N/A,FALSE,"Assumptions"}</definedName>
    <definedName function="false" hidden="true" name="wrn.Assumptions._.Book." vbProcedure="false">{#N/A,#N/A,FALSE,"Cover";#N/A,#N/A,FALSE,"Contents";#N/A,#N/A,FALSE,"1.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function="false" hidden="true" name="wrn.Auto._.Comp." vbProcedure="false">{#N/A,#N/A,FALSE,"Sheet1"}</definedName>
    <definedName function="false" hidden="true" name="wrn.away." vbProcedure="false">{"away stand alones",#N/A,FALSE,"Target"}</definedName>
    <definedName function="false" hidden="true" name="wrn.backup." vbProcedure="false">{"financials",#N/A,FALSE,"BASIC";"interest",#N/A,FALSE,"BASIC";"leasing and financing",#N/A,FALSE,"BASIC";"returns back up",#N/A,FALSE,"BASIC"}</definedName>
    <definedName function="false" hidden="true" name="wrn.BALANCE._.PARA._.LUIZ._.CLAUDIO." vbProcedure="false">{#N/A,#N/A,FALSE,"Hoja1";#N/A,#N/A,FALSE,"Hoja2"}</definedName>
    <definedName function="false" hidden="true" name="wrn.BALANCE._.SHEET._.ALL." vbProcedure="false">{"balance sheet us",#N/A,FALSE,"Bal. Sht.- Work Cap";"balance sheet ex",#N/A,FALSE,"Bal. Sht.- Work Cap";"balance sheet other",#N/A,FALSE,"Bal. Sht.- Work Cap";"balance sheet ww",#N/A,FALSE,"Bal. Sht.- Work Cap"}</definedName>
    <definedName function="false" hidden="true" name="wrn.BALANCE._.SHEET._.EX._.US." vbProcedure="false">{"balance sheet ex",#N/A,FALSE,"Bal. Sht.- Work Cap"}</definedName>
    <definedName function="false" hidden="true" name="wrn.BALANCE._.SHEET._.OTHER." vbProcedure="false">{"balance sheet other",#N/A,FALSE,"Bal. Sht.- Work Cap"}</definedName>
    <definedName function="false" hidden="true" name="wrn.BALANCE._.SHEET._.US." vbProcedure="false">{"balance sheet us",#N/A,FALSE,"Bal. Sht.- Work Cap"}</definedName>
    <definedName function="false" hidden="true" name="wrn.BALANCE._.SHEET._.WW." vbProcedure="false">{"balance sheet ww",#N/A,FALSE,"Bal. Sht.- Work Cap"}</definedName>
    <definedName function="false" hidden="true" name="wrn.balsheet." vbProcedure="false">{"ICDANDNONDIV",#N/A,FALSE,"BSALLNOW.XLS";"polyandpurperf",#N/A,FALSE,"BSALLNOW.XLS"}</definedName>
    <definedName function="false" hidden="true" name="wrn.bank._.model." vbProcedure="false">{"banks",#N/A,FALSE,"BASIC"}</definedName>
    <definedName function="false" hidden="true" name="wrn.baseDEV." vbProcedure="false">{"cover",#N/A,TRUE,"Cover";"pnldet",#N/A,TRUE,"BaseCaseDEV";"pnl",#N/A,TRUE,"BaseCaseDEV";"bil",#N/A,TRUE,"BaseCaseDEV";"tabfi",#N/A,TRUE,"BaseCaseDEV";"ratios",#N/A,TRUE,"BaseCaseDEV";"variab",#N/A,TRUE,"BaseCaseDEV";"inv",#N/A,TRUE,"BaseCaseDEV"}</definedName>
    <definedName function="false" hidden="true" name="wrn.Basic._.Report." vbProcedure="false">{#N/A,#N/A,FALSE,"New Depr Sch-150% DB";#N/A,#N/A,FALSE,"Cash Flows RLP";#N/A,#N/A,FALSE,"IRR";#N/A,#N/A,FALSE,"Proforma IS";#N/A,#N/A,FALSE,"Assumptions"}</definedName>
    <definedName function="false" hidden="true" name="wrn.BEL." vbProcedure="false">{"IS",#N/A,FALSE,"IS";"RPTIS",#N/A,FALSE,"RPTIS";"STATS",#N/A,FALSE,"STATS";"CELL",#N/A,FALSE,"CELL";"BS",#N/A,FALSE,"BS"}</definedName>
    <definedName function="false" hidden="true" name="wrn.betz." vbProcedure="false">{"net assets",#N/A,FALSE,"summary";"asset turnover",#N/A,FALSE,"summary";"orona",#N/A,FALSE,"summary"}</definedName>
    <definedName function="false" hidden="true" name="wrn.Bilan." vbProcedure="false">{#N/A,#N/A,FALSE,"Bilan"}</definedName>
    <definedName function="false" hidden="true" name="wrn.Bilan.2" vbProcedure="false">{#N/A,#N/A,FALSE,"Bilan"}</definedName>
    <definedName function="false" hidden="true" name="wrn.Bilan.4" vbProcedure="false">{#N/A,#N/A,FALSE,"Bilan"}</definedName>
    <definedName function="false" hidden="true" name="wrn.Bilan._1" vbProcedure="false">{#N/A,#N/A,FALSE,"Bilan"}</definedName>
    <definedName function="false" hidden="true" name="wrn.Bilan1" vbProcedure="false">{#N/A,#N/A,FALSE,"Bilan"}</definedName>
    <definedName function="false" hidden="true" name="wrn.Bilan20" vbProcedure="false">{#N/A,#N/A,FALSE,"Bilan"}</definedName>
    <definedName function="false" hidden="true" name="wrn.bilan21" vbProcedure="false">{#N/A,#N/A,FALSE,"Bilan"}</definedName>
    <definedName function="false" hidden="true" name="wrn.Bilan22" vbProcedure="false">{#N/A,#N/A,FALSE,"Bilan"}</definedName>
    <definedName function="false" hidden="true" name="wrn.Bilan3" vbProcedure="false">{#N/A,#N/A,FALSE,"Bilan"}</definedName>
    <definedName function="false" hidden="true" name="wrn.Bilan31" vbProcedure="false">{#N/A,#N/A,FALSE,"Bilan"}</definedName>
    <definedName function="false" hidden="true" name="wrn.Bilan33" vbProcedure="false">{#N/A,#N/A,FALSE,"Bilan"}</definedName>
    <definedName function="false" hidden="true" name="wrn.Bilan40" vbProcedure="false">{#N/A,#N/A,FALSE,"Bilan"}</definedName>
    <definedName function="false" hidden="true" name="wrn.Bilan41" vbProcedure="false">{#N/A,#N/A,FALSE,"Bilan"}</definedName>
    <definedName function="false" hidden="true" name="wrn.Bilan5" vbProcedure="false">{#N/A,#N/A,FALSE,"Bilan"}</definedName>
    <definedName function="false" hidden="true" name="wrn.Bilan50" vbProcedure="false">{#N/A,#N/A,FALSE,"Bilan"}</definedName>
    <definedName function="false" hidden="true" name="wrn.Bilan52" vbProcedure="false">{#N/A,#N/A,FALSE,"Bilan"}</definedName>
    <definedName function="false" hidden="true" name="wrn.Bilan6" vbProcedure="false">{#N/A,#N/A,FALSE,"Bilan"}</definedName>
    <definedName function="false" hidden="true" name="wrn.Bilan60" vbProcedure="false">{#N/A,#N/A,FALSE,"Bilan"}</definedName>
    <definedName function="false" hidden="true" name="wrn.Bilan61" vbProcedure="false">{#N/A,#N/A,FALSE,"Bilan"}</definedName>
    <definedName function="false" hidden="true" name="wrn.Bilancio_semestrale." vbProcedure="false">{"Bilancio non rettificato",#N/A,FALSE,"A";"Bilancio Rettifiche",#N/A,FALSE,"B";"Bilancio Rettifiche",#N/A,FALSE,"C";"movimenti",#N/A,FALSE,"D";"amm",#N/A,FALSE,"D";"cpl",#N/A,FALSE,"D";"cola",#N/A,FALSE,"D";"imposte",#N/A,FALSE,"D"}</definedName>
    <definedName function="false" hidden="true" name="wrn.BiPolar." vbProcedure="false">{#N/A,#N/A,FALSE,"Bi-Polar"}</definedName>
    <definedName function="false" hidden="true" name="wrn.bm"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wrn.Both." vbProcedure="false">{"detail",#N/A,FALSE,"mfg";"summary",#N/A,FALSE,"mfg"}</definedName>
    <definedName function="false" hidden="true" name="wrn.Both.2" vbProcedure="false">{"detail",#N/A,FALSE,"mfg";"summary",#N/A,FALSE,"mfg"}</definedName>
    <definedName function="false" hidden="true" name="wrn.both1" vbProcedure="false">{"detail",#N/A,FALSE,"mfg";"summary",#N/A,FALSE,"mfg"}</definedName>
    <definedName function="false" hidden="true" name="wrn.both10" vbProcedure="false">{"detail",#N/A,FALSE,"mfg";"summary",#N/A,FALSE,"mfg"}</definedName>
    <definedName function="false" hidden="true" name="wrn.both102" vbProcedure="false">{"detail",#N/A,FALSE,"mfg";"summary",#N/A,FALSE,"mfg"}</definedName>
    <definedName function="false" hidden="true" name="wrn.both11" vbProcedure="false">{"detail",#N/A,FALSE,"mfg";"summary",#N/A,FALSE,"mfg"}</definedName>
    <definedName function="false" hidden="true" name="wrn.both12" vbProcedure="false">{"detail",#N/A,FALSE,"mfg";"summary",#N/A,FALSE,"mfg"}</definedName>
    <definedName function="false" hidden="true" name="wrn.Both31" vbProcedure="false">{"detail",#N/A,FALSE,"mfg";"summary",#N/A,FALSE,"mfg"}</definedName>
    <definedName function="false" hidden="true" name="wrn.Both32" vbProcedure="false">{"detail",#N/A,FALSE,"mfg";"summary",#N/A,FALSE,"mfg"}</definedName>
    <definedName function="false" hidden="true" name="wrn.Both34" vbProcedure="false">{"detail",#N/A,FALSE,"mfg";"summary",#N/A,FALSE,"mfg"}</definedName>
    <definedName function="false" hidden="true" name="wrn.Both35" vbProcedure="false">{"detail",#N/A,FALSE,"mfg";"summary",#N/A,FALSE,"mfg"}</definedName>
    <definedName function="false" hidden="true" name="wrn.Both42" vbProcedure="false">{"detail",#N/A,FALSE,"mfg";"summary",#N/A,FALSE,"mfg"}</definedName>
    <definedName function="false" hidden="true" name="wrn.both71" vbProcedure="false">{"detail",#N/A,FALSE,"mfg";"summary",#N/A,FALSE,"mfg"}</definedName>
    <definedName function="false" hidden="true" name="wrn.botha11" vbProcedure="false">{"detail",#N/A,FALSE,"mfg";"summary",#N/A,FALSE,"mfg"}</definedName>
    <definedName function="false" hidden="true" name="wrn.botha2" vbProcedure="false">{"detail",#N/A,FALSE,"mfg";"summary",#N/A,FALSE,"mfg"}</definedName>
    <definedName function="false" hidden="true" name="wrn.bothab2" vbProcedure="false">{"detail",#N/A,FALSE,"mfg";"summary",#N/A,FALSE,"mfg"}</definedName>
    <definedName function="false" hidden="true" name="wrn.BP._.print." vbProcedure="false">{#N/A,#N/A,FALSE,"BANNERS";#N/A,#N/A,FALSE,"Market";#N/A,#N/A,FALSE,"Tel Rev";#N/A,#N/A,FALSE,"Revenues IOL";#N/A,#N/A,FALSE,"Invest";#N/A,#N/A,FALSE,"Op Cost1";#N/A,#N/A,FALSE,"Op Cost2";#N/A,#N/A,FALSE,"Oth_&amp;_Tot_Revenues";#N/A,#N/A,FALSE,"Fin Mod";#N/A,#N/A,FALSE,"FinMod_RoW";#N/A,#N/A,FALSE,"P&amp;E Burocrat";#N/A,#N/A,FALSE,"cash flow"}</definedName>
    <definedName function="false" hidden="true" name="wrn.BPlan." vbProcedure="false">{#N/A,#N/A,FALSE,"F_Plan";#N/A,#N/A,FALSE,"Parameter"}</definedName>
    <definedName function="false" hidden="true" name="wrn.Breakout." vbProcedure="false">{#N/A,#N/A,FALSE,"BreakoutFY95";#N/A,#N/A,FALSE,"BreakoutFY96";#N/A,#N/A,FALSE,"BreakoutFY97";#N/A,#N/A,FALSE,"BreakoutFY98"}</definedName>
    <definedName function="false" hidden="true" name="wrn.breakup." vbProcedure="false">{"comps1",#N/A,FALSE,"Comps Sheet";"comps2",#N/A,FALSE,"Comps Sheet";"comps3",#N/A,FALSE,"Comps Sheet";"comps4",#N/A,FALSE,"Comps Sheet";"comps5",#N/A,FALSE,"Comps Sheet";"comps6",#N/A,FALSE,"Comps Sheet";"ec",#N/A,FALSE,"E&amp;C";"environmental",#N/A,FALSE,"Environmental";"heavy",#N/A,FALSE,"Heavy Const."}</definedName>
    <definedName function="false" hidden="true" name="wrn.brian." vbProcedure="false">{#N/A,#N/A,FALSE,"output";#N/A,#N/A,FALSE,"contrib";#N/A,#N/A,FALSE,"profile";#N/A,#N/A,FALSE,"comps"}</definedName>
    <definedName function="false" hidden="true" name="wrn.BROCHURE." vbProcedure="false">{"ACT",#N/A,FALSE,"Q3Elec P&amp;L fy 99  ";"BUD",#N/A,FALSE,"Q3Elec P&amp;L fy 99  ";"PRIOR",#N/A,FALSE,"Q3Elec P&amp;L fy 99  "}</definedName>
    <definedName function="false" hidden="true" name="wrn.BROCHYTD." vbProcedure="false">{"YTDACT",#N/A,FALSE,"YTD Cum";"YTDBUD",#N/A,FALSE,"YTD Cum";"YTDPRIOR",#N/A,FALSE,"YTD Cum"}</definedName>
    <definedName function="false" hidden="true" name="wrn.bsall." vbProcedure="false">{"pg1",#N/A,FALSE,"BSALLNOW.XLS";"pg2",#N/A,FALSE,"BSALLNOW.XLS";"pg3",#N/A,FALSE,"BSALLNOW.XLS"}</definedName>
    <definedName function="false" hidden="true" name="wrn.bud." vbProcedure="false">{#N/A,#N/A,FALSE,"BudRec";#N/A,#N/A,FALSE,"P&amp;L";#N/A,#N/A,FALSE,"Net Assets";#N/A,#N/A,FALSE,"Cash Flow";#N/A,#N/A,FALSE,"Supplementary";#N/A,#N/A,FALSE,"Fixed assets";#N/A,#N/A,FALSE,"Capex 1";#N/A,#N/A,FALSE,"Capex 2";#N/A,#N/A,FALSE,"Sales,direct mat";#N/A,#N/A,FALSE,"Variables";#N/A,#N/A,FALSE,"Overheads";#N/A,#N/A,FALSE,"P&amp;L % of sales"}</definedName>
    <definedName function="false" hidden="true" name="wrn.Budget."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wrn.budget._.balance._.sheet." vbProcedure="false">{"bugdet992000 balance sheet",#N/A,FALSE,"Celtel alternative 6"}</definedName>
    <definedName function="false" hidden="true" name="wrn.budget._.capex." vbProcedure="false">{"budget992000 capex",#N/A,FALSE,"Celtel alternative 6"}</definedName>
    <definedName function="false" hidden="true" name="wrn.budget._.customers." vbProcedure="false">{"budget992000_customers",#N/A,FALSE,"Celtel alternative 6"}</definedName>
    <definedName function="false" hidden="true" name="wrn.budget._.profit._.and._.loss." vbProcedure="false">{"budget992000 profit and loss",#N/A,FALSE,"Celtel alternative 6"}</definedName>
    <definedName function="false" hidden="true" name="wrn.budget._.tariffs._.and._.usage." vbProcedure="false">{"budget992000 tariff and usage",#N/A,FALSE,"Celtel alternative 6"}</definedName>
    <definedName function="false" hidden="true" name="wrn.Buildups." vbProcedure="false">{"ACQ",#N/A,FALSE,"ACQUISITIONS";"ACQF",#N/A,FALSE,"ACQUISITIONS";"PF",#N/A,FALSE,"PROYECTOVILA";"PV",#N/A,FALSE,"PROYECTOVILA";"Fee Dev",#N/A,FALSE,"DEVELOPMENT GROWTH";"gd",#N/A,FALSE,"DEVELOPMENT GROWTH"}</definedName>
    <definedName function="false" hidden="true" name="wrn.Business._.Plan." vbProcedure="false">{#N/A,#N/A,TRUE,"Cover sheet";#N/A,#N/A,TRUE,"F.S.";#N/A,#N/A,TRUE,"Macroecon.";#N/A,#N/A,TRUE,"Microeconomics";#N/A,#N/A,TRUE,"Revenues";#N/A,#N/A,TRUE,"COS-supporting";#N/A,#N/A,TRUE,"COS";#N/A,#N/A,TRUE,"Other costs-supporting";#N/A,#N/A,TRUE,"Other costs";#N/A,#N/A,TRUE,"Other income&amp;expense";#N/A,#N/A,TRUE,"Capital ex.";#N/A,#N/A,TRUE,"Financing";#N/A,#N/A,TRUE,"Equity";#N/A,#N/A,TRUE,"Corporate taxation";#N/A,#N/A,TRUE,"current A.&amp;L."}</definedName>
    <definedName function="false" hidden="true" name="wrn.BV._.Matrix." vbProcedure="false">{"BV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function="false" hidden="true" name="wrn.Cactus._.01." vbProcedure="false">{"Assumptions",#N/A,FALSE,"Financial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function="false" hidden="true" name="wrn.CAPITAL._.TODO." vbProcedure="false">{"CAP VOL",#N/A,FALSE,"CAPITAL";"CAP VAR",#N/A,FALSE,"CAPITAL";"CAP FIJ",#N/A,FALSE,"CAPITAL";"CAP CONS",#N/A,FALSE,"CAPITAL";"CAP DATA",#N/A,FALSE,"CAPITAL"}</definedName>
    <definedName function="false" hidden="true" name="wrn.Cardiovasculars." vbProcedure="false">{#N/A,#N/A,FALSE,"Card";#N/A,#N/A,FALSE,"Prav";#N/A,#N/A,FALSE,"Irbe";#N/A,#N/A,FALSE,"Plavix";#N/A,#N/A,FALSE,"Capt";#N/A,#N/A,FALSE,"Fosi"}</definedName>
    <definedName function="false" hidden="true" name="wrn.CARRY._.1996." vbProcedure="false">{#N/A,#N/A,FALSE,"SF"}</definedName>
    <definedName function="false" hidden="true" name="wrn.cash." vbProcedure="false">{"assumption cash",#N/A,TRUE,"Merger";"has gets cash",#N/A,TRUE,"Merger";"accretion dilution",#N/A,TRUE,"Merger";"comparison credit stats",#N/A,TRUE,"Merger";"pf credit stats",#N/A,TRUE,"Merger";"pf sheets",#N/A,TRUE,"Merger"}</definedName>
    <definedName function="false" hidden="true" name="wrn.CASH._.FLOW._.ALL." vbProcedure="false">{"cash flow ww",#N/A,FALSE,"Cash Flow";"cash flow other",#N/A,FALSE,"Cash Flow";"cash flow ex",#N/A,FALSE,"Cash Flow";"cash flow us",#N/A,FALSE,"Cash Flow"}</definedName>
    <definedName function="false" hidden="true" name="wrn.CASH._.FLOW._.EX._.US." vbProcedure="false">{"cash flow ex",#N/A,FALSE,"Cash Flow"}</definedName>
    <definedName function="false" hidden="true" name="wrn.CASH._.FLOW._.OTHER." vbProcedure="false">{"cash flow other",#N/A,FALSE,"Cash Flow"}</definedName>
    <definedName function="false" hidden="true" name="wrn.CASH._.FLOW._.US." vbProcedure="false">{"cash flow us",#N/A,FALSE,"Cash Flow"}</definedName>
    <definedName function="false" hidden="true" name="wrn.CASH._.FLOW._.WW." vbProcedure="false">{"cash flow ww",#N/A,FALSE,"Cash Flow"}</definedName>
    <definedName function="false" hidden="true" name="wrn.Cash._.Plan." vbProcedure="false">{"cash plan",#N/A,FALSE,"fccashflow"}</definedName>
    <definedName function="false" hidden="true" name="wrn.CEA._.FY97." vbProcedure="false">{"CEA FY97",#N/A,FALSE,"C.E.A. FY97"}</definedName>
    <definedName function="false" hidden="true" name="wrn.CEC._.slides." vbProcedure="false">{#N/A,#N/A,FALSE,"Cover";#N/A,#N/A,FALSE,"Initial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function="false" hidden="true" name="wrn.Central._.Nervous._.System." vbProcedure="false">{#N/A,#N/A,FALSE,"CNS";#N/A,#N/A,FALSE,"Serz";#N/A,#N/A,FALSE,"Ace"}</definedName>
    <definedName function="false" hidden="true" name="wrn.charmin." vbProcedure="false">{"charmin",#N/A,FALSE,"FMAM II"}</definedName>
    <definedName function="false" hidden="true" name="wrn.Chemicals." vbProcedure="false">{"PnL",#N/A,FALSE,"Chem P&amp;L";"Responsibility",#N/A,FALSE,"Chem P&amp;L";"Cost Control",#N/A,FALSE,"Chem P&amp;L"}</definedName>
    <definedName function="false" hidden="true" name="wrn.Cider." vbProcedure="false">{#N/A,#N/A,FALSE,"Cider Segment";#N/A,#N/A,FALSE,"Bulmers";#N/A,#N/A,FALSE,"Ritz";#N/A,#N/A,FALSE,"Stag";#N/A,#N/A,FALSE,"Cider Others"}</definedName>
    <definedName function="false" hidden="tru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true" name="wrn.CLIENTE_PRECO." vbProcedure="false">{"CLIENTE",#N/A,TRUE,"Resumo";"CLIENTE",#N/A,TRUE,"HW";"CLIENTE",#N/A,TRUE,"SW";"CLIENTE",#N/A,TRUE,"TELESSUP.";"CLIENTE",#N/A,TRUE,"DCN &amp; Acess";"CLIENTE",#N/A,TRUE,"Sobressalentes";"CLIENTE",#N/A,TRUE,"Mat. Instal.";"CLIENTE",#N/A,TRUE,"Doc. Técnica";"CLIENTE",#N/A,TRUE,"Serviços";"CLIENTE",#N/A,TRUE,"Treinamento"}</definedName>
    <definedName function="false" hidden="true" name="wrn.CLIENTE_QUANT." vbProcedure="false">{#N/A,"Tabelas de quantidade",FALSE,"Entradas";"CLIENTE",#N/A,FALSE,"HW";"CLIENTE",#N/A,FALSE,"SW";"CLIENTE",#N/A,FALSE,"TELESSUP.";"CLIENTE",#N/A,FALSE,"DCN &amp; Acess";"CLIENTE",#N/A,FALSE,"Sobressalentes";"CLIENTE",#N/A,FALSE,"Mat. Instal.";"CLIENTE",#N/A,FALSE,"Doc. Técnica";"CLIENTE",#N/A,FALSE,"Serviços";"CLIENTE",#N/A,FALSE,"Treinamento"}</definedName>
    <definedName function="false" hidden="true" name="WRN.CLIENT_PRE" vbProcedure="false">{"CLIENTE",#N/A,TRUE,"Resumo";"CLIENTE",#N/A,TRUE,"HW";"CLIENTE",#N/A,TRUE,"SW";"CLIENTE",#N/A,TRUE,"TELESSUP.";"CLIENTE",#N/A,TRUE,"DCN &amp; Acess";"CLIENTE",#N/A,TRUE,"Sobressalentes";"CLIENTE",#N/A,TRUE,"Mat. Instal.";"CLIENTE",#N/A,TRUE,"Doc. Técnica";"CLIENTE",#N/A,TRUE,"Serviços";"CLIENTE",#N/A,TRUE,"Treinamento"}</definedName>
    <definedName function="false" hidden="true" name="wrn.Clusteres." vbProcedure="false">{"REVENUE",#N/A,FALSE,"REVENUE";"CONTRIBUTION",#N/A,FALSE,"CONTRIBUTION";"ART MON",#N/A,FALSE,"ART";"ART YTD",#N/A,FALSE,"ART";"ART STAT",#N/A,FALSE,"ART";"BEAUTY MON",#N/A,FALSE,"BEAUTY";"BEAURY YTD",#N/A,FALSE,"BEAUTY";"BEAUTY STAT",#N/A,FALSE,"BEAUTY";"CALL CTR MON",#N/A,FALSE,"CALL CTR";"CALL CTR YTD",#N/A,FALSE,"CALL CTR";"CALL CTR STAT",#N/A,FALSE,"CALL CTR";"COLL MON",#N/A,FALSE,"COLL E LEARN";"COLL YTD",#N/A,FALSE,"COLL E LEARN";"COLL STAT",#N/A,FALSE,"COLL E LEARN";"DENTAL MON",#N/A,FALSE,"DENTAL";"DENTAL YTD",#N/A,FALSE,"DENTAL";"DENTAL STAT",#N/A,FALSE,"DENTAL";"EC FASHION MON",#N/A,FALSE,"EC FASHION";"EC FASHION YTD",#N/A,FALSE,"EC FASHION";"EC FASHION STAT",#N/A,FALSE,"EC FASHION";"EUROPEAN MON",#N/A,FALSE," EUROPEAN";"EURPOEAN YTD",#N/A,FALSE," EUROPEAN";"EUROPEAN STAT",#N/A,FALSE," EUROPEAN";"HEALTHCARE MON",#N/A,FALSE,"HEALTHCARE";"HEALTHCARE YTD",#N/A,FALSE,"HEALTHCARE";"HEALTHCARE STAT",#N/A,FALSE,"HEALTHCARE";"HOME ENTER MON",#N/A,FALSE,"HOME ENTER";"HOME ENTER YTD",#N/A,FALSE,"HOME ENTER";"HOME ENTER STAT",#N/A,FALSE,"HOME ENTER";"INFORMATION MON",#N/A,FALSE,"INFORMATION";"INFORMATION YTD",#N/A,FALSE,"INFORMATION";"INFORMATION STAT",#N/A,FALSE,"INFORMATION";"LICENSE MON",#N/A,FALSE,"LICENSE";"LICENSE YTD",#N/A,FALSE,"LICENSE";"LICENSE STAT",#N/A,FALSE,"LICENSE";"MAGIC MON",#N/A,FALSE," MAGIC";"MAGIC YTD",#N/A,FALSE," MAGIC";"MAGIC STAT",#N/A,FALSE," MAGIC";"MANUFACT MON",#N/A,FALSE,"MANUFACTURING";"MANFUACT YTD",#N/A,FALSE,"MANUFACTURING";"MANFUCT STAT",#N/A,FALSE,"MANUFACTURING";"PHARM MON",#N/A,FALSE,"PHARM";"PAHRM YTD",#N/A,FALSE,"PHARM";"PHARM STAT",#N/A,FALSE,"PHARM";"PORTFOLIO MON",#N/A,FALSE,"PORTFOLIO";"PORTFOLIO YTD",#N/A,FALSE,"PORTFOLIO";"PORTFOLIO STAT",#N/A,FALSE,"PORTFOLIO";"POWERSPORTS MON",#N/A,FALSE,"POWERSPORTS";"POWERSPORT YTD",#N/A,FALSE,"POWERSPORTS";"POWERSPORT STAT",#N/A,FALSE,"POWERSPORTS";"SCIENCE MON",#N/A,FALSE,"SCIENCE";"SCIENCE YTD",#N/A,FALSE,"SCIENCE";"SCIENCE STAT",#N/A,FALSE,"SCIENCE";"TELECOM MON",#N/A,FALSE,"TELECOM";"TELECOM YTD",#N/A,FALSE,"TELECOM";"TELECOM STAT",#N/A,FALSE,"TELECOM";"TRAVEL MON",#N/A,FALSE,"TRAVEL";"TRAVEL YTD",#N/A,FALSE,"TRAVEL";"TRAVEL STAT",#N/A,FALSE,"TRAVEL";"VETERINARY MON",#N/A,FALSE,"VETERINARY";"VETERINARY YTD",#N/A,FALSE,"VETERINARY";"VETERINARY STAT",#N/A,FALSE,"VETERINARY"}</definedName>
    <definedName function="false" hidden="true" name="WRN.CM" vbProcedure="false">{#N/A,#N/A,FALSE,"FAB VENDORS";"BUD SUM",#N/A,FALSE,"BUD SUM WO TEX"}</definedName>
    <definedName function="false" hidden="true" name="wrn.CMF." vbProcedure="false">{"CMF",#N/A,TRUE,"HW";"CMF",#N/A,TRUE,"SW";"CMF",#N/A,TRUE,"TELESSUP.";"CMF",#N/A,TRUE,"DCN &amp; Acess";"CMF",#N/A,TRUE,"Sobressalentes";"CMF",#N/A,TRUE,"Mat. Instal.";"CMF",#N/A,TRUE,"Doc. Técnica"}</definedName>
    <definedName function="false" hidden="true" name="wrn.CMVsBud." vbProcedure="false">{"Page1",#N/A,FALSE,"OpExJanvsBud";"Page2",#N/A,FALSE,"OpExJanvsBud"}</definedName>
    <definedName function="false" hidden="true" name="wrn.CMVsPY." vbProcedure="false">{"Page 1",#N/A,FALSE,"OpExJanVsPY";"Page 2",#N/A,FALSE,"OpExJanVsPY"}</definedName>
    <definedName function="false" hidden="true" name="wrn.CM_ALL." vbProcedure="false">{"LAPO2N2",#N/A,FALSE,"CM";"TOTTEXAS",#N/A,FALSE,"CM";"LOUISIANA",#N/A,FALSE,"CM";"GENERALH2",#N/A,FALSE,"CM";"PRS",#N/A,FALSE,"CM";"PACKAGE",#N/A,FALSE,"CM";"OTHER",#N/A,FALSE,"CM"}</definedName>
    <definedName function="false" hidden="true" name="wrn.CM_GENERALH2." vbProcedure="false">{"GENERALH2",#N/A,FALSE,"CM"}</definedName>
    <definedName function="false" hidden="true" name="wrn.CM_LAPORTE_O2N2." vbProcedure="false">{"LAPO2N2",#N/A,FALSE,"CM"}</definedName>
    <definedName function="false" hidden="true" name="wrn.CM_LOUISIANA." vbProcedure="false">{"LOUISIANA",#N/A,FALSE,"CM"}</definedName>
    <definedName function="false" hidden="true" name="wrn.CM_OTHER." vbProcedure="false">{"OTHER",#N/A,FALSE,"CM"}</definedName>
    <definedName function="false" hidden="true" name="wrn.CM_PACKAGE." vbProcedure="false">{"PACKAGE",#N/A,FALSE,"CM"}</definedName>
    <definedName function="false" hidden="true" name="wrn.CM_PRS." vbProcedure="false">{"PRS",#N/A,FALSE,"CM"}</definedName>
    <definedName function="false" hidden="true" name="wrn.CM_TEXAS._.HYCO." vbProcedure="false">{"TOTTEXAS",#N/A,FALSE,"CM"}</definedName>
    <definedName function="false" hidden="true" name="wrn.Combination." vbProcedure="false">{#N/A,#N/A,FALSE,"Combo-Ass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function="false" hidden="true" name="wrn.COMBINED." vbProcedure="false">{#N/A,#N/A,FALSE,"INPUTS";#N/A,#N/A,FALSE,"PROFORMA BSHEET";#N/A,#N/A,FALSE,"COMBINED";#N/A,#N/A,FALSE,"HIGH YIELD";#N/A,#N/A,FALSE,"COMB_GRAPHS"}</definedName>
    <definedName function="false" hidden="true" name="wrn.ComboResults." vbProcedure="false">{#N/A,#N/A,FALSE,"Combo-Ass ";#N/A,#N/A,FALSE,"Combo-AD sum";#N/A,#N/A,FALSE,"Combo-Syn Sens";#N/A,#N/A,FALSE,"Combo-Contr";#N/A,#N/A,FALSE,"Combo-Credit Sum";#N/A,#N/A,FALSE,"Combo-Credit";#N/A,#N/A,FALSE,"Combo-AD";#N/A,#N/A,FALSE,"Combo-AD CF"}</definedName>
    <definedName function="false" hidden="true" name="wrn.ComboState." vbProcedure="false">{#N/A,#N/A,FALSE,"Combo-Ass ";#N/A,#N/A,FALSE,"Combo-IS";#N/A,#N/A,FALSE,"Combo-BS";#N/A,#N/A,FALSE,"Combo-CF"}</definedName>
    <definedName function="false" hidden="true" name="wrn.COMP._.BS._.MONTH._.YTD." vbProcedure="false">{"COMP BS",#N/A,FALSE,"Comparative BS"}</definedName>
    <definedName function="false" hidden="true" name="wrn.Comp._.by._.rep." vbProcedure="false">{"Comp by rep","Rose",FALSE,"Comp by rep";"Comp by rep","Portnoy",FALSE,"Comp by rep"}</definedName>
    <definedName function="false" hidden="true" name="wrn.COMP._.CF._.AT._.Current._.ER." vbProcedure="false">{"COMP CF",#N/A,FALSE,"Comp CF"}</definedName>
    <definedName function="false" hidden="true" name="wrn.COMP._.IS._.FEES._.ELIMINS." vbProcedure="false">{"COMP FEES ELIMINS",#N/A,FALSE,"COMPIS FEES"}</definedName>
    <definedName function="false" hidden="true" name="wrn.Company._.Total._.Accountability." vbProcedure="false">{"total sales",#N/A,TRUE,"ACCT-94";"total expense 1",#N/A,TRUE,"ACCT-94";"total expense 2",#N/A,TRUE,"ACCT-94";"total expense 3",#N/A,TRUE,"ACCT-94";"total sales 2",#N/A,TRUE,"ACCT-94";"total margin",#N/A,TRUE,"ACCT-94";"total margin rate",#N/A,TRUE,"ACCT-94"}</definedName>
    <definedName function="false" hidden="true" name="wrn.Comparative._.BS._.WO._.Local." vbProcedure="false">{"US Current",#N/A,FALSE,"Mthly BS"}</definedName>
    <definedName function="false" hidden="true" name="wrn.Comparative._.Cash._.Flow." vbProcedure="false">{#N/A,#N/A,FALSE,"Comp CF"}</definedName>
    <definedName function="false" hidden="true" name="wrn.Comparative._.IS._.Report." vbProcedure="false">{"COMP IS View",#N/A,FALSE,"Comparative IS"}</definedName>
    <definedName function="false" hidden="true" name="wrn.compco." vbProcedure="false">{"page1",#N/A,FALSE,"BHCOMPC5";"page2",#N/A,FALSE,"BHCOMPC5";"page3",#N/A,FALSE,"BHCOMPC5";"page4",#N/A,FALSE,"BHCOMPC5"}</definedName>
    <definedName function="false" hidden="true" name="wrn.competitor._.analysis."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wrn.Complete."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2"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_.Budget._.Report." vbProcedure="false">{#N/A,#N/A,TRUE,"Consol. by Month";#N/A,#N/A,TRUE,"Revenue - General Manager";#N/A,#N/A,TRUE,"Revenue - Accounting";#N/A,#N/A,TRUE,"Consol. Exp. by Dept";#N/A,#N/A,TRUE,"Consol. Exp. by Month";#N/A,#N/A,TRUE,"4010 - Operations";#N/A,#N/A,TRUE,"9110 - Marketing";#N/A,#N/A,TRUE,"9201 - General Manager";#N/A,#N/A,TRUE,"9202 - Human Resources";#N/A,#N/A,TRUE,"9203 - Labour Overhead";#N/A,#N/A,TRUE,"9204 - Administrative Services";#N/A,#N/A,TRUE,"9205 - Accounting"}</definedName>
    <definedName function="false" hidden="true" name="wrn.Complete._.Budget._.Report.new" vbProcedure="false">{#N/A,#N/A,TRUE,"Consol. by Month";#N/A,#N/A,TRUE,"Revenue - General Manager";#N/A,#N/A,TRUE,"Revenue - Accounting";#N/A,#N/A,TRUE,"Consol. Exp. by Dept";#N/A,#N/A,TRUE,"Consol. Exp. by Month";#N/A,#N/A,TRUE,"4010 - Operations";#N/A,#N/A,TRUE,"9110 - Marketing";#N/A,#N/A,TRUE,"9201 - General Manager";#N/A,#N/A,TRUE,"9202 - Human Resources";#N/A,#N/A,TRUE,"9203 - Labour Overhead";#N/A,#N/A,TRUE,"9204 - Administrative Services";#N/A,#N/A,TRUE,"9205 - Accounting"}</definedName>
    <definedName function="false" hidden="true" name="wrn.Complete._.Report." vbProcedure="false">{#N/A,#N/A,FALSE,"Assumptions";#N/A,#N/A,FALSE,"Proforma IS";#N/A,#N/A,FALSE,"Cash Flows RLP";#N/A,#N/A,FALSE,"IRR";#N/A,#N/A,FALSE,"New Depr Sch-150% DB";#N/A,#N/A,FALSE,"Comments"}</definedName>
    <definedName function="false" hidden="true" name="wrn.comps." vbProcedure="false">{"comps",#N/A,FALSE,"comps";"notes",#N/A,FALSE,"comps"}</definedName>
    <definedName function="false" hidden="true" name="wrn.Comps1_Printing." vbProcedure="false">{"comps1_1",#N/A,FALSE,"Comps1";"comps1_2",#N/A,FALSE,"Comps1";"comps1_3",#N/A,FALSE,"Comps1";"comps1_4",#N/A,FALSE,"Comps1";"comps1_5",#N/A,FALSE,"Comps1"}</definedName>
    <definedName function="false" hidden="true" name="wrn.Comps2_Printing." vbProcedure="false">{"comps2_1",#N/A,FALSE,"Comps2";"comps2_2",#N/A,FALSE,"Comps2";"comps2_3",#N/A,FALSE,"Comps2";"comps2_4",#N/A,FALSE,"Comps2";"comps2_5",#N/A,FALSE,"Comps2"}</definedName>
    <definedName function="false" hidden="true" name="wrn.Comptes95." vbProcedure="false">{#N/A,#N/A,FALSE,"3";#N/A,#N/A,FALSE,"5";#N/A,#N/A,FALSE,"6";#N/A,#N/A,FALSE,"8";#N/A,#N/A,FALSE,"10";#N/A,#N/A,FALSE,"13";#N/A,#N/A,FALSE,"14";#N/A,#N/A,FALSE,"15";#N/A,#N/A,FALSE,"16"}</definedName>
    <definedName function="false" hidden="true" name="wrn.Consolidated." vbProcedure="false">{"PnL",#N/A,FALSE,"Total P&amp;L";"Cost Control",#N/A,FALSE,"Total P&amp;L"}</definedName>
    <definedName function="false" hidden="true" name="wrn.Consolidated._.Set." vbProcedure="false">{"Consolidated IS w Ratios",#N/A,FALSE,"Consolidated";"Consolidated CF",#N/A,FALSE,"Consolidated";"Consolidated DCF",#N/A,FALSE,"Consolidated"}</definedName>
    <definedName function="false" hidden="true" name="wrn.Consolidated._.Statements." vbProcedure="false">{"view1",#N/A,FALSE,"EARN (US$)";"view1",#N/A,FALSE,"DASTBS (US$)";"view1",#N/A,FALSE,"DASTCF (US$)"}</definedName>
    <definedName function="false" hidden="true" name="wrn.Consumer._.Medicines." vbProcedure="false">{#N/A,#N/A,FALSE,"OTC";#N/A,#N/A,FALSE,"Ther";#N/A,#N/A,FALSE,"Temp";#N/A,#N/A,FALSE,"Exce";#N/A,#N/A,FALSE,"Buff";#N/A,#N/A,FALSE,"Picot";#N/A,#N/A,FALSE,"Luftal";#N/A,#N/A,FALSE,"Comt"}</definedName>
    <definedName function="false" hidden="true"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name="wrn.contribution." vbProcedure="false">{#N/A,#N/A,FALSE,"Contribution Analysis"}</definedName>
    <definedName function="false" hidden="true" name="wrn.contributory._.asset._.charges." vbProcedure="false">{"contributory1",#N/A,FALSE,"Contributory Assets Detail";"contributory2",#N/A,FALSE,"Contributory Assets Detail"}</definedName>
    <definedName function="false" hidden="true" name="wrn.CON_DESCUENTO." vbProcedure="false">{#N/A,"Carabeer",FALSE,"Dscto.";#N/A,"Disbracentro",FALSE,"Dscto.";#N/A,"Río Beer",FALSE,"Dscto.";#N/A,"Andes",FALSE,"Dscto."}</definedName>
    <definedName function="false" hidden="true" name="wrn.cooper." vbProcedure="false">{#N/A,#N/A,TRUE,"Pro Forma";#N/A,#N/A,TRUE,"PF_Bal";#N/A,#N/A,TRUE,"PF_INC";#N/A,#N/A,TRUE,"CBE";#N/A,#N/A,TRUE,"SWK"}</definedName>
    <definedName function="false" hidden="true" name="wrn.corso_forecast." vbProcedure="false">{"ce_storici",#N/A,FALSE}</definedName>
    <definedName function="false" hidden="true" name="wrn.COS." vbProcedure="false">{"PAGE 1",#N/A,FALSE,"COS";"PAGE 2",#N/A,FALSE,"COS";"PAGE 3",#N/A,FALSE,"COS"}</definedName>
    <definedName function="false" hidden="true" name="wrn.COS._.EX._.GEISMAR." vbProcedure="false">{"PAGE 1",#N/A,FALSE,"COS Excluding Geismar";"PAGE 2",#N/A,FALSE,"COS Excluding Geismar";"PAGE 3",#N/A,FALSE,"COS Excluding Geismar"}</definedName>
    <definedName function="false" hidden="true" name="wrn.COST._.OF._.GOODS._.SOLD." vbProcedure="false">{"cogs",#N/A,FALSE,"Cost Of Goods Sold"}</definedName>
    <definedName function="false" hidden="true" name="wrn.COST._.OF._.SALES." vbProcedure="false">{"COST OF SALES",#N/A,FALSE,"C.O.SALES"}</definedName>
    <definedName function="false" hidden="true" name="wrn.Covenants.b" vbProcedure="false">{"Covenants",#N/A,FALSE,"Covs";"quarterly covenants",#N/A,FALSE,"Covs";"quarterly projections",#N/A,FALSE,"Covs"}</definedName>
    <definedName function="false" hidden="true" name="wrn.Cover." vbProcedure="false">{"coverall",#N/A,FALSE,"Definitions";"cover1",#N/A,FALSE,"Definitions";"cover2",#N/A,FALSE,"Definitions";"cover3",#N/A,FALSE,"Definitions";"cover4",#N/A,FALSE,"Definitions";"cover5",#N/A,FALSE,"Definitions";"blank",#N/A,FALSE,"Definitions"}</definedName>
    <definedName function="false" hidden="true" name="wrn.Covers." vbProcedure="false">{"view1",#N/A,FALSE,"MOTEARN";"view1",#N/A,FALSE,"Bal Sht";"view1",#N/A,FALSE,"Cash Flows"}</definedName>
    <definedName function="false" hidden="true" name="wrn.CRESCUM." vbProcedure="false">{#N/A,#N/A,FALSE,"CRES0395"}</definedName>
    <definedName function="false" hidden="true" name="wrn.CRT." vbProcedure="false">{#N/A,#N/A,TRUE,"Title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function="false" hidden="true" name="wrn.CSC." vbProcedure="false">{"page1",#N/A,TRUE,"CSC";"page2",#N/A,TRUE,"CSC"}</definedName>
    <definedName function="false" hidden="true" name="wrn.CSC2" vbProcedure="false">{"page1",#N/A,TRUE,"CSC";"page2",#N/A,TRUE,"CSC"}</definedName>
    <definedName function="false" hidden="true" name="wrn.csc2." vbProcedure="false">{#N/A,#N/A,FALSE,"ORIX CSC"}</definedName>
    <definedName function="false" hidden="true" name="wrn.CUPID." vbProcedure="false">{"Guide",#N/A,FALSE,"Guidant";"Boston Sci",#N/A,FALSE,"Boston Scientific";"Medtro",#N/A,FALSE,"Medtronic";"St. Jude",#N/A,FALSE,"St. Jude";"Pfi",#N/A,FALSE,"Pfizer";"Bard",#N/A,FALSE,"Bard";"Johns",#N/A,FALSE,"Johnson"}</definedName>
    <definedName function="false" hidden="true" name="wrn.Current._.Month._.Current._.Yr._.Only." vbProcedure="false">{"Month Summary",#N/A,FALSE,"Summary";"Total Details",#N/A,FALSE,"Current Yr";"Polymers Details",#N/A,FALSE,"Current Yr";"Performance Details",#N/A,FALSE,"Current Yr";"ICD Details",#N/A,FALSE,"Current Yr"}</definedName>
    <definedName function="false" hidden="true" name="wrn.Current._.Month._.Everything."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wrn.Customer_base." vbProcedure="false">{"customer base",#N/A,FALSE,"customer_base";"customer base perf estimates",#N/A,FALSE,"customer_base"}</definedName>
    <definedName function="false" hidden="true" name="wrn.CW." vbProcedure="false">{#N/A,#N/A,FALSE,"FAB VENDORS";"BUD SUM",#N/A,FALSE,"BUD SUM WO TEX"}</definedName>
    <definedName function="false" hidden="true" name="wrn.d"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rn.Dalmatian._.Data." vbProcedure="false">{"Standard",#N/A,FALSE,"Dal H Inc Stmt";"Standard",#N/A,FALSE,"Dal H Bal Sht";"Standard",#N/A,FALSE,"Dal H CFs"}</definedName>
    <definedName function="false" hidden="true" name="wrn.Danilo." vbProcedure="false">{#N/A,#N/A,TRUE,"Main Issues";#N/A,#N/A,TRUE,"Income statement ($)"}</definedName>
    <definedName function="false" hidden="true" name="wrn.Darwin." vbProcedure="false">{#N/A,#N/A,FALSE,"Title";#N/A,#N/A,FALSE,"Assumptions";#N/A,#N/A,FALSE,"Bidder";#N/A,#N/A,FALSE,"Target";#N/A,#N/A,FALSE,"Curr";#N/A,#N/A,FALSE,"Prosp";#N/A,#N/A,FALSE,"Prosp+1";#N/A,#N/A,FALSE,"Summary";#N/A,#N/A,FALSE,"Debtsched";#N/A,#N/A,FALSE,"Sensitivities"}</definedName>
    <definedName function="false" hidden="true" name="wrn.dat" vbProcedure="false">{"Pound Sterling",#N/A,TRUE,"PPD";"Pound Sterling",#N/A,TRUE,"Anaquest";"Pound Sterling",#N/A,TRUE,"Delta";"Pound Sterling",#N/A,TRUE,"INO"}</definedName>
    <definedName function="false" hidden="true" name="wrn.data." vbProcedure="false">{"apci",#N/A,FALSE,"Chem_CY";"eastman",#N/A,FALSE,"Eastman";"betz",#N/A,FALSE,"Betz";"great lakes",#N/A,FALSE,"Great_Lakes";"hercules",#N/A,FALSE,"Hercules Chem Seg Data";"rohm",#N/A,FALSE,"Rohm";"union carbide",#N/A,FALSE,"Union";"witco",#N/A,FALSE,"Witco"}</definedName>
    <definedName function="false" hidden="true" name="wrn.DATA._.SHEETS." vbProcedure="false">{"page1",#N/A,FALSE,"DATA SHEET";"page2",#N/A,FALSE,"DATA SHEET";"page3",#N/A,FALSE,"DATA SHEET"}</definedName>
    <definedName function="false" hidden="true" name="wrn.database." vbProcedure="false">{"subs",#N/A,FALSE,"database ";"proportional",#N/A,FALSE,"database "}</definedName>
    <definedName function="false" hidden="true" name="wrn.dcf." vbProcedure="false">{"mgmt forecast",#N/A,FALSE,"Mgmt Forecast";"dcf table",#N/A,FALSE,"Mgmt Forecast";"sensitivity",#N/A,FALSE,"Mgmt Forecast";"table inputs",#N/A,FALSE,"Mgmt Forecast";"calculations",#N/A,FALSE,"Mgmt Forecast"}</definedName>
    <definedName function="false" hidden="tru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name="wrn.DCF_Terminal_Value_qchm." vbProcedure="false">{"qchm_dcf",#N/A,FALSE,"QCHMDCF2";"qchm_terminal",#N/A,FALSE,"QCHMDCF2"}</definedName>
    <definedName function="false" hidden="true" name="wrn.DecoTools." vbProcedure="false">{#N/A,"DecoToolsTOTAL",FALSE,"P&amp;L";#N/A,"DecoToolsFriess",FALSE,"P&amp;L";#N/A,"DecoToolsUK",FALSE,"P&amp;L"}</definedName>
    <definedName function="false" hidden="true" name="wrn.Deltek._.Upload." vbProcedure="false">{#N/A,#N/A,FALSE,"Delt Data"}</definedName>
    <definedName function="false" hidden="true" name="wrn.Depotübersicht." vbProcedure="false">{#N/A,#N/A,FALSE,"Tabelle1"}</definedName>
    <definedName function="false" hidden="true" name="wrn.DEPRECIATION." vbProcedure="false">{"depreciation",#N/A,FALSE,"Amort-Dep"}</definedName>
    <definedName function="false" hidden="true" name="wrn.Detail._.Balance._.Sheet." vbProcedure="false">{#N/A,#N/A,FALSE,"Detail"}</definedName>
    <definedName function="false" hidden="true" name="wrn.Detailed._.print." vbProcedure="false">{#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function="false" hidden="true" name="wrn.Detail_Projection." vbProcedure="false">{#N/A,#N/A,FALSE,"Detail YTD"}</definedName>
    <definedName function="false" hidden="true" name="wrn.devdeal." vbProcedure="false">{"top",#N/A,TRUE,"Detail";"next",#N/A,TRUE,"Detail";"then",#N/A,TRUE,"Detail";"and",#N/A,TRUE,"Detail";"inaddition",#N/A,TRUE,"Detail";"finally",#N/A,TRUE,"Detail"}</definedName>
    <definedName function="false" hidden="true" name="wrn.dil_anal." vbProcedure="false">{"hiden",#N/A,FALSE,"14";"hidden",#N/A,FALSE,"16";"hidden",#N/A,FALSE,"18";"hidden",#N/A,FALSE,"20"}</definedName>
    <definedName function="false" hidden="true" name="wrn.dil_anal.1" vbProcedure="false">{"hiden",#N/A,FALSE,"14";"hidden",#N/A,FALSE,"16";"hidden",#N/A,FALSE,"18";"hidden",#N/A,FALSE,"20"}</definedName>
    <definedName function="false" hidden="true" name="wrn.Dividend._.Schedule." vbProcedure="false">{"Dividend",#N/A,FALSE,"Cash Flow"}</definedName>
    <definedName function="false" hidden="true" name="wrn.dkk." vbProcedure="false">{#N/A,#N/A,FALSE,"Financiel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function="false" hidden="true" name="wrn.document." vbProcedure="false">{"comp",#N/A,FALSE,"SPEC";"footnotes",#N/A,FALSE,"SPEC"}</definedName>
    <definedName function="false" hidden="true" name="wrn.document.1" vbProcedure="false">{"comp",#N/A,FALSE,"SPEC";"footnotes",#N/A,FALSE,"SPEC"}</definedName>
    <definedName function="false" hidden="true" name="wrn.documentaero." vbProcedure="false">{"comps2",#N/A,FALSE,"AERO";"footnotes",#N/A,FALSE,"AERO"}</definedName>
    <definedName function="false" hidden="true" name="wrn.documentaero.1" vbProcedure="false">{"comps2",#N/A,FALSE,"AERO";"footnotes",#N/A,FALSE,"AERO"}</definedName>
    <definedName function="false" hidden="true" name="wrn.documentation." vbProcedure="false">{"documentation1",#N/A,FALSE,"Documentation";"documentation2",#N/A,FALSE,"Documentation"}</definedName>
    <definedName function="false" hidden="true" name="wrn.documenthand." vbProcedure="false">{"comps",#N/A,FALSE,"HANDPACK";"footnotes",#N/A,FALSE,"HANDPACK"}</definedName>
    <definedName function="false" hidden="true" name="wrn.documenthand.1" vbProcedure="false">{"comps",#N/A,FALSE,"HANDPACK";"footnotes",#N/A,FALSE,"HANDPACK"}</definedName>
    <definedName function="false" hidden="true" name="wrn.Doors." vbProcedure="false">{#N/A,"DoorsEurope",FALSE,"P&amp;L";#N/A,"DoorsUK",FALSE,"P&amp;L";#N/A,"DoorsFrance",FALSE,"P&amp;L"}</definedName>
    <definedName function="false" hidden="true" name="wrn.Draft." vbProcedure="false">{"Draft",#N/A,FALSE,"Feb-96"}</definedName>
    <definedName function="false" hidden="true" name="wrn.Drucken._.H.C.._.Starck."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wrn.Eagle." vbProcedure="false">{#N/A,#N/A,FALSE,"Historical";#N/A,#N/A,FALSE,"EPS-Purchase";#N/A,#N/A,FALSE,"EPS-Pool";#N/A,#N/A,FALSE,"DCF";"Market Share",#N/A,FALSE,"Revenue";"Revenue",#N/A,FALSE,"Revenue"}</definedName>
    <definedName function="false" hidden="true"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rn.Economic._.Value._.Added._.Analysis." vbProcedure="false">{"EVA",#N/A,FALSE,"EVA";"WACC",#N/A,FALSE,"WACC"}</definedName>
    <definedName function="false" hidden="true" name="wrn.Ecritures." vbProcedure="false">{#N/A,#N/A,TRUE,"Retrait";#N/A,#N/A,TRUE,"Guichets";#N/A,#N/A,TRUE,"Caveau";#N/A,#N/A,TRUE,"Schéma";#N/A,#N/A,TRUE,"Compensation";#N/A,#N/A,TRUE,"Opér.Internationales";#N/A,#N/A,TRUE,"Support";#N/A,#N/A,TRUE,"Dette Externe";#N/A,#N/A,TRUE,"Opérations de Crédit";#N/A,#N/A,TRUE,"Ress. Humaines";#N/A,#N/A,TRUE,"Opér.Fiscales";#N/A,#N/A,TRUE,"Comptabilité"}</definedName>
    <definedName function="false" hidden="true" name="wrn.edhw." vbProcedure="false">{#N/A,#N/A,FALSE,"New reverser"}</definedName>
    <definedName function="false" hidden="true" name="wrn.EES_BUD_ACT_PY."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wrn.EES_BUD_SNAP_ACT_PY."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wrn.EES_CHECK."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wrn.efhw." vbProcedure="false">{#N/A,#N/A,FALSE,"New reverser"}</definedName>
    <definedName function="false" hidden="true" name="wrn.Eilbericht_UBA." vbProcedure="false">{"Eilbericht_UBA",#N/A,FALSE,"EB"}</definedName>
    <definedName function="false" hidden="true" name="wrn.EMM._.detail._.edition." vbProcedure="false">{#N/A,#N/A,TRUE,"Cover";#N/A,#N/A,TRUE,"Content";"Orders EMM",#N/A,TRUE,"Order Sales";"project EMM",#N/A,TRUE,"Project Control";"Cash EMM",#N/A,TRUE,"Cash Control";"KPI EMM",#N/A,TRUE,"KPI-EMM";"Empl EMM",#N/A,TRUE,"Employees"}</definedName>
    <definedName function="false" hidden="true" name="wrn.Employee._.Efficiency." vbProcedure="false">{"Employee Efficiency",#N/A,FALSE,"Benchmarking"}</definedName>
    <definedName function="false" hidden="tru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true" name="wrn.EntitiesWithReclasses." vbProcedure="false">{"page1",#N/A,FALSE,"EntitiesWithReclasses";"page2",#N/A,FALSE,"EntitiesWithReclasses";"page3",#N/A,FALSE,"EntitiesWithReclasses";"page4",#N/A,FALSE,"EntitiesWithReclasses";"page5",#N/A,FALSE,"EntitiesWithReclasses";"page6",#N/A,FALSE,"EntitiesWithReclasses"}</definedName>
    <definedName function="false" hidden="true" name="wrn.Equipment." vbProcedure="false">{"PnL",#N/A,FALSE,"Equip P&amp;L";"Responsibility",#N/A,FALSE,"Equip P&amp;L";"Cost Control",#N/A,FALSE,"Equip P&amp;L"}</definedName>
    <definedName function="false" hidden="true" name="wrn.equity._.comps." vbProcedure="false">{"equity comps",#N/A,FALSE,"CS Comps";"equity comps",#N/A,FALSE,"PS Comps";"equity comps",#N/A,FALSE,"GIC_Comps";"equity comps",#N/A,FALSE,"GIC2_Comps"}</definedName>
    <definedName function="false" hidden="true" name="wrn.equity._.comps.1" vbProcedure="false">{"equity comps",#N/A,FALSE,"CS Comps";"equity comps",#N/A,FALSE,"PS Comps";"equity comps",#N/A,FALSE,"GIC_Comps";"equity comps",#N/A,FALSE,"GIC2_Comps"}</definedName>
    <definedName function="false" hidden="true" name="wrn.Ergebnisbericht_UBA." vbProcedure="false">{"Ergebnisbericht_UBA",#N/A,FALSE,"MB"}</definedName>
    <definedName function="false" hidden="true" name="wrn.ETATS._.DE._.SYNTHESE." vbProcedure="false">{#N/A,#N/A,FALSE,"TABLEAU DES FLUX";#N/A,#N/A,FALSE,"COMPTE DE RESULTAT";#N/A,#N/A,FALSE,"BILAN FINANCIER";#N/A,#N/A,FALSE,"BSPL_96"}</definedName>
    <definedName function="false" hidden="true" name="wrn.Europe." vbProcedure="false">{"PnL",#N/A,FALSE,"Gas Eur P&amp;L";"Responsibility",#N/A,FALSE,"Gas Eur P&amp;L";"Cost Control",#N/A,FALSE,"Gas Eur P&amp;L";"Program List",#N/A,FALSE,"Gas Eur P&amp;L"}</definedName>
    <definedName function="false" hidden="true" name="wrn.Europe._.Base." vbProcedure="false">{"Eur Base Top",#N/A,FALSE,"Europe Base";"Eur Base Bottom",#N/A,FALSE,"Europe Base"}</definedName>
    <definedName function="false" hidden="true" name="wrn.Europe._.Set." vbProcedure="false">{"IS w Ratios",#N/A,FALSE,"Europe";"PF CF Europe",#N/A,FALSE,"Europe";"DCF Eur Matrix",#N/A,FALSE,"Europe"}</definedName>
    <definedName function="false" hidden="true" name="wrn.ev" vbProcedure="false">{#N/A,#N/A,FALSE,"INPUTS";#N/A,#N/A,FALSE,"PROFORMA BSHEET";#N/A,#N/A,FALSE,"COMBINED";#N/A,#N/A,FALSE,"ACQUIROR";#N/A,#N/A,FALSE,"TARGET 1";#N/A,#N/A,FALSE,"TARGET 2";#N/A,#N/A,FALSE,"HIGH YIELD";#N/A,#N/A,FALSE,"OVERFUND"}</definedName>
    <definedName function="false" hidden="tru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wrn.EXEC._.SUMM._.ALL." vbProcedure="false">{"exec sum us",#N/A,FALSE,"Exec Sum";"exec sum ex",#N/A,FALSE,"Exec Sum";"exec summ other",#N/A,FALSE,"Exec Sum";"exec sum ww",#N/A,FALSE,"Exec Sum"}</definedName>
    <definedName function="false" hidden="true" name="wrn.EXEC._.SUMM._.EX._.US." vbProcedure="false">{"exec sum ex",#N/A,FALSE,"Exec Sum"}</definedName>
    <definedName function="false" hidden="true" name="wrn.EXEC._.SUMM._.OTHER." vbProcedure="false">{"exec summ other",#N/A,FALSE,"Exec Sum"}</definedName>
    <definedName function="false" hidden="true" name="wrn.EXEC._.SUMM._.US." vbProcedure="false">{"exec sum us",#N/A,FALSE,"Exec Sum"}</definedName>
    <definedName function="false" hidden="true" name="wrn.EXEC._.SUMM._.WW." vbProcedure="false">{"exec sum ww",#N/A,FALSE,"Exec Sum"}</definedName>
    <definedName function="false" hidden="true" name="wrn.Exports." vbProcedure="false">{#N/A,#N/A,FALSE,"Exports";#N/A,#N/A,FALSE,"Carolans";#N/A,#N/A,FALSE,"Irish Mist";#N/A,#N/A,FALSE,"Tullamore Dew";#N/A,#N/A,FALSE,"Other Brands Exports";#N/A,#N/A,FALSE,"Frangelico";#N/A,#N/A,FALSE,"Mondoro";#N/A,#N/A,FALSE,"Aperol";#N/A,#N/A,FALSE,"Others Exports"}</definedName>
    <definedName function="false" hidden="true" name="wrn.F.S.." vbProcedure="false">{#N/A,#N/A,TRUE,"COVER";#N/A,#N/A,TRUE,"DIR";#N/A,#N/A,TRUE,"AUDIT"}</definedName>
    <definedName function="false" hidden="true" name="wrn.f.s.2" vbProcedure="false">{#N/A,#N/A,TRUE,"COVER";#N/A,#N/A,TRUE,"DIR";#N/A,#N/A,TRUE,"AUDIT"}</definedName>
    <definedName function="false" hidden="true" name="wrn.Far._.East._.Set." vbProcedure="false">{"IS FE with Ratios",#N/A,FALSE,"Far East";"PF CF Far East",#N/A,FALSE,"Far East";"DCF Far East Matrix",#N/A,FALSE,"Far East"}</definedName>
    <definedName function="false" hidden="true" name="wrn.Fastening." vbProcedure="false">{#N/A,"FasteningTOTAL",FALSE,"P&amp;L";#N/A,"FasteningFrance",FALSE,"P&amp;L";#N/A,"FasteningItaly",FALSE,"P&amp;L";#N/A,"FasteningUK",FALSE,"P&amp;L";#N/A,"FasteningGermany",FALSE,"P&amp;L";#N/A,"FasteningSwitzerland",FALSE,"P&amp;L";#N/A,"FasteningBelgium",FALSE,"P&amp;L";#N/A,"FasteningDekker",FALSE,"P&amp;L";#N/A,"FasteningNordic",FALSE,"P&amp;L";#N/A,"FasteningFinland",FALSE,"P&amp;L";#N/A,"FasteningPoland",FALSE,"P&amp;L";#N/A,"FasteningCZ",FALSE,"P&amp;L"}</definedName>
    <definedName function="false" hidden="true" name="wrn.FE._.Sensitivity." vbProcedure="false">{"Far East Top",#N/A,FALSE,"FE Model";"Far East Mid",#N/A,FALSE,"FE Model";"Far East Base",#N/A,FALSE,"FE Model"}</definedName>
    <definedName function="false" hidden="tru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true" name="wrn.Filiais_marc." vbProcedure="false">{#N/A,#N/A,TRUE,"Resumo";#N/A,#N/A,TRUE,"iNDICES";#N/A,#N/A,TRUE,"TOT_MI";#N/A,#N/A,TRUE,"COT";#N/A,#N/A,TRUE,"LIM";#N/A,#N/A,TRUE,"SIF";#N/A,#N/A,TRUE,"RIO";#N/A,#N/A,TRUE,"MESA";#N/A,#N/A,TRUE,"POA_EST_MTN_SLP";#N/A,#N/A,TRUE,"PEL";#N/A,#N/A,TRUE,"PSF";#N/A,#N/A,TRUE,"CXS";#N/A,#N/A,TRUE,"CAA";#N/A,#N/A,TRUE,"REC";#N/A,#N/A,TRUE,"BRA";#N/A,#N/A,TRUE,"ANA";#N/A,#N/A,TRUE,"TOT ME";#N/A,#N/A,TRUE,"TOT"}</definedName>
    <definedName function="false" hidden="true"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name="wrn.Financial._.Statement._.Package." vbProcedure="false">{#N/A,#N/A,FALSE,"Title";#N/A,#N/A,FALSE,"GAAP BS";#N/A,#N/A,FALSE,"GAAP IS";#N/A,#N/A,FALSE,"Summary";#N/A,#N/A,FALSE,"Summary 40% QS";#N/A,#N/A,FALSE,"Stat BS";#N/A,#N/A,FALSE,"Stat IS";#N/A,#N/A,FALSE,"Cash Flow";#N/A,#N/A,FALSE,"40% Quota Share Rpt";#N/A,#N/A,FALSE,"Per Risk XOL Rpt";#N/A,#N/A,FALSE,"Part 1 - Premiums";#N/A,#N/A,FALSE,"Part 2 - Losses Paid &amp; Incurred";#N/A,#N/A,FALSE,"Part 2a - Unpaid Losses &amp; LAE";#N/A,#N/A,FALSE,"Part 3 - Expenses";#N/A,#N/A,FALSE,"Exhibit- Net Invest &amp; Cap G(L)";#N/A,#N/A,FALSE,"MGA Settlement Statement"}</definedName>
    <definedName function="false" hidden="true" name="wrn.Financial._.Stmt." vbProcedure="false">{#N/A,#N/A,FALSE,"FScover";#N/A,#N/A,FALSE,"Balsht";#N/A,#N/A,FALSE,"income";#N/A,#N/A,FALSE,"cashflw";#N/A,#N/A,FALSE,"g&amp;a";#N/A,#N/A,FALSE,"cos"}</definedName>
    <definedName function="false" hidden="true" name="wrn.FINANCIAL._.SUMMARY._.ALL." vbProcedure="false">{"fin sum us",#N/A,FALSE,"Financial Summ";"fin sum ex",#N/A,FALSE,"Financial Summ";"fin sum other",#N/A,FALSE,"Financial Summ";"fin sum ww",#N/A,FALSE,"Financial Summ"}</definedName>
    <definedName function="false" hidden="true" name="wrn.FINANCIAL._.SUMMARY._.EX._.US." vbProcedure="false">{"fin sum ex",#N/A,FALSE,"Financial Summ"}</definedName>
    <definedName function="false" hidden="true" name="wrn.FINANCIAL._.SUMMARY._.OTHER." vbProcedure="false">{"fin sum other",#N/A,FALSE,"Financial Summ"}</definedName>
    <definedName function="false" hidden="true" name="wrn.FINANCIAL._.SUMMARY._.US." vbProcedure="false">{"fin sum us",#N/A,FALSE,"Financial Summ"}</definedName>
    <definedName function="false" hidden="true" name="wrn.FINANCIAL._.SUMMARY._.WW." vbProcedure="false">{"fin sum ww",#N/A,FALSE,"Financial Summ"}</definedName>
    <definedName function="false" hidden="true" name="wrn.financials." vbProcedure="false">{#N/A,#N/A,TRUE,"Mkt Assumptions";#N/A,#N/A,TRUE,"Income_Statement";#N/A,#N/A,TRUE,"Balance_Sheet";#N/A,#N/A,TRUE,"Cash_Flow_Stmt";#N/A,#N/A,TRUE,"Debt_Repayment";#N/A,#N/A,TRUE,"Ratio_Analysis";#N/A,#N/A,TRUE,"Inc_Stmt_Assumptions"}</definedName>
    <definedName function="false" hidden="true" name="wrn.Financials._.DCF." vbProcedure="false">{"Standard",#N/A,FALSE,"Lab H Inc Stmt";"Standard",#N/A,FALSE,"Lab H Bal Sht";"Standard",#N/A,FALSE,"Lab H CFs";"Standard",#N/A,FALSE,"Lab P Inc Stmt";"Standard",#N/A,FALSE,"Lab P CFs Base";"Standard",#N/A,FALSE,"Lab DCF Base";"Standard",#N/A,FALSE,"DCF Sum"}</definedName>
    <definedName function="false" hidden="true" name="wrn.Financials._.Pack." vbProcedure="false">{"DMS P&amp;L",#N/A,TRUE,"Workbook Contents";"Telstra Restructure Costs Balance Sheet",#N/A,TRUE,"Workbook Contents";"Telstra Restructure Costs Cashflow",#N/A,TRUE,"Workbook Contents";"Telstra Restructure Costs P&amp;L",#N/A,TRUE,"Workbook Contents";"DC Telstra w/. Savings Balance Sheet",#N/A,TRUE,"Workbook Contents";"DC Telstra w/. Savings Cashflow",#N/A,TRUE,"Workbook Contents";"DC Telstra w/. Savings P&amp;L",#N/A,TRUE,"Workbook Contents";"DC Ex Telstra Restructure Costs Balance Sheet",#N/A,TRUE,"Workbook Contents";"DC Ex Telstra Restrucure Costs Cashflow",#N/A,TRUE,"Workbook Contents";"DC Ex Telstra Restructure Costs P&amp;L",#N/A,TRUE,"Workbook Contents";"DC Ex Telstra w/. Savings Balance Sheet",#N/A,TRUE,"Workbook Contents";"DC Ex Telstra w/. Savings Cashflow",#N/A,TRUE,"Workbook Contents";"DC Ex Telstra w/. Savings P&amp;L",#N/A,TRUE,"Workbook Contents";"Combined Balance Sheet",#N/A,TRUE,"Workbook Contents";"Combined Cash Flow",#N/A,TRUE,"Workbook Contents";"Combined P&amp;L",#N/A,TRUE,"Workbook Contents";"Summary",#N/A,TRUE,"Workbook Contents";"DC Cashflow",#N/A,TRUE,"Workbook Contents";"DC Telstra KPI",#N/A,TRUE,"Workbook Contents";"Combined (ex Telstra) KPI",#N/A,TRUE,"Workbook Contents";"DMS KPI",#N/A,TRUE,"Workbook Contents";"DC Ex Telstra KPI",#N/A,TRUE,"Workbook Contents"}</definedName>
    <definedName function="false" hidden="true" name="wrn.Financials_long." vbProcedure="false">{"IS",#N/A,FALSE,"Financials2 (Expanded)";"bsa",#N/A,FALSE,"Financials2 (Expanded)";"BS",#N/A,FALSE,"Financials2 (Expanded)";"CF",#N/A,FALSE,"Financials2 (Expanded)"}</definedName>
    <definedName function="false" hidden="true" name="wrn.finmodel." vbProcedure="false">{#N/A,#N/A,FALSE,"Fin Model"}</definedName>
    <definedName function="false" hidden="true" name="wrn.FISV._.5._.year._.model." vbProcedure="false">{"Assns Fax",#N/A,FALSE,"Assumptions";"Financial View",#N/A,FALSE,"Earnings";"DCF View",#N/A,FALSE,"Earnings";"Sensitivity",#N/A,FALSE,"DCF"}</definedName>
    <definedName function="false" hidden="true" name="wrn.FIVE._.YEAR._.PROJECTION." vbProcedure="false">{"FIVEYEAR",#N/A,TRUE,"SUMMARY";"FIVEYEAR",#N/A,TRUE,"Ratios";"FIVEYEAR",#N/A,TRUE,"Revenue";"FIVEYEAR",#N/A,TRUE,"DETAIL";"FIVEYEAR",#N/A,TRUE,"Payroll"}</definedName>
    <definedName function="false" hidden="true" name="wrn.Flowback._.Analysis." vbProcedure="false">{"Merger Output",#N/A,FALSE,"Summary_Output";"Flowback Assesment dollars",#N/A,FALSE,"FLow";"Flowback assesment percent",#N/A,FALSE,"FLow";"Impact to Rubik Price",#N/A,FALSE,"FLow"}</definedName>
    <definedName function="false" hidden="true" name="wrn.Flowback._.Analysis2." vbProcedure="false">{"Merger Output",#N/A,FALSE,"Summary_Output";"Flowback Assesment dollars",#N/A,FALSE,"FLow";"Flowback assesment percent",#N/A,FALSE,"FLow";"Impact to Rubik Price",#N/A,FALSE,"FLow"}</definedName>
    <definedName function="false" hidden="true" name="wrn.Flowback._.Analysis3." vbProcedure="false">{"Merger Output",#N/A,FALSE,"Summary_Output";"Flowback Assesment dollars",#N/A,FALSE,"FLow";"Flowback assesment percent",#N/A,FALSE,"FLow";"Impact to Rubik Price",#N/A,FALSE,"FLow"}</definedName>
    <definedName function="false" hidden="true" name="wrn.forecast." vbProcedure="false">{"first",#N/A,FALSE,"1st qtr";"second",#N/A,FALSE,"2nd Qtr";"third",#N/A,FALSE,"3rd Qtr";"fourth",#N/A,FALSE,"4th qtr";"year",#N/A,FALSE,"total year"}</definedName>
    <definedName function="false" hidden="true" name="wrn.Forecast._.No._.Interest." vbProcedure="false">{#N/A,#N/A,FALSE,"Income Statement";#N/A,#N/A,FALSE,"Balance Sheet";#N/A,#N/A,FALSE,"AR Analysis";#N/A,#N/A,FALSE,"Inventory Analysis";#N/A,#N/A,FALSE,"Direct Material";#N/A,#N/A,FALSE,"Labor";#N/A,#N/A,FALSE,"Overhead";#N/A,#N/A,FALSE,"Capital";#N/A,#N/A,FALSE,"Indirect Roster"}</definedName>
    <definedName function="false" hidden="true" name="wrn.Forecast._.Q1." vbProcedure="false">{"cover a","1q",FALSE,"Cover";"Op Earn Mgd Q1",#N/A,FALSE,"Op-Earn (Mng)";"Op Earn Rpt Q1",#N/A,FALSE,"Op-Earn (Rpt)";"Loans",#N/A,FALSE,"Loans";"Credit Costs",#N/A,FALSE,"CCosts";"Net Interest Margin",#N/A,FALSE,"Margin";"Nonint Income",#N/A,FALSE,"NonII";"Nonint Exp",#N/A,FALSE,"NonIE";"Valuation",#N/A,FALSE,"Valuation"}</definedName>
    <definedName function="false" hidden="true" name="wrn.Forecast._.Q2." vbProcedure="false">{"cover a","2q",FALSE,"Cover";"Op Earn Mgd Q2",#N/A,FALSE,"Op-Earn (Mng)";"Op Earn Rpt Q2",#N/A,FALSE,"Op-Earn (Rpt)";"Loans",#N/A,FALSE,"Loans";"Credit Costs",#N/A,FALSE,"CCosts";"Net Interest Margin",#N/A,FALSE,"Margin";"Nonint Income",#N/A,FALSE,"NonII";"Nonint Exp",#N/A,FALSE,"NonIE";"Valuation",#N/A,FALSE,"Valuation"}</definedName>
    <definedName function="false" hidden="true" name="wrn.Forecast._.Q2a." vbProcedure="false">{"cover a","2q",FALSE,"Cover";"Op Earn Mgd Q2",#N/A,FALSE,"Op-Earn (Mng)";"Op Earn Rpt Q2",#N/A,FALSE,"Op-Earn (Rpt)";"Loans",#N/A,FALSE,"Loans";"Credit Costs",#N/A,FALSE,"CCosts";"Net Interest Margin",#N/A,FALSE,"Margin";"Nonint Income",#N/A,FALSE,"NonII";"Nonint Exp",#N/A,FALSE,"NonIE";"Valuation",#N/A,FALSE,"Valuation"}</definedName>
    <definedName function="false" hidden="true" name="wrn.Forecast._.Q3." vbProcedure="false">{"cover a","3q",FALSE,"Cover";"Op Earn Mgd Q3",#N/A,FALSE,"Op-Earn (Mng)";"Op Earn Rpt Q3",#N/A,FALSE,"Op-Earn (Rpt)";"Loans",#N/A,FALSE,"Loans";"Credit Costs",#N/A,FALSE,"CCosts";"Net Interest Margin",#N/A,FALSE,"Margin";"Nonint Income",#N/A,FALSE,"NonII";"Nonint Exp",#N/A,FALSE,"NonIE";"Valuation",#N/A,FALSE,"Valuation"}</definedName>
    <definedName function="false" hidden="true" name="wrn.Forecast._.Q4." vbProcedure="false">{"cover a","4q",FALSE,"Cover";"Op Earn Mgd Q4",#N/A,FALSE,"Op-Earn (Mng)";"Op Earn Rpt Q4",#N/A,FALSE,"Op-Earn (Rpt)";"Loans",#N/A,FALSE,"Loans";"Credit Costs",#N/A,FALSE,"CCosts";"Net Interest Margin",#N/A,FALSE,"Margin";"Nonint Income",#N/A,FALSE,"NonII";"Nonint Exp",#N/A,FALSE,"NonIE";"Valuation",#N/A,FALSE,"Valuation"}</definedName>
    <definedName function="false" hidden="true" name="wrn.Forecast._.Q4a" vbProcedure="false">{"cover a","4q",FALSE,"Cover";"Op Earn Mgd Q4",#N/A,FALSE,"Op-Earn (Mng)";"Op Earn Rpt Q4",#N/A,FALSE,"Op-Earn (Rpt)";"Loans",#N/A,FALSE,"Loans";"Credit Costs",#N/A,FALSE,"CCosts";"Net Interest Margin",#N/A,FALSE,"Margin";"Nonint Income",#N/A,FALSE,"NonII";"Nonint Exp",#N/A,FALSE,"NonIE";"Valuation",#N/A,FALSE,"Valuation"}</definedName>
    <definedName function="false" hidden="true" name="wrn.forecast2" vbProcedure="false">{#N/A,#N/A,FALSE,"model"}</definedName>
    <definedName function="false" hidden="true" name="wrn.forecastassumptions." vbProcedure="false">{#N/A,#N/A,FALSE,"model"}</definedName>
    <definedName function="false" hidden="true" name="wrn.forecastassumptions2" vbProcedure="false">{#N/A,#N/A,FALSE,"model"}</definedName>
    <definedName function="false" hidden="true" name="wrn.forecastROIC." vbProcedure="false">{#N/A,#N/A,FALSE,"model"}</definedName>
    <definedName function="false" hidden="true" name="wrn.forecastROIC2" vbProcedure="false">{#N/A,#N/A,FALSE,"model"}</definedName>
    <definedName function="false" hidden="true" name="wrn.fred." vbProcedure="false">{"cover",#N/A,TRUE,"BaseCase";"pnl",#N/A,TRUE,"BaseCase";"pnldet",#N/A,TRUE,"BaseCase";"bil",#N/A,TRUE,"BaseCase";"tabfi",#N/A,TRUE,"BaseCase";"ratios",#N/A,TRUE,"BaseCase";"variab",#N/A,TRUE,"BaseCase";"inv",#N/A,TRUE,"BaseCase"}</definedName>
    <definedName function="false" hidden="true" name="wrn.Full." vbProcedure="false">{#N/A,#N/A,FALSE,"Cover";"outputs total",#N/A,FALSE,"Outputs"}</definedName>
    <definedName function="false" hidden="true" name="wrn.Full.b" vbProcedure="false">{"front",#N/A,FALSE,"Cover";"S&amp;U",#N/A,FALSE,"s&amp;u";"financing",#N/A,FALSE,"Input";"financing2",#N/A,FALSE,"Input";"Ratios",#N/A,FALSE,"Ratios";"P&amp;L",#N/A,FALSE,"P&amp;L";"Cashflow",#N/A,FALSE,"CF";"Balance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function="false" hidden="true" name="wrn.Full._.model." vbProcedure="false">{"landexbravo",#N/A,FALSE,"Land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function="false" hidden="tru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wrn.Full._.Print._.Out." vbProcedure="false">{#N/A,#N/A,TRUE,"Notice";#N/A,#N/A,TRUE,"Title";#N/A,#N/A,TRUE,"Contents";#N/A,#N/A,TRUE,"General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function="false" hidden="true" name="wrn.full._.report."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wrn.Full._.without._.data." vbProcedure="false">{#N/A,#N/A,FALSE,"Title";#N/A,#N/A,FALSE,"Contents";#N/A,#N/A,FALSE,"Executive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function="false" hidden="true" name="wrn.Full_Print_Out." vbProcedure="false">{#N/A,#N/A,TRUE,"Summary";#N/A,#N/A,TRUE,"Input";#N/A,#N/A,TRUE,"Other Assump";#N/A,#N/A,TRUE,"Construction Period";#N/A,#N/A,TRUE,"Escalation";#N/A,#N/A,TRUE,"Debt";#N/A,#N/A,TRUE,"Revs&amp;Costs";#N/A,#N/A,TRUE,"Depreciation";#N/A,#N/A,TRUE,"TAX";#N/A,#N/A,TRUE,"Cash-flow";#N/A,#N/A,TRUE,"VAT";#N/A,#N/A,TRUE,"P&amp;L-BS";#N/A,#N/A,TRUE,"IRR"}</definedName>
    <definedName function="false" hidden="true" name="wrn.FY00._.Summary." vbProcedure="false">{"FY00",#N/A,FALSE,"Sheet1"}</definedName>
    <definedName function="false" hidden="true" name="wrn.FY01._.Target." vbProcedure="false">{"FY01 TARGET",#N/A,FALSE,"Sheet1"}</definedName>
    <definedName function="false" hidden="true" name="wrn.FY97SBP." vbProcedure="false">{#N/A,#N/A,FALSE,"FY97";#N/A,#N/A,FALSE,"FY98";#N/A,#N/A,FALSE,"FY99";#N/A,#N/A,FALSE,"FY00";#N/A,#N/A,FALSE,"FY01"}</definedName>
    <definedName function="false" hidden="true" name="wrn.GAAP._.Only." vbProcedure="false">{#N/A,#N/A,FALSE,"GAAP BS";#N/A,#N/A,FALSE,"GAAP IS";#N/A,#N/A,FALSE,"Summary";#N/A,#N/A,FALSE,"50% QS";#N/A,#N/A,FALSE,"Earned Ceding Commission";#N/A,#N/A,FALSE,"75% QS"}</definedName>
    <definedName function="false" hidden="true" name="wrn.GB._.99." vbProcedure="false">{#N/A,#N/A,FALSE,"Umsatz 99";#N/A,#N/A,FALSE,"ER 99 "}</definedName>
    <definedName function="false" hidden="true" name="wrn.GB._.CH." vbProcedure="false">{#N/A,#N/A,FALSE,"Umsatz CH";#N/A,#N/A,FALSE,"ER CH";#N/A,#N/A,FALSE,"EA CH (2) ";#N/A,#N/A,FALSE,"EA CH";#N/A,#N/A,FALSE,"EA CH (3) ";#N/A,#N/A,FALSE,"EA CH (4)";#N/A,#N/A,FALSE,"KA CH";#N/A,#N/A,FALSE,"KA CH  (2)";#N/A,#N/A,FALSE,"KA CH  (3)";#N/A,#N/A,FALSE,"KA CH (4)"}</definedName>
    <definedName function="false" hidden="true" name="wrn.GB._.EO." vbProcedure="false">{#N/A,#N/A,FALSE,"Umsatz EO BP";#N/A,#N/A,FALSE,"Umsatz EO OP";#N/A,#N/A,FALSE,"ER EO BP";#N/A,#N/A,FALSE,"ER EO OP";#N/A,#N/A,FALSE,"EA EO (2)";#N/A,#N/A,FALSE,"EA EO";#N/A,#N/A,FALSE,"EA EO (3)";#N/A,#N/A,FALSE,"EA EO (4)";#N/A,#N/A,FALSE,"KA EO  (2)";#N/A,#N/A,FALSE,"KA EO";#N/A,#N/A,FALSE,"KA EO  (3)";#N/A,#N/A,FALSE,"KA EO (4)"}</definedName>
    <definedName function="false" hidden="true" name="wrn.GB._.HM." vbProcedure="false">{#N/A,#N/A,FALSE,"Umsatz HM";#N/A,#N/A,FALSE,"ER HM";#N/A,#N/A,FALSE,"EA HM  (2)";#N/A,#N/A,FALSE,"EA HM ";#N/A,#N/A,FALSE,"EA HM  (4)";#N/A,#N/A,FALSE,"EA HM  (3)";#N/A,#N/A,FALSE,"KA HM  (2)";#N/A,#N/A,FALSE,"KA HM";#N/A,#N/A,FALSE,"KA HM  (3)";#N/A,#N/A,FALSE,"KA HM (4)"}</definedName>
    <definedName function="false" hidden="true" name="wrn.GB._.OK." vbProcedure="false">{#N/A,#N/A,FALSE,"Umsatz OK";#N/A,#N/A,FALSE,"ER OK ";#N/A,#N/A,FALSE,"EA OK (2)";#N/A,#N/A,FALSE,"EA OK";#N/A,#N/A,FALSE,"EA OK (3)";#N/A,#N/A,FALSE,"EA OK (4)";#N/A,#N/A,FALSE,"KA OK  (2)";#N/A,#N/A,FALSE,"KA OK";#N/A,#N/A,FALSE,"KA OK  (3)";#N/A,#N/A,FALSE,"KA OK (4)"}</definedName>
    <definedName function="false" hidden="true" name="wrn.gb._hm." vbProcedure="false">{#N/A,#N/A,FALSE,"Umsatz CH";#N/A,#N/A,FALSE,"ER CH";#N/A,#N/A,FALSE,"EA CH (2) ";#N/A,#N/A,FALSE,"EA CH";#N/A,#N/A,FALSE,"EA CH (3) ";#N/A,#N/A,FALSE,"EA CH (4)";#N/A,#N/A,FALSE,"KA CH";#N/A,#N/A,FALSE,"KA CH  (2)";#N/A,#N/A,FALSE,"KA CH  (3)";#N/A,#N/A,FALSE,"KA CH (4)"}</definedName>
    <definedName function="false" hidden="true" name="wrn.gb_lll" vbProcedure="false">{#N/A,#N/A,FALSE,"Umsatz CH";#N/A,#N/A,FALSE,"ER CH";#N/A,#N/A,FALSE,"EA CH (2) ";#N/A,#N/A,FALSE,"EA CH";#N/A,#N/A,FALSE,"EA CH (3) ";#N/A,#N/A,FALSE,"EA CH (4)";#N/A,#N/A,FALSE,"KA CH";#N/A,#N/A,FALSE,"KA CH  (2)";#N/A,#N/A,FALSE,"KA CH  (3)";#N/A,#N/A,FALSE,"KA CH (4)"}</definedName>
    <definedName function="false" hidden="true" name="wrn.GENERAL._.INPUT._.SCREEN." vbProcedure="false">{"General Input",#N/A,FALSE,"General Input"}</definedName>
    <definedName function="false" hidden="true" name="wrn.General._.OTC." vbProcedure="false">{#N/A,#N/A,FALSE,"Title Page (3)";#N/A,#N/A,FALSE,"YTD - OTC";#N/A,#N/A,FALSE,"MTH - OTC"}</definedName>
    <definedName function="false" hidden="true" name="wrn.General._.Pharm." vbProcedure="false">{#N/A,#N/A,FALSE,"Title Page (2)";#N/A,#N/A,FALSE,"YTD - Pharm";#N/A,#N/A,FALSE,"MTH - Pharm"}</definedName>
    <definedName function="false" hidden="true" name="wrn.General._.Total." vbProcedure="false">{#N/A,#N/A,FALSE,"Title Page (4)";#N/A,#N/A,FALSE,"YTD - Total";#N/A,#N/A,FALSE,"MTH - Total"}</definedName>
    <definedName function="false" hidden="true" name="wrn.Global." vbProcedure="false">{#N/A,#N/A,FALSE,"Global"}</definedName>
    <definedName function="false" hidden="true" name="wrn.Graph._.edition." vbProcedure="false">{#N/A,#N/A,FALSE,"KPI-EMM-Graph";#N/A,#N/A,FALSE,"Cost Graph";#N/A,#N/A,FALSE,"Cash graph";#N/A,#N/A,FALSE,"Order Sales Graph"}</definedName>
    <definedName function="false" hidden="true" name="wrn.GRAPHS." vbProcedure="false">{#N/A,#N/A,FALSE,"ACQ_GRAPHS";#N/A,#N/A,FALSE,"T_1 GRAPHS";#N/A,#N/A,FALSE,"T_2 GRAPHS";#N/A,#N/A,FALSE,"COMB_GRAPHS"}</definedName>
    <definedName function="false" hidden="true" name="wrn.handout." vbProcedure="false">{"quarterly",#N/A,FALSE,"Income Statement New CPB";"annual",#N/A,FALSE,"Income Statement New CPB";"cash flow",#N/A,FALSE,"Cash Flow";"balance",#N/A,FALSE,"Balance Sheet";"seg",#N/A,FALSE,"New Segment Breakout"}</definedName>
    <definedName function="false" hidden="true" name="wrn.HandTools." vbProcedure="false">{#N/A,"HandToolsTOTAL",FALSE,"P&amp;L";#N/A,"HandToolsUK",FALSE,"P&amp;L";#N/A,"HandToolsFrance",FALSE,"P&amp;L";#N/A,"HandToolsItaly",FALSE,"P&amp;L";#N/A,"HandToolsGermany",FALSE,"P&amp;L";#N/A,"HandToolsDenmark",FALSE,"P&amp;L";#N/A,"HandToolsSweden",FALSE,"P&amp;L";#N/A,"HandToolsFinland",FALSE,"P&amp;L";#N/A,"HandToolsBelgium",FALSE,"P&amp;L";#N/A,"HandToolsNetherlands",FALSE,"P&amp;L";#N/A,"HandToolsPoland",FALSE,"P&amp;L";#N/A,"HandToolsSouthAfrica",FALSE,"P&amp;L"}</definedName>
    <definedName function="false" hidden="true" name="wrn.HELIUM._.PRICING." vbProcedure="false">{"HELIUM PRICING",#N/A,FALSE,"HELIUM"}</definedName>
    <definedName function="false" hidden="true" name="wrn.HELIUM._.REVENUE." vbProcedure="false">{"HELIUM REVENUE",#N/A,FALSE,"HELIUM"}</definedName>
    <definedName function="false" hidden="true" name="wrn.HELIUM._.VOLUME." vbProcedure="false">{"HELIUM VOLUME",#N/A,FALSE,"HELIUM"}</definedName>
    <definedName function="false" hidden="true" name="wrn.HEW." vbProcedure="false">{#N/A,#N/A,FALSE,"Cover";#N/A,#N/A,FALSE,"Sensit";#N/A,#N/A,FALSE,"HEW";#N/A,#N/A,FALSE,"Bilanz";#N/A,#N/A,FALSE,"Aufbringung";#N/A,#N/A,FALSE,"Absatz";#N/A,#N/A,FALSE,"Durchleitung";#N/A,#N/A,FALSE,"Konzession";#N/A,#N/A,FALSE,"Personal";#N/A,#N/A,FALSE,"WC ";#N/A,#N/A,FALSE,"Capex Deprec ";#N/A,#N/A,FALSE,"Steuern";#N/A,#N/A,FALSE," Rente";#N/A,#N/A,FALSE," EBITDA"}</definedName>
    <definedName function="false" hidden="true" name="wrn.HGW." vbProcedure="false">{#N/A,#N/A,FALSE,"Cover";#N/A,#N/A,FALSE,"Gas";#N/A,#N/A,FALSE,"Umsatz";#N/A,#N/A,FALSE,"Kosten";#N/A,#N/A,FALSE,"Capex Deprec";#N/A,#N/A,FALSE,"WC";#N/A,#N/A,FALSE,"Rückstellungen";#N/A,#N/A,FALSE,"Rente";#N/A,#N/A,FALSE,"EBITDA"}</definedName>
    <definedName function="false" hidden="true" name="wrn.Hipótesis._.B." vbProcedure="false">{#N/A,"Hipótesis B",FALSE,"desglose";#N/A,#N/A,FALSE,"p&amp;g";#N/A,#N/A,FALSE,"detallder+dob (B)";#N/A,#N/A,FALSE,"costotitulo(B)";#N/A,#N/A,FALSE,"costohora(B)"}</definedName>
    <definedName function="false" hidden="true" name="wrn.history." vbProcedure="false">{#N/A,#N/A,FALSE,"model"}</definedName>
    <definedName function="false" hidden="true" name="wrn.history2" vbProcedure="false">{#N/A,#N/A,FALSE,"model"}</definedName>
    <definedName function="false" hidden="true" name="wrn.histROIC." vbProcedure="false">{#N/A,#N/A,FALSE,"model"}</definedName>
    <definedName function="false" hidden="true" name="wrn.histROIC2" vbProcedure="false">{#N/A,#N/A,FALSE,"model"}</definedName>
    <definedName function="false" hidden="true" name="wrn.HRT." vbProcedure="false">{"HRT",#N/A,FALSE,"HRT"}</definedName>
    <definedName function="false" hidden="true" name="wrn.ICD." vbProcedure="false">{"ICD Details",#N/A,FALSE,"Current Yr";"ICD Details",#N/A,FALSE,"Budget";"ICD Details",#N/A,FALSE,"Prior Year"}</definedName>
    <definedName function="false" hidden="true" name="wrn.ICD._.Balance._.Sheet." vbProcedure="false">{#N/A,"ICD",FALSE,"BSHIST.XLS";#N/A,"DMU",FALSE,"BSHIST.XLS";#N/A,"METHYL",FALSE,"BSHIST.XLS";#N/A,"HIGHER",FALSE,"BSHIST.XLS";#N/A,"SPEC",FALSE,"BSHIST.XLS";#N/A,"DERIV",FALSE,"BSHIST.XLS";#N/A,"AMM",FALSE,"BSHIST.XLS";#N/A,"CVT",FALSE,"BSHIST.XLS";#N/A,"MEOH",FALSE,"BSHIST.XLS";#N/A,"PINTER",FALSE,"BSHIST.XLS";#N/A,"NEWVEN",FALSE,"BSHIST.XLS"}</definedName>
    <definedName function="false" hidden="true" name="wrn.ICSTMTS." vbProcedure="false">{#N/A,#N/A,FALSE,"SYN-15";#N/A,#N/A,FALSE,"BRC-37 ";#N/A,#N/A,FALSE,"EIND-39";#N/A,#N/A,FALSE,"BV-40";#N/A,#N/A,FALSE,"BELG-41";#N/A,#N/A,FALSE,"FRANCESA-42";#N/A,#N/A,FALSE,"GERMSA-43";#N/A,#N/A,FALSE,"AUSTR-45";#N/A,#N/A,FALSE,"ITALYSA-46";#N/A,#N/A,FALSE,"SAFRIC-48";#N/A,#N/A,FALSE,"SPAINSA-49";#N/A,#N/A,FALSE,"VITA-50";#N/A,#N/A,FALSE,"DAN-51";#N/A,#N/A,FALSE,"UK-52";#N/A,#N/A,FALSE,"SWITZ-53";#N/A,#N/A,FALSE,"LEBAN-54";#N/A,#N/A,FALSE,"FOURM-56";#N/A,#N/A,FALSE,"CARDIO-57";#N/A,#N/A,FALSE,"BRUSHQ-58";#N/A,#N/A,FALSE,"ISRAEL-59";#N/A,#N/A,FALSE,"VITAJAP-68";#N/A,#N/A,FALSE,"CHWFOE-69";#N/A,#N/A,FALSE,"HK-70";#N/A,#N/A,FALSE,"AUSTRL-71";#N/A,#N/A,FALSE,"JAP-72";#N/A,#N/A,FALSE,"BIOTEC-73";#N/A,#N/A,FALSE,"IND-76";#N/A,#N/A,FALSE,"IND-76 (MAM)";#N/A,#N/A,FALSE,"DEN-77";#N/A,#N/A,FALSE,"NORW-78";#N/A,#N/A,FALSE,"SWED-79";#N/A,#N/A,FALSE,"VITASP-86";#N/A,#N/A,FALSE,"VITAGER-89";#N/A,#N/A,FALSE,"VITAFR-90";#N/A,#N/A,FALSE,"VITUK-91";#N/A,#N/A,FALSE,"EUR SA-97";#N/A,#N/A,FALSE,"MDTRNC-99"}</definedName>
    <definedName function="false" hidden="true" name="wrn.imp." vbProcedure="false">{"vue1",#N/A,FALSE,"synthese";"vue2",#N/A,FALSE,"synthese"}</definedName>
    <definedName function="false" hidden="true" name="wrn.imp.2" vbProcedure="false">{"vue1",#N/A,FALSE,"synthese";"vue2",#N/A,FALSE,"synthese"}</definedName>
    <definedName function="false" hidden="true" name="wrn.imp.3" vbProcedure="false">{"vue1",#N/A,FALSE,"synthese";"vue2",#N/A,FALSE,"synthese"}</definedName>
    <definedName function="false" hidden="true" name="wrn.IMPRESION." vbProcedure="false">{#N/A,#N/A,FALSE,"Hoja1";#N/A,#N/A,FALSE,"Hoja2"}</definedName>
    <definedName function="false" hidden="true" name="wrn.Impression._.globale." vbProcedure="false">{#N/A,#N/A,TRUE,"Summary";#N/A,#N/A,TRUE,"Assumptions";#N/A,#N/A,TRUE,"Economic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function="false" hidden="true" name="wrn.Income." vbProcedure="false">{#N/A,#N/A,TRUE,"Income";#N/A,#N/A,TRUE,"IncomeDetail";#N/A,#N/A,TRUE,"Balance";#N/A,#N/A,TRUE,"BalDetail"}</definedName>
    <definedName function="false" hidden="true" name="wrn.income._.statement." vbProcedure="false">{"income statement",#N/A,FALSE,"ATLAS-A"}</definedName>
    <definedName function="false" hidden="true" name="wrn.incomestmt." vbProcedure="false">{"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function="false" hidden="true" name="wrn.Indic1." vbProcedure="false">{#N/A,#N/A,TRUE,"Tx change";#N/A,#N/A,TRUE,"Amont";#N/A,#N/A,TRUE,"Amont 2";#N/A,#N/A,TRUE,"Elevage";#N/A,#N/A,TRUE,"Vendas MI";#N/A,#N/A,TRUE,"Vendas ME";#N/A,#N/A,TRUE,"Graf Stocks";#N/A,#N/A,TRUE,"Stocks";#N/A,#N/A,TRUE,"Graf Dias Stock";#N/A,#N/A,TRUE,"Rend 75 80";#N/A,#N/A,TRUE,"Rend 90 100";#N/A,#N/A,TRUE,"Effectifs";#N/A,#N/A,TRUE,"prod atividade"}</definedName>
    <definedName function="false" hidden="true" name="wrn.Industry.xls." vbProcedure="false">{#N/A,#N/A,FALSE,"Earnings";#N/A,#N/A,FALSE,"Overview";#N/A,#N/A,FALSE,"Summary";#N/A,#N/A,FALSE,"Summary II";#N/A,#N/A,FALSE,"R&amp;D";#N/A,#N/A,FALSE,"R&amp;D Forecast";#N/A,#N/A,FALSE,"Tax Adj";#N/A,#N/A,FALSE,"Goodwill";#N/A,#N/A,FALSE,"FX ";#N/A,#N/A,FALSE,"Consolidation";#N/A,#N/A,FALSE,"Provisions"}</definedName>
    <definedName function="false" hidden="true" name="wrn.Infectious._.Diseases." vbProcedure="false">{#N/A,#N/A,FALSE,"Anti";#N/A,#N/A,FALSE,"Cefa";#N/A,#N/A,FALSE,"Ceph";#N/A,#N/A,FALSE,"Cefp";#N/A,#N/A,FALSE,"Cefe";#N/A,#N/A,FALSE,"Pens";#N/A,#N/A,FALSE,"Ampi";#N/A,#N/A,FALSE,"Amox";#N/A,#N/A,FALSE,"Isox";#N/A,#N/A,FALSE,"Aztr";#N/A,#N/A,FALSE,"Videx";#N/A,#N/A,FALSE,"Zerit"}</definedName>
    <definedName function="false" hidden="true" name="wrn.Informes." vbProcedure="false">{#N/A,#N/A,FALSE,"CN Oficial RESUMIDA EXCanon";#N/A,#N/A,FALSE,"CN Oficial";#N/A,#N/A,FALSE,"CA Oficial";#N/A,#N/A,FALSE,"PLANTILLA";#N/A,#N/A,FALSE,"BAL";#N/A,#N/A,FALSE,"PT_Finanzas";#N/A,#N/A,FALSE,"INVERSIONES BIEN"}</definedName>
    <definedName function="false" hidden="tru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name="wrn.international." vbProcedure="false">{"sweden",#N/A,FALSE,"Sweden";"germany",#N/A,FALSE,"Germany";"portugal",#N/A,FALSE,"Portugal";"belgium",#N/A,FALSE,"Belgium";"japan",#N/A,FALSE,"Japan ";"italy",#N/A,FALSE,"Italy";"spain",#N/A,FALSE,"Spain";"korea",#N/A,FALSE,"Korea"}</definedName>
    <definedName function="false" hidden="true" name="wrn.Intérêts._.Mai._.95." vbProcedure="false">{#N/A,#N/A,FALSE,"Intérêts emprunts C.Epargne";#N/A,#N/A,FALSE,"Intérêts emprunts Cie de Suez";#N/A,#N/A,FALSE,"Intérêts emprunts Stés Groupe";#N/A,#N/A,FALSE,"Intérêts prêts Cie de Suez";#N/A,#N/A,FALSE,"Intérêts prêts Stés Groupe";#N/A,#N/A,FALSE,"Intérêts émiss° ISP BT in fine";#N/A,#N/A,FALSE,"Intérêts émiss°ISP BT pcptés";#N/A,#N/A,FALSE,"Intérêts émiss°CPR BT pcptés";#N/A,#N/A,FALSE,"Intérêts souscription TCN";#N/A,#N/A,FALSE,"Intérêts souscript°MTN mandat";#N/A,#N/A,FALSE,"Intérêts souscript°MTN"}</definedName>
    <definedName function="false" hidden="true" name="wrn.Inventories." vbProcedure="false">{#N/A,#N/A,FALSE,"Presentation by Unit";#N/A,#N/A,FALSE,"Presentation by BD";#N/A,#N/A,FALSE,"Presentation Split by Biggest U";#N/A,#N/A,FALSE,"Presentation Split by Area";#N/A,#N/A,FALSE,"Presentation Split by BD"}</definedName>
    <definedName function="false" hidden="true" name="wrn.ireland" vbProcedure="false">{"Pound Sterling",#N/A,TRUE,"PPD";"Pound Sterling",#N/A,TRUE,"Anaquest";"Pound Sterling",#N/A,TRUE,"Delta";"Pound Sterling",#N/A,TRUE,"INO"}</definedName>
    <definedName function="false" hidden="true" name="wrn.IS._.DETAIL._.ALL." vbProcedure="false">{"is detail ww",#N/A,FALSE,"IS DETAIL";"is detail other",#N/A,FALSE,"IS DETAIL";"is detail ex",#N/A,FALSE,"IS DETAIL";"is detail us",#N/A,FALSE,"IS DETAIL"}</definedName>
    <definedName function="false" hidden="true" name="wrn.IS._.DETAIL._.EX._.US." vbProcedure="false">{"is detail ex",#N/A,FALSE,"IS DETAIL"}</definedName>
    <definedName function="false" hidden="true" name="wrn.IS._.DETAIL._.OTHER." vbProcedure="false">{"is detail other",#N/A,FALSE,"IS DETAIL"}</definedName>
    <definedName function="false" hidden="true" name="wrn.IS._.DETAIL._.US." vbProcedure="false">{"is detail us",#N/A,FALSE,"IS DETAIL"}</definedName>
    <definedName function="false" hidden="true" name="wrn.IS._.DETAIL._.WW." vbProcedure="false">{"is detail ww",#N/A,FALSE,"IS DETAIL"}</definedName>
    <definedName function="false" hidden="true" name="wrn.IS._.Monthly._.US._.At._.Current." vbProcedure="false">{"Monthly IS At Current ER",#N/A,FALSE,"Mthly IS"}</definedName>
    <definedName function="false" hidden="true" name="wrn.IS._.SUMMARY._.ALL." vbProcedure="false">{"is sum ww",#N/A,FALSE,"IS SUM";"is sum other",#N/A,FALSE,"IS SUM";"is sum ex",#N/A,FALSE,"IS SUM";"is sum us",#N/A,FALSE,"IS SUM"}</definedName>
    <definedName function="false" hidden="true" name="wrn.IS._.SUMMARY._.EX._.US." vbProcedure="false">{"is sum ex",#N/A,FALSE,"IS SUM"}</definedName>
    <definedName function="false" hidden="true" name="wrn.IS._.SUMMARY._.OTHER." vbProcedure="false">{"is sum other",#N/A,FALSE,"IS SUM"}</definedName>
    <definedName function="false" hidden="true" name="wrn.IS._.SUMMARY._.US." vbProcedure="false">{"is sum us",#N/A,FALSE,"IS SUM"}</definedName>
    <definedName function="false" hidden="true" name="wrn.IS._.SUMMARY._.WW." vbProcedure="false">{"is sum ww",#N/A,FALSE,"IS SUM"}</definedName>
    <definedName function="false" hidden="true" name="wrn.ISRAEL." vbProcedure="false">{#N/A,#N/A,FALSE,"TECH CENTRE RXDU66";#N/A,#N/A,FALSE,"ASU VAAX66";#N/A,#N/A,FALSE,"TCM VAKX66"}</definedName>
    <definedName function="false" hidden="true" name="wrn.Italy." vbProcedure="false">{#N/A,#N/A,FALSE,"Italy";#N/A,#N/A,FALSE,"Aperol Italy";#N/A,#N/A,FALSE,"Aperol Soda Italy";#N/A,#N/A,FALSE,"Spumanti";#N/A,#N/A,FALSE,"Barbieri Liqueur Italy";#N/A,#N/A,FALSE,"Others Italy"}</definedName>
    <definedName function="false" hidden="true" name="wrn.JG._.FE._.Dollar." vbProcedure="false">{"JG FE Top",#N/A,FALSE,"JG FE $";"JG FE Bottom",#N/A,FALSE,"JG FE $"}</definedName>
    <definedName function="false" hidden="true" name="wrn.JG._.FE._.Yen." vbProcedure="false">{"JG FE Top",#N/A,FALSE,"JG FE ¥";"JG FE Bottom",#N/A,FALSE,"JG FE ¥"}</definedName>
    <definedName function="false" hidden="true" name="wrn.JOGO_CONSOLIDADO." vbProcedure="false">{#N/A,#N/A,TRUE,"Consolidado";#N/A,#N/A,TRUE,"Laticínios";#N/A,#N/A,TRUE,"Frangos";#N/A,#N/A,TRUE,"Suínos";#N/A,#N/A,TRUE,"Peru";#N/A,#N/A,TRUE,"Carnes";#N/A,#N/A,TRUE,"Suco";#N/A,#N/A,TRUE,"Batata"}</definedName>
    <definedName function="false" hidden="true" name="wrn.Joseph._.format." vbProcedure="false">{#N/A,#N/A,FALSE,"Summary";#N/A,#N/A,FALSE,"structure";#N/A,#N/A,FALSE,"o bal sheet";#N/A,#N/A,FALSE,"input info";#N/A,#N/A,FALSE,"p and l";#N/A,#N/A,FALSE,"cashflow";#N/A,#N/A,FALSE,"bal sheet";#N/A,#N/A,FALSE,"ratios";#N/A,#N/A,FALSE,"returns";#N/A,#N/A,FALSE,"Tax Comps";#N/A,#N/A,FALSE,"Detailed P&amp;L"}</definedName>
    <definedName function="false" hidden="true" name="wrn.KKW." vbProcedure="false">{#N/A,#N/A,FALSE,"Cover";#N/A,#N/A,FALSE,"KKW Sum";#N/A,#N/A,FALSE,"KKW Basisdaten";#N/A,#N/A,FALSE,"DEPRKKW";#N/A,#N/A,FALSE,"Krü";#N/A,#N/A,FALSE,"Bru";#N/A,#N/A,FALSE,"Bro";#N/A,#N/A,FALSE,"Sta"}</definedName>
    <definedName function="false" hidden="true" name="wrn.KostenPlan1997." vbProcedure="false">{#N/A,#N/A,FALSE,"Kosten97FZallein";#N/A,#N/A,FALSE,"Ko97EinzelFZ"}</definedName>
    <definedName function="false" hidden="true" name="wrn.LA._.SA." vbProcedure="false">{"PnL",#N/A,FALSE,"Gas LA SA P&amp;L";"Responsibility",#N/A,FALSE,"Gas LA SA P&amp;L";"Cost Control",#N/A,FALSE,"Gas LA SA P&amp;L";"Program List",#N/A,FALSE,"Gas LA SA P&amp;L"}</definedName>
    <definedName function="false" hidden="true" name="wrn.lbo." vbProcedure="false">{"a",#N/A,FALSE,"LBO - 100%, No Sales";"aa",#N/A,FALSE,"LBO - 100%, No Sales";"aaa",#N/A,FALSE,"LBO - 100%, No Sales";"aaaa",#N/A,FALSE,"LBO - 100%, No Sales";"aaaaa",#N/A,FALSE,"LBO - 100%, No Sales";"aaaaaa",#N/A,FALSE,"LBO - 100%, No Sales";"aaaaaaa",#N/A,FALSE,"LBO - 100%, No Sales";"aaaaaaaa",#N/A,FALSE,"LBO - 100%, No Sales"}</definedName>
    <definedName function="false" hidden="true" name="wrn.LBO._.Summary." vbProcedure="false">{"LBO Summary",#N/A,FALSE,"Summary"}</definedName>
    <definedName function="false" hidden="true" name="wrn.lbo2." vbProcedure="false">{"a",#N/A,FALSE,"LBO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function="false" hidden="true" name="wrn.lbo3." vbProcedure="false">{"a",#N/A,FALSE,"LBO - 100%, Sell C,CT 98......";"aa",#N/A,FALSE,"LBO - 100%, Sell C,CT 98......";"aaa",#N/A,FALSE,"LBO - 100%, Sell C,CT 98......";"aaaa",#N/A,FALSE,"LBO - 100%, Sell C,CT 98......";"aaaaa",#N/A,FALSE,"LBO - 100%, Sell C,CT 98......";"aaaaaa",#N/A,FALSE,"LBO - 100%, Sell C,CT 98......"}</definedName>
    <definedName function="false" hidden="true" name="wrn.Lewers." vbProcedure="false">{#N/A,#N/A,FALSE,"Assumps";#N/A,#N/A,FALSE,"Summary3";#N/A,#N/A,FALSE,"Owned";#N/A,#N/A,FALSE,"Ewa";#N/A,#N/A,FALSE,"Waikiki";#N/A,#N/A,FALSE,"Reef";#N/A,#N/A,FALSE,"Kuhio";#N/A,#N/A,FALSE,"East";#N/A,#N/A,FALSE,"West";#N/A,#N/A,FALSE,"Islander_Waikiki";#N/A,#N/A,FALSE,"Surf";#N/A,#N/A,FALSE,"Ala_Wai";#N/A,#N/A,FALSE,"Reef_Towers";#N/A,#N/A,FALSE,"Waikiki_Tower";#N/A,#N/A,FALSE,"Edgewater";#N/A,#N/A,FALSE,"Village";#N/A,#N/A,FALSE,"Coral_Seas";#N/A,#N/A,FALSE,"Reef_Lanais";#N/A,#N/A,FALSE,"Royal";#N/A,#N/A,FALSE,"Retail";#N/A,#N/A,FALSE,"Retail2";#N/A,#N/A,FALSE,"Parking";#N/A,#N/A,FALSE,"Manage";#N/A,#N/A,FALSE,"Manback";#N/A,#N/A,FALSE,"Invest";#N/A,#N/A,FALSE,"Commercial";#N/A,#N/A,FALSE,"Dev"}</definedName>
    <definedName function="false" hidden="true" name="wrn.LewersII." vbProcedure="false">{#N/A,#N/A,FALSE,"Assumps";#N/A,#N/A,FALSE,"Owned";#N/A,#N/A,FALSE,"Retail";#N/A,#N/A,FALSE,"Retail2";#N/A,#N/A,FALSE,"Parking";#N/A,#N/A,FALSE,"Manage";#N/A,#N/A,FALSE,"Manback";#N/A,#N/A,FALSE,"Invest";#N/A,#N/A,FALSE,"Commercial"}</definedName>
    <definedName function="false" hidden="true" name="wrn.lh97." vbProcedure="false">{"RETRO",#N/A,FALSE,"Ret";"retro",#N/A,FALSE,"Ret_RO";"retp",#N/A,FALSE,"Ret_P";"livro",#N/A,FALSE,"Livr_RO";"livp",#N/A,FALSE,"Livr_P";"puro",#N/A,FALSE,"Pu_RO";"pup",#N/A,FALSE,"Pu_P";"stocro",#N/A,FALSE,"Stock_RO";"stocp",#N/A,FALSE,"Stock_P";"vitro",#N/A,FALSE,"Vitr-RO";"vitp",#N/A,FALSE,"Vitr-P";"destro",#N/A,FALSE,"Dest_RO";"destp",#N/A,FALSE,"Dest_P"}</definedName>
    <definedName function="false" hidden="true" name="wrn.Limbach." vbProcedure="false">{#N/A,#N/A,FALSE,"Budget 2001-2002 (2)"}</definedName>
    <definedName function="false" hidden="true" name="wrn.Line._.Efficiency." vbProcedure="false">{"Line Efficiency",#N/A,FALSE,"Benchmarking"}</definedName>
    <definedName function="false" hidden="true" name="wrn.LIST." vbProcedure="false">{#N/A,#N/A,FALSE,"a"}</definedName>
    <definedName function="false" hidden="true" name="wrn.LJD._.Review._.1." vbProcedure="false">{"LJD 1",#N/A,FALSE,"Master";"LJD 2",#N/A,FALSE,"Sheet2";"LJD 3",#N/A,FALSE,"Sheet1";"LJD 4",#N/A,FALSE,"Sheet3";"LJD 5",#N/A,FALSE,"Sheet4"}</definedName>
    <definedName function="false" hidden="true" name="wrn.LPNL." vbProcedure="false">{"LPNL1",#N/A,FALSE,"EntitiesWithReclasses";"LPNL2",#N/A,FALSE,"EntitiesWithReclasses";"LPNL3",#N/A,FALSE,"EntitiesWithReclasses"}</definedName>
    <definedName function="false" hidden="true" name="wrn.Mac._.Tools._.Europe." vbProcedure="false">{#N/A,"MacTools Europe",FALSE,"P&amp;L"}</definedName>
    <definedName function="false" hidden="true" name="wrn.MANAGEMENT._.COSTS." vbProcedure="false">{"MANAGEMENT COSTS",#N/A,FALSE,"C.CENTRE"}</definedName>
    <definedName function="false" hidden="true" name="wrn.mario" vbProcedure="false">{"Area1",#N/A,TRUE,"Obiettivo";"Area2",#N/A,TRUE,"Dati per Direzione"}</definedName>
    <definedName function="false" hidden="true" name="wrn.Mario." vbProcedure="false">{"Area1",#N/A,TRUE,"Obiettivo";"Area2",#N/A,TRUE,"Dati per Direzione"}</definedName>
    <definedName function="false" hidden="true" name="wrn.market._.share."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wrn.MARKETING._.SUMMARY." vbProcedure="false">{"Marketing Summary",#N/A,FALSE,"Marketing Spending"}</definedName>
    <definedName function="false" hidden="true" name="wrn.Massimo."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wrn.Mechanics._.Tools._.Czech._.Rep." vbProcedure="false">{#N/A,"Mechanic Tools Czech",FALSE,"P&amp;L"}</definedName>
    <definedName function="false" hidden="true" name="wrn.MechTools." vbProcedure="false">{#N/A,"MacToolsTOTALexclZag",FALSE,"P&amp;L";#N/A,"MacToolsUK",FALSE,"P&amp;L";#N/A,"MacToolsCzech",FALSE,"P&amp;L";#N/A,"MacToolsZag",FALSE,"P&amp;L"}</definedName>
    <definedName function="false" hidden="true" name="wrn.memo." vbProcedure="false">{#N/A,#N/A,TRUE,"financial";#N/A,#N/A,TRUE,"plants"}</definedName>
    <definedName function="false" hidden="true" name="wrn.merger."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wrn.MERGER._.PLANS." vbProcedure="false">{"Assumptions1",#N/A,FALSE,"Assumptions";"MergerPlans1","20yearamort",FALSE,"MergerPlans";"MergerPlans1","40yearamort",FALSE,"MergerPlans";"MergerPlans2",#N/A,FALSE,"MergerPlans";"inputs",#N/A,FALSE,"MergerPlans"}</definedName>
    <definedName function="false" hidden="true" name="wrn.MF._.commentary._.on._.variance." vbProcedure="false">{"Commentary",#N/A,FALSE,"May"}</definedName>
    <definedName function="false" hidden="true" name="wrn.MF._.with._.BA._.detail." vbProcedure="false">{"BA detail",#N/A,FALSE,"Q3YTD "}</definedName>
    <definedName function="false" hidden="true" name="wrn.MHHD." vbProcedure="false">{#N/A,#N/A,FALSE,"MHHD_98LROP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function="false" hidden="true" name="wrn.mobile." vbProcedure="false">{#N/A,#N/A,FALSE,"Denmark";#N/A,#N/A,FALSE,"Denmark"}</definedName>
    <definedName function="false" hidden="true" name="wrn.model." vbProcedure="false">{"basic",#N/A,FALSE,"BASIC"}</definedName>
    <definedName function="false" hidden="true" name="wrn.Modello." vbProcedure="false">{#N/A,#N/A,TRUE,"Proposal";#N/A,#N/A,TRUE,"Assumptions";#N/A,#N/A,TRUE,"Net Income";#N/A,#N/A,TRUE,"Balsheet";#N/A,#N/A,TRUE,"Capex";#N/A,#N/A,TRUE,"Volumes";#N/A,#N/A,TRUE,"Revenues";#N/A,#N/A,TRUE,"Var.Costs";#N/A,#N/A,TRUE,"Personnel";#N/A,#N/A,TRUE,"Other costs";#N/A,#N/A,TRUE,"MKTG and G&amp;A"}</definedName>
    <definedName function="false" hidden="true" name="wrn.Monotherapy." vbProcedure="false">{"mono",#N/A,FALSE,"Mono-therapy"}</definedName>
    <definedName function="false" hidden="true" name="wrn.Monthly._.BS._.At._.Plan._.Exchange." vbProcedure="false">{"BS Monthly AT Plan ER",#N/A,FALSE,"Mthly BS"}</definedName>
    <definedName function="false" hidden="true" name="wrn.Monthly._.BS._.US._.At._.Current._.ER." vbProcedure="false">{"BS Monthly At Current ER",#N/A,FALSE,"Mthly BS"}</definedName>
    <definedName function="false" hidden="true" name="wrn.Monthly._.CF._.At._.US._.WA._.ER." vbProcedure="false">{"Monthly Cash Flow At WA ER",#N/A,FALSE,"Mthly CF"}</definedName>
    <definedName function="false" hidden="true" name="wrn.MONTHLY._.INVENTORY._.SCHEDULE." vbProcedure="false">{#N/A,#N/A,FALSE,"Sheet1";#N/A,#N/A,FALSE,"Sheet2";#N/A,#N/A,FALSE,"Sheet3";#N/A,#N/A,FALSE,"Sheet4";#N/A,#N/A,FALSE,"Sheet5";#N/A,#N/A,FALSE,"Sheet6"}</definedName>
    <definedName function="false" hidden="true" name="wrn.Monthly._.Report." vbProcedure="false">{#N/A,#N/A,FALSE,"Summary Page";#N/A,#N/A,FALSE,"Collections Listing";#N/A,#N/A,FALSE,"Lessee 60 days past due";#N/A,#N/A,FALSE,"Revenues--Lend Base JP Morgan";#N/A,#N/A,FALSE,"JP Morgan Debt Amort Schedule";#N/A,#N/A,FALSE,"Covenant Analysis"}</definedName>
    <definedName function="false" hidden="true" name="wrn.MTHLYGP." vbProcedure="false">{"TXO2N2_GP",#N/A,FALSE,"MTHLYGP";"TXH2_GP",#N/A,FALSE,"MTHLYGP";"LOUIS_GP",#N/A,FALSE,"MTHLYGP";"H2_GP",#N/A,FALSE,"MTHLYGP";"O2N2_GP",#N/A,FALSE,"MTHLYGP";"PACKAGE_GP",#N/A,FALSE,"MTHLYGP";"OTHER_GP",#N/A,FALSE,"MTHLYGP"}</definedName>
    <definedName function="false" hidden="true" name="wrn.MTHLYSLES." vbProcedure="false">{"TXO2N2_SLS",#N/A,FALSE,"MTHLYSLES";"TXH2_SLS",#N/A,FALSE,"MTHLYSLES";"LOUIS_SLS",#N/A,FALSE,"MTHLYSLES";"H2_SLS",#N/A,FALSE,"MTHLYSLES";"O2N2_SLS",#N/A,FALSE,"MTHLYSLES";"PACKAGE_SLS",#N/A,FALSE,"MTHLYSLES"}</definedName>
    <definedName function="false" hidden="true" name="wrn.MTHYLYVOL." vbProcedure="false">{"TEXO2N2_VOL",#N/A,FALSE,"MTHLYVOL";"TEXH2_VOL",#N/A,FALSE,"MTHLYVOL";"LOUIS_VOL",#N/A,FALSE,"MTHLYVOL";"H2_VOL",#N/A,FALSE,"MTHLYVOL";"O2N2_VOL",#N/A,FALSE,"MTHLYVOL";"PACKAGE_VOL",#N/A,FALSE,"MTHLYVOL"}</definedName>
    <definedName function="false" hidden="true" name="wrn.MVD." vbProcedure="false">{#N/A,#N/A,FALSE,"MVD_98LROP_Pl";#N/A,#N/A,FALSE,"MVD_98LROP_Sales";#N/A,#N/A,FALSE,"MVD LROP Product P+L";#N/A,#N/A,FALSE,"MVD R&amp;O's";#N/A,#N/A,FALSE,"MVD 98LROP Launches"}</definedName>
    <definedName function="false" hidden="true" name="wrn.NA._.Model._.T._.and._.B." vbProcedure="false">{"NA Top",#N/A,FALSE,"NA Model";"NA Bottom",#N/A,FALSE,"NA Model"}</definedName>
    <definedName function="false" hidden="true" name="wrn.NA_ULV._.Tand._.B." vbProcedure="false">{"NA Top",#N/A,FALSE,"NA-ULV";"NA Bottom",#N/A,FALSE,"NA-ULV"}</definedName>
    <definedName function="false" hidden="true" name="wrn.net." vbProcedure="false">{#N/A,#N/A,FALSE,"Res.2"}</definedName>
    <definedName function="false" hidden="true" name="wrn.NET._.TRADE._.SALES." vbProcedure="false">{"Net Trade Sales",#N/A,FALSE,"Net Trade Sales"}</definedName>
    <definedName function="false" hidden="true" name="wrn.net96PTC1" vbProcedure="false">{#N/A,#N/A,FALSE,"TAXC.INDEX";#N/A,#N/A,FALSE,"Schedule I";#N/A,#N/A,FALSE,"Schedule  II";#N/A,#N/A,FALSE,"Schedule III";#N/A,#N/A,FALSE,"Schedule IV";#N/A,#N/A,FALSE,"Schedule IV (Cont'd)";#N/A,#N/A,FALSE,"Schedule V";#N/A,#N/A,FALSE,"Schedule VI";#N/A,#N/A,FALSE,"Schedule VII"}</definedName>
    <definedName function="false" hidden="true" name="wrn.new96FS." vbProcedure="false">{#N/A,#N/A,FALSE,"CONTENTS";#N/A,#N/A,FALSE,"DR";#N/A,#N/A,FALSE,"PL";#N/A,#N/A,FALSE,"BS";#N/A,#N/A,FALSE,"Cash Flow";#N/A,#N/A,FALSE,"NOTES";#N/A,#N/A,FALSE,"NOTES (FA)";#N/A,#N/A,FALSE,"Notes(3)";#N/A,#N/A,FALSE,"NOTES (4)";#N/A,#N/A,FALSE,"DP&amp;L";#N/A,#N/A,FALSE,"EXPENSES";#N/A,#N/A,FALSE,"EXPENSES-1"}</definedName>
    <definedName function="false" hidden="true" name="wrn.new96FS1" vbProcedure="false">{#N/A,#N/A,FALSE,"CONTENTS";#N/A,#N/A,FALSE,"DR";#N/A,#N/A,FALSE,"PL";#N/A,#N/A,FALSE,"BS";#N/A,#N/A,FALSE,"Cash Flow";#N/A,#N/A,FALSE,"NOTES";#N/A,#N/A,FALSE,"NOTES (FA)";#N/A,#N/A,FALSE,"Notes(3)";#N/A,#N/A,FALSE,"NOTES (4)";#N/A,#N/A,FALSE,"DP&amp;L";#N/A,#N/A,FALSE,"EXPENSES";#N/A,#N/A,FALSE,"EXPENSES-1"}</definedName>
    <definedName function="false" hidden="true" name="wrn.new96PTC." vbProcedure="false">{#N/A,#N/A,FALSE,"TAXC.INDEX";#N/A,#N/A,FALSE,"Schedule I";#N/A,#N/A,FALSE,"Schedule  II";#N/A,#N/A,FALSE,"Schedule III";#N/A,#N/A,FALSE,"Schedule IV";#N/A,#N/A,FALSE,"Schedule IV (Cont'd)";#N/A,#N/A,FALSE,"Schedule V";#N/A,#N/A,FALSE,"Schedule VI";#N/A,#N/A,FALSE,"Schedule VII"}</definedName>
    <definedName function="false" hidden="true" name="wrn.newDEV." vbProcedure="false">{"cover",#N/A,TRUE,"Cover";"pnl_NEWDEV",#N/A,TRUE,"NewCaseDEV";"bil_NEWDEV",#N/A,TRUE,"NewCaseDEV";"tabfi_NEWDEV",#N/A,TRUE,"NewCaseDEV";"ratios_NEWDEV",#N/A,TRUE,"NewCaseDEV";"variab_NEWDEV",#N/A,TRUE,"NewCaseDEV";"inv_NEWDEV",#N/A,TRUE,"NewCaseDEV"}</definedName>
    <definedName function="false" hidden="true" name="wrn.newEUR." vbProcedure="false">{"cover",#N/A,TRUE,"Cover";"pnl_NEWEUR",#N/A,TRUE,"NewCaseEUR";"bil_NEWEUR",#N/A,TRUE,"NewCaseEUR";"tabfi_NEWEUR",#N/A,TRUE,"NewCaseEUR";"ratios_NEWEUR",#N/A,TRUE,"NewCaseEUR";"variab_NEWEUR",#N/A,TRUE,"NewCaseEUR";"inv_NEWEUR",#N/A,TRUE,"NewCaseEUR"}</definedName>
    <definedName function="false" hidden="true" name="wrn.NewRept.xls." vbProcedure="false">{#N/A,#N/A,TRUE,"Sheet1";#N/A,#N/A,TRUE,"Sheet2";#N/A,#N/A,TRUE,"Sheet3";#N/A,#N/A,TRUE,"Sheet4";#N/A,#N/A,TRUE,"Sheet5";#N/A,#N/A,TRUE,"Sheet6";#N/A,#N/A,TRUE,"Sheet7"}</definedName>
    <definedName function="false" hidden="true" name="wrn.Nico." vbProcedure="false">{#N/A,#N/A,TRUE,"Cover";#N/A,#N/A,TRUE,"Transaction Summary";#N/A,#N/A,TRUE,"Earnings Impact";#N/A,#N/A,TRUE,"accretion dilution"}</definedName>
    <definedName function="false" hidden="true" name="wrn.Non._.Div._.Balance._.Sheet." vbProcedure="false">{#N/A,"NONDV",FALSE,"BSHIST.XLS"}</definedName>
    <definedName function="false" hidden="true" name="wrn.NonOperating." vbProcedure="false">{#N/A,"NonOperTOTAL",FALSE,"P&amp;L";#N/A,"NonOperBrussels",FALSE,"P&amp;L";#N/A,"NonOperUKdistrib",FALSE,"P&amp;L"}</definedName>
    <definedName function="false" hidden="true" name="wrn.Normal." vbProcedure="false">{#N/A,#N/A,FALSE,"Market Values I";#N/A,#N/A,FALSE,"Market Values II";#N/A,#N/A,FALSE,"DT Shareholding";#N/A,#N/A,FALSE,"Purchase of Sprint1";#N/A,#N/A,FALSE,"Purchase of Sprint2";#N/A,#N/A,FALSE,"Financial Impact1";#N/A,#N/A,FALSE,"Financial Impact2";#N/A,#N/A,FALSE,"Financial Impact3";#N/A,#N/A,FALSE,"Flowback"}</definedName>
    <definedName function="false" hidden="true" name="wrn.North._.America." vbProcedure="false">{"PnL",#N/A,FALSE,"Gas NA P&amp;L";"Responsibility",#N/A,FALSE,"Gas NA P&amp;L";"Cost Control",#N/A,FALSE,"Gas NA P&amp;L";"Program List",#N/A,FALSE,"Gas NA P&amp;L"}</definedName>
    <definedName function="false" hidden="true" name="wrn.North._.America._.Set." vbProcedure="false">{"NA Is w Ratios",#N/A,FALSE,"North America";"PF CFlow NA",#N/A,FALSE,"North America";"NA DCF Matrix",#N/A,FALSE,"North America"}</definedName>
    <definedName function="false" hidden="true" name="wrn.Northern." vbProcedure="false">{#N/A,"HTgermany",FALSE,"P&amp;L";#N/A,"DTfriess",FALSE,"P&amp;L";#N/A,"HTswitzerland",FALSE,"P&amp;L";#N/A,"DTswitzerland",FALSE,"P&amp;L";#N/A,"HTbelgium",FALSE,"P&amp;L";#N/A,"HTholland",FALSE,"P&amp;L";#N/A,"HTdenmark",FALSE,"P&amp;L";#N/A,"HTfinland",FALSE,"P&amp;L"}</definedName>
    <definedName function="false" hidden="true" name="wrn.NPD._.Summary._.Report." vbProcedure="false">{#N/A,#N/A,FALSE,"Proj Cost";#N/A,#N/A,FALSE,"Fair Scenario";#N/A,#N/A,FALSE,"Wonderful Scenario";#N/A,#N/A,FALSE,"Awful Scenario"}</definedName>
    <definedName function="false" hidden="true" name="wrn.NPV._.Matrix." vbProcedure="false">{"NPV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function="false" hidden="true" name="wrn.ntfinance." vbProcedure="false">{"Rate",#N/A,TRUE,"SUMMARY";"Ratios",#N/A,TRUE,"Ratios";"BUDGETREVENUE",#N/A,TRUE,"Revenue";"TOTALS",#N/A,TRUE,"DETAIL"}</definedName>
    <definedName function="false" hidden="true" name="wrn.oct_res_comm." vbProcedure="false">{"oct_res_comm",#N/A,FALSE,"VarToBud"}</definedName>
    <definedName function="false" hidden="true" name="wrn.OEE._.analg._.nord." vbProcedure="false">{"OEE OAP",#N/A,FALSE,"oap";"OEE APAP",#N/A,FALSE,"apap";"OEE nitros",#N/A,FALSE,"nitros"}</definedName>
    <definedName function="false" hidden="true" name="wrn.OEE._.analg._.nord.1" vbProcedure="false">{"OEE OAP",#N/A,FALSE,"oap";"OEE APAP",#N/A,FALSE,"apap";"OEE nitros",#N/A,FALSE,"nitros"}</definedName>
    <definedName function="false" hidden="true" name="wrn.Oncology." vbProcedure="false">{#N/A,#N/A,FALSE,"Onco";#N/A,#N/A,FALSE,"Taxol";#N/A,#N/A,FALSE,"UFT";#N/A,#N/A,FALSE,"Carb"}</definedName>
    <definedName function="false" hidden="true" name="wrn.OPC." vbProcedure="false">{#N/A,#N/A,FALSE,"Duran"}</definedName>
    <definedName function="false" hidden="true" name="wrn.Ordered._.packet." vbProcedure="false">{"PnL",#N/A,FALSE,"Total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function="false" hidden="true" name="wrn.OTC._.Market._.Report." vbProcedure="false">{#N/A,#N/A,FALSE,"Sales Graph";#N/A,#N/A,FALSE,"BUC Graph";#N/A,#N/A,FALSE,"P&amp;L - YTD"}</definedName>
    <definedName function="false" hidden="true" name="wrn.OTHER._.ADMIN._.COSTS." vbProcedure="false">{"OTHER ADMIN COSTS",#N/A,FALSE,"C.CENTRE"}</definedName>
    <definedName function="false" hidden="true" name="wrn.Other._.Pharm." vbProcedure="false">{#N/A,#N/A,FALSE,"Other";#N/A,#N/A,FALSE,"Ace";#N/A,#N/A,FALSE,"Derm"}</definedName>
    <definedName function="false" hidden="true" name="wrn.OTHER._.REVENUE." vbProcedure="false">{"OTHER REVENUE",#N/A,FALSE,"OTHERS"}</definedName>
    <definedName function="false" hidden="true" name="wrn.Outlook._.for._.US._.Domestic._.Paging." vbProcedure="false">{"Yearend_units",#N/A,TRUE,"Paging";"Unit_growth",#N/A,TRUE,"Paging";"Yearend_nationwide_units",#N/A,TRUE,"Paging";"nationwide_growth",#N/A,TRUE,"Paging";"ARPU",#N/A,TRUE,"Paging";"paging_industry_revenues",#N/A,TRUE,"Paging";"paging_net_add_breakdown",#N/A,TRUE,"Paging";"paging_churn",#N/A,TRUE,"Paging";"paging_gross_adds",#N/A,TRUE,"Paging"}</definedName>
    <definedName function="false" hidden="true"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name="wrn.OUTPUT._from_AB" vbProcedure="false">{"DCF","UPSIDE CASE",FALSE,"Sheet1";"DCF","BASE CASE",FALSE,"Sheet1";"DCF","DOWNSIDE CASE",FALSE,"Sheet1"}</definedName>
    <definedName function="false" hidden="true" name="wrn.OUTPUT._from_DBAB" vbProcedure="false">{"DCF","UPSIDE CASE",FALSE,"Sheet1";"DCF","BASE CASE",FALSE,"Sheet1";"DCF","DOWNSIDE CASE",FALSE,"Sheet1"}</definedName>
    <definedName function="false" hidden="true" name="wrn.p" vbProcedure="false">{#N/A,#N/A,FALSE,"1";#N/A,#N/A,FALSE,"2";#N/A,#N/A,FALSE,"16 - 17";#N/A,#N/A,FALSE,"18 - 19";#N/A,#N/A,FALSE,"26";#N/A,#N/A,FALSE,"27";#N/A,#N/A,FALSE,"28"}</definedName>
    <definedName function="false" hidden="true" name="wrn.page57to67." vbProcedure="false">{#N/A,#N/A,FALSE,"57";#N/A,#N/A,FALSE,"58";#N/A,#N/A,FALSE,"59";#N/A,#N/A,FALSE,"60";#N/A,#N/A,FALSE,"60A";#N/A,#N/A,FALSE,"61";#N/A,#N/A,FALSE,"62";#N/A,#N/A,FALSE,"63";#N/A,#N/A,FALSE,"63A";#N/A,#N/A,FALSE,"64";#N/A,#N/A,FALSE,"65";#N/A,#N/A,FALSE,"66";#N/A,#N/A,FALSE,"67"}</definedName>
    <definedName function="false" hidden="true" name="wrn.Pages._.28._.to._.50." vbProcedure="false">{#N/A,#N/A,FALSE,"28";#N/A,#N/A,FALSE,"29";#N/A,#N/A,FALSE,"30";#N/A,#N/A,FALSE,"31";#N/A,#N/A,FALSE,"32";#N/A,#N/A,FALSE,"33";#N/A,#N/A,FALSE,"34";#N/A,#N/A,FALSE,"35";#N/A,#N/A,FALSE,"36";#N/A,#N/A,FALSE,"37";#N/A,#N/A,FALSE,"38";#N/A,#N/A,FALSE,"39";#N/A,#N/A,FALSE,"40";#N/A,#N/A,FALSE,"41";#N/A,#N/A,FALSE,"42";#N/A,#N/A,FALSE,"43";#N/A,#N/A,FALSE,"44";#N/A,#N/A,FALSE,"45";#N/A,#N/A,FALSE,"46";#N/A,#N/A,FALSE,"47";#N/A,#N/A,FALSE,"48";#N/A,#N/A,FALSE,"49";#N/A,#N/A,FALSE,"50"}</definedName>
    <definedName function="false" hidden="true" name="wrn.Pages._.51._.to._.66." vbProcedure="false">{#N/A,#N/A,FALSE,"51";#N/A,#N/A,FALSE,"52";#N/A,#N/A,FALSE,"53";#N/A,#N/A,FALSE,"54";#N/A,#N/A,FALSE,"55";#N/A,#N/A,FALSE,"55A";#N/A,#N/A,FALSE,"56";#N/A,#N/A,FALSE,"57";#N/A,#N/A,FALSE,"57A";#N/A,#N/A,FALSE,"58";#N/A,#N/A,FALSE,"59";#N/A,#N/A,FALSE,"60";#N/A,#N/A,FALSE,"60A";#N/A,#N/A,FALSE,"61";#N/A,#N/A,FALSE,"62";#N/A,#N/A,FALSE,"63";#N/A,#N/A,FALSE,"63A";#N/A,#N/A,FALSE,"64";#N/A,#N/A,FALSE,"65";#N/A,#N/A,FALSE,"66"}</definedName>
    <definedName function="false" hidden="true" name="wrn.pages._.88._.to._.end." vbProcedure="false">{#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function="false" hidden="true" name="wrn.PandLs." vbProcedure="false">{"Plants",#N/A,FALSE,"Plants";"Summary",#N/A,FALSE,"Summary";"Calvert",#N/A,FALSE,"Calvert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function="false" hidden="true" name="wrn.PAYBACK." vbProcedure="false">{"payback",#N/A,FALSE,"TV_Payback"}</definedName>
    <definedName function="false" hidden="true" name="wrn.PBIT_DEV."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wrn.Penn._.PSC._.part._.1." vbProcedure="false">{#N/A,#N/A,FALSE,"Cover";#N/A,#N/A,FALSE,"Index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function="false" hidden="true" name="wrn.Penn._.PSC._.part._.2." vbProcedure="false">{#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function="false" hidden="true" name="wrn.Performance." vbProcedure="false">{"Performance Details",#N/A,FALSE,"Current Yr";"Performance Details",#N/A,FALSE,"Budget";"Performance Details",#N/A,FALSE,"Prior Year"}</definedName>
    <definedName function="false" hidden="true" name="wrn.perimeter._.comp." vbProcedure="false">{#N/A,#N/A,TRUE,"comp";#N/A,#N/A,TRUE,"notes"}</definedName>
    <definedName function="false" hidden="true" name="wrn.PFDBalance._.Sheet." vbProcedure="false">{#N/A,"PURPER",FALSE,"BSHIST.XLS";#N/A,"PURADD",FALSE,"BSHIST.XLS";#N/A,"PURSPP",FALSE,"BSHIST.XLS";#N/A,"CTGIND",FALSE,"BSHIST.XLS";#N/A,"ANCHOR",FALSE,"BSHIST.XLS";#N/A,"SPADD",FALSE,"BSHIST.XLS"}</definedName>
    <definedName function="false" hidden="true" name="wrn.PGtotals." vbProcedure="false">{#N/A,"CoreEurope",FALSE,"P&amp;L";#N/A,"HandToolsTOTAL",FALSE,"P&amp;L";#N/A,"DecoToolsTOTAL",FALSE,"P&amp;L";#N/A,"ZAGwoIsraelTOTAL",FALSE,"P&amp;L";#N/A,"FasteningTOTAL",FALSE,"P&amp;L";#N/A,"AssemblyTechTOTAL",FALSE,"P&amp;L";#N/A,"MacUK",FALSE,"P&amp;L";#N/A,"Tona",FALSE,"P&amp;L"}</definedName>
    <definedName function="false" hidden="true" name="wrn.Pharm._.Market._.Report." vbProcedure="false">{#N/A,#N/A,FALSE,"Sales Graph";#N/A,#N/A,FALSE,"PSBM";#N/A,#N/A,FALSE,"BUC Graph";#N/A,#N/A,FALSE,"P&amp;L - YTD"}</definedName>
    <definedName function="false" hidden="true" name="wrn.Pharmaceuticals."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wrn.Pianocomp." vbProcedure="false">{"page_1",#N/A,TRUE,"Sheet1";"page_2",#N/A,TRUE,"Sheet1";"page_notes",#N/A,TRUE,"Sheet1"}</definedName>
    <definedName function="false" hidden="true" name="wrn.Plan." vbProcedure="false">{#N/A,#N/A,FALSE,"Data Entry";#N/A,#N/A,FALSE,"Projected Sales $'s";#N/A,#N/A,FALSE,"Financial Sum";#N/A,#N/A,FALSE,"Profit Margins";#N/A,#N/A,FALSE,"Con His &amp; Proj Fin Data";#N/A,#N/A,FALSE,"Con His Bal Shts";#N/A,#N/A,FALSE,"Fin Sum CMI";#N/A,#N/A,FALSE,"Working Capital";#N/A,#N/A,FALSE,"Projected Sales Units"}</definedName>
    <definedName function="false" hidden="true" name="wrn.Plandurchsprache._.97." vbProcedure="false">{#N/A,#N/A,TRUE,"Kosten97FZallein";#N/A,#N/A,TRUE,"Ko97EinzelFZ";#N/A,#N/A,TRUE,"UmsSumAnteilFZ";#N/A,#N/A,TRUE,"UmsatzEinzel";#N/A,#N/A,TRUE,"G&amp;V"}</definedName>
    <definedName function="false" hidden="true" name="wrn.plbscf." vbProcedure="false">{"p_l",#N/A,FALSE,"Summary Accounts"}</definedName>
    <definedName function="false" hidden="true" name="wrn.PMW._.Gruppe._.00_99." vbProcedure="false">{#N/A,#N/A,FALSE,"PMW Gruppe 00_99";#N/A,#N/A,FALSE,"PMW KG 00_99";#N/A,#N/A,FALSE,"PMW Inc. 00_99";#N/A,#N/A,FALSE,"PMW VTECH 00_99";#N/A,#N/A,FALSE,"PMW Thail. 00_99";#N/A,#N/A,FALSE,"PMW Canada 00_99";#N/A,#N/A,FALSE,"Währungsabw. 00_99"}</definedName>
    <definedName function="false" hidden="true" name="wrn.PMW._.Gruppe._.99_98n." vbProcedure="false">{#N/A,#N/A,FALSE,"PMW Gruppe 99_98";#N/A,#N/A,FALSE,"PMW KG 98_99";#N/A,#N/A,FALSE,"PMW Inc. 99_98";#N/A,#N/A,FALSE,"PMW VTECH 99_98";#N/A,#N/A,FALSE,"PMW Thail. 99_98";#N/A,#N/A,FALSE,"PMW Canada 99_98";#N/A,#N/A,FALSE,"Währungsabw. 99_98"}</definedName>
    <definedName function="false" hidden="true" name="wrn.Polymers." vbProcedure="false">{"Polymers Details",#N/A,FALSE,"Current Yr";"Polymer Details",#N/A,FALSE,"Budget";"Polymer Details",#N/A,FALSE,"Prior Year"}</definedName>
    <definedName function="false" hidden="true" name="wrn.Polymers._.Balance._.Sheet." vbProcedure="false">{#N/A,"POLY",FALSE,"BSHIST.XLS";#N/A,"EMUL",FALSE,"BSHIST.XLS";#N/A,"PVOH",FALSE,"BSHIST.XLS";#N/A,"ACET",FALSE,"BSHIST.XLS"}</definedName>
    <definedName function="false" hidden="true" name="wrn.Pound._.Sterling." vbProcedure="false">{"Pound Sterling",#N/A,TRUE,"PPD";"Pound Sterling",#N/A,TRUE,"Anaquest";"Pound Sterling",#N/A,TRUE,"Delta";"Pound Sterling",#N/A,TRUE,"INO"}</definedName>
    <definedName function="false" hidden="true" name="wrn.ppp" vbProcedure="false">{#N/A,#N/A,FALSE,"1";#N/A,#N/A,FALSE,"2";#N/A,#N/A,FALSE,"16 - 17";#N/A,#N/A,FALSE,"18 - 19";#N/A,#N/A,FALSE,"26";#N/A,#N/A,FALSE,"27";#N/A,#N/A,FALSE,"28"}</definedName>
    <definedName function="false" hidden="true" name="wrn.Presentation."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wrn.presentation1"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wrn.Price_Effect." vbProcedure="false">{"Comp_of_Price_Effect",#N/A,FALSE,"QTRDPVAR"}</definedName>
    <definedName function="false" hidden="true" name="wrn.PrimeCo." vbProcedure="false">{"print 1",#N/A,FALSE,"PrimeCo PCS";"print 2",#N/A,FALSE,"PrimeCo PCS";"valuation",#N/A,FALSE,"PrimeCo PCS"}</definedName>
    <definedName function="false" hidden="true" name="wrn.prin2._.all." vbProcedure="false">{#N/A,#N/A,FALSE,"Pharm";#N/A,#N/A,FALSE,"WWCM"}</definedName>
    <definedName function="false" hidden="true" name="wrn.prin3" vbProcedure="false">{#N/A,#N/A,FALSE,"Pharm";#N/A,#N/A,FALSE,"WWCM"}</definedName>
    <definedName function="false" hidden="true" name="wrn.Principal." vbProcedure="false">{#N/A,#N/A,FALSE,"Principal";#N/A,#N/A,FALSE,"Principal2"}</definedName>
    <definedName function="false" hidden="true" name="wrn.print" vbProcedure="false">{#N/A,#N/A,FALSE,"Pharm";#N/A,#N/A,FALSE,"WWCM"}</definedName>
    <definedName function="false" hidden="true" name="wrn.PRINT." vbProcedure="false">{"DOWNLOAD",#N/A,FALSE,"GLDownload";"UPLOAD",#N/A,FALSE,"GLUpload"}</definedName>
    <definedName function="false" hidden="true" name="wrn.Print._.24." vbProcedure="false">{#N/A,#N/A,FALSE,"Index";"Stmts_Qtrs",#N/A,FALSE,"Summary";"Stmts_24 mo",#N/A,FALSE,"Summary";"Summary_24",#N/A,FALSE,"Revenue";"Month_24",#N/A,FALSE,"Engineering";"Month_24",#N/A,FALSE,"Marketing";"Month_24",#N/A,FALSE,"G &amp; A";"Month_24",#N/A,FALSE,"Manufacturing"}</definedName>
    <definedName function="false" hidden="true" name="wrn.PRINT._.ALL." vbProcedure="false">{#N/A,#N/A,FALSE,"Pharm";#N/A,#N/A,FALSE,"WWCM"}</definedName>
    <definedName function="false" hidden="true" name="wrn.PRINT._.ALL.2" vbProcedure="false">{#N/A,#N/A,FALSE,"Pharm";#N/A,#N/A,FALSE,"WWCM"}</definedName>
    <definedName function="false" hidden="tru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name="wrn.print._.all._.sheets." vbProcedure="false">{"summary1",#N/A,FALSE,"Summary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function="false" hidden="true" name="wrn.print._.all2" vbProcedure="false">{#N/A,#N/A,FALSE,"Pharm";#N/A,#N/A,FALSE,"WWCM"}</definedName>
    <definedName function="false" hidden="true" name="wrn.Print._.Europe._.TandB." vbProcedure="false">{"Print Top",#N/A,FALSE,"Europe Model";"Print Bottom",#N/A,FALSE,"Europe Model"}</definedName>
    <definedName function="false" hidden="true" name="wrn.Print._.FE._.T._.and._.B." vbProcedure="false">{"Far East Top",#N/A,FALSE,"FE Model";"Far East Bottom",#N/A,FALSE,"FE Model"}</definedName>
    <definedName function="false" hidden="true" name="wrn.print._.pages." vbProcedure="false">{#N/A,#N/A,FALSE,"Spain MKT";#N/A,#N/A,FALSE,"Assumptions";#N/A,#N/A,FALSE,"Adve";#N/A,#N/A,FALSE,"E-Commerce";#N/A,#N/A,FALSE,"Opex";#N/A,#N/A,FALSE,"P&amp;L";#N/A,#N/A,FALSE,"FCF &amp; DCF"}</definedName>
    <definedName function="false" hidden="true" name="wrn.print._.standalone." vbProcedure="false">{"standalone1",#N/A,FALSE,"DCFBase";"standalone2",#N/A,FALSE,"DCFBase"}</definedName>
    <definedName function="false" hidden="true" name="wrn.Print._.the._.lot." vbProcedure="false">{"First Page",#N/A,FALSE,"Surfactants LBO";"Second Page",#N/A,FALSE,"Surfactants LBO"}</definedName>
    <definedName function="false" hidden="true" name="wrn.print._all1." vbProcedure="false">{#N/A,#N/A,FALSE,"Pharm";#N/A,#N/A,FALSE,"WWCM"}</definedName>
    <definedName function="false" hidden="true" name="wrn.Print1." vbProcedure="false">{"Title",#N/A,FALSE,"Title";"Info",#N/A,FALSE,"Title";"Contents",#N/A,FALSE,"Title";"Sec.1",#N/A,FALSE,"Title";"Output1",#N/A,FALSE,"Output";"Sec.2",#N/A,FALSE,"Title";"Graph1",#N/A,FALSE,"Output";"Graph2",#N/A,FALSE,"Output";"Sec.3",#N/A,FALSE,"Title";"Gap1",#N/A,FALSE,"Output";"Sec.4",#N/A,FALSE,"Title";"Model_all",#N/A,FALSE,"Autostrade S.p.A."}</definedName>
    <definedName function="false" hidden="true" name="wrn.print2" vbProcedure="false">{#N/A,#N/A,FALSE,"Pharm";#N/A,#N/A,FALSE,"WWCM"}</definedName>
    <definedName function="false" hidden="true" name="wrn.printac." vbProcedure="false">{#N/A,#N/A,FALSE,"Op-BS";#N/A,#N/A,FALSE,"Assum";#N/A,#N/A,FALSE,"IS";#N/A,#N/A,FALSE,"Syn+Elim";#N/A,#N/A,FALSE,"BSCF";#N/A,#N/A,FALSE,"Blue_IS";#N/A,#N/A,FALSE,"Blue_BSCF";#N/A,#N/A,FALSE,"Ratings"}</definedName>
    <definedName function="false" hidden="true" name="wrn.Printall." vbProcedure="false">{"Cover",#N/A,FALSE,"Cover";"Comments",#N/A,FALSE,"Quarterly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function="false" hidden="true" name="wrn.Printing._.Report." vbProcedure="false">{"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function="false" hidden="true" name="wrn.Printing._.the._.transactions._.sheets." vbProcedure="false">{#N/A,#N/A,FALSE,"Eastern";#N/A,#N/A,FALSE,"Western"}</definedName>
    <definedName function="false" hidden="true" name="wrn.printout." vbProcedure="false">{#N/A,#N/A,FALSE,"BANNERS";#N/A,#N/A,FALSE,"Market";#N/A,#N/A,FALSE,"# of POP MAN";#N/A,#N/A,FALSE,"Penet Input";#N/A,#N/A,FALSE,"Tel Rev";#N/A,#N/A,FALSE,"Invest";#N/A,#N/A,FALSE,"Op Cost1";#N/A,#N/A,FALSE,"Op Cost2";#N/A,#N/A,FALSE,"Oth_&amp;_Tot_Revenues";#N/A,#N/A,FALSE,"Fin Mod";#N/A,#N/A,FALSE,"P&amp;E Burocrat";#N/A,#N/A,FALSE,"cash flow"}</definedName>
    <definedName function="false" hidden="true" name="wrn.printsyns." vbProcedure="false">{"dcfsyn",#N/A,FALSE,"DCFSYN";"senssyn",#N/A,FALSE,"DCFSYN"}</definedName>
    <definedName function="false" hidden="true" name="wrn.Print_all." vbProcedure="false">{"APF",#N/A,FALSE,"Bfc98-1";"APG",#N/A,FALSE,"Bfc98-1";"APND",#N/A,FALSE,"Bfc98-1";"APSA",#N/A,FALSE,"Bfc98-1";"lhy",#N/A,FALSE,"Bfc98-1";"PEC",#N/A,FALSE,"Bfc98-1"}</definedName>
    <definedName function="false" hidden="true" name="wrn.Print_Comps_Report." vbProcedure="false">{"comps1_1",#N/A,FALSE,"Comps1";"comps1_2",#N/A,FALSE,"Comps1";"comps1_3",#N/A,FALSE,"Comps1";"comps1_4",#N/A,FALSE,"Comps1";"comps1_5",#N/A,FALSE,"Comps1";"comps2_1",#N/A,FALSE,"Comps2";"comps2_2",#N/A,FALSE,"Comps2";"comps2_3",#N/A,FALSE,"Comps2";"comps2_4",#N/A,FALSE,"Comps2";"comps2_5",#N/A,FALSE,"Comps2"}</definedName>
    <definedName function="false" hidden="true" name="wrn.Print_CSC." vbProcedure="false">{"CSC_1",#N/A,FALSE,"CSC Outputs";"CSC_2",#N/A,FALSE,"CSC Outputs"}</definedName>
    <definedName function="false" hidden="true" name="wrn.Print_CSC2" vbProcedure="false">{"CSC_1",#N/A,FALSE,"CSC Outputs";"CSC_2",#N/A,FALSE,"CSC Outputs"}</definedName>
    <definedName function="false" hidden="true" name="wrn.Print_CSC2." vbProcedure="false">{"CSC_1",#N/A,FALSE,"CSC Outputs";"CSC_2",#N/A,FALSE,"CSC Outputs"}</definedName>
    <definedName function="false" hidden="true" name="wrn.Print_model." vbProcedure="false">{"toc",#N/A,TRUE,"TOC";"summary",#N/A,TRUE,"Summary";"credit_stats",#N/A,TRUE,"South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function="false" hidden="true" name="wrn.PROD._.PLAN._.OPTION._.4." vbProcedure="false">{"TOP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function="false" hidden="true" name="wrn.PRODUCTION._.COSTS." vbProcedure="false">{"PRODUCTION COSTS",#N/A,FALSE,"C.CENTRE"}</definedName>
    <definedName function="false" hidden="true" name="wrn.Productivity." vbProcedure="false">{"Summary analysis",#N/A,FALSE,"Total";"OCPH analysis",#N/A,FALSE,"Total";"detail analysis",#N/A,FALSE,"Total"}</definedName>
    <definedName function="false" hidden="true" name="wrn.products" vbProcedure="false">{#N/A,#N/A,FALSE,"1";#N/A,#N/A,FALSE,"2";#N/A,#N/A,FALSE,"16 - 17";#N/A,#N/A,FALSE,"18 - 19";#N/A,#N/A,FALSE,"26";#N/A,#N/A,FALSE,"27";#N/A,#N/A,FALSE,"28"}</definedName>
    <definedName function="false" hidden="true" name="wrn.Products." vbProcedure="false">{#N/A,#N/A,FALSE,"1";#N/A,#N/A,FALSE,"2";#N/A,#N/A,FALSE,"16 - 17";#N/A,#N/A,FALSE,"18 - 19";#N/A,#N/A,FALSE,"26";#N/A,#N/A,FALSE,"27";#N/A,#N/A,FALSE,"28"}</definedName>
    <definedName function="false" hidden="true" name="wrn.Profile." vbProcedure="false">{"Profile",#N/A,FALSE,"BXS"}</definedName>
    <definedName function="false" hidden="true" name="wrn.PROFIT._.LOSS._.AC." vbProcedure="false">{"PROFIT LOSS AC",#N/A,FALSE,"P&amp;L FY97"}</definedName>
    <definedName function="false" hidden="true" name="wrn.PROFIT._.SPLIT." vbProcedure="false">{"profit split",#N/A,FALSE,"Profit Split"}</definedName>
    <definedName function="false" hidden="true" name="wrn.Proforma." vbProcedure="false">{"icd","icd",FALSE,"PROFORMA.XLS";"poly","poly",FALSE,"PROFORMA.XLS";"purper","purper",FALSE,"PROFORMA.XLS";"tchem","tchem",FALSE,"PROFORMA.XLS"}</definedName>
    <definedName function="false" hidden="true" name="wrn.PROFORMA._.CHECK._.BY._.DIVISION." vbProcedure="false">{"PROFORMA CHECK BY DIVISION",#N/A,FALSE,"BSALLNOW.XLS"}</definedName>
    <definedName function="false" hidden="true" name="wrn.Project._.Summary." vbProcedure="false">{"Summary",#N/A,FALSE,"MICMULT";"Income Statement",#N/A,FALSE,"MICMULT";"Cash Flows",#N/A,FALSE,"MICMULT"}</definedName>
    <definedName function="false" hidden="true" name="wrn.ProMonte." vbProcedure="false">{#N/A,#N/A,FALSE,"Assump";"view1",#N/A,FALSE,"P&amp;L";"view2",#N/A,FALSE,"P&amp;L";#N/A,#N/A,FALSE,"P&amp;L PERC";"view1",#N/A,FALSE,"BS";"view2",#N/A,FALSE,"BS";#N/A,#N/A,FALSE,"CF";#N/A,#N/A,FALSE,"Debt Rep";#N/A,#N/A,FALSE,"Ratios";#N/A,#N/A,FALSE,"adjusted BS";#N/A,#N/A,FALSE,"96-97 P&amp;L";#N/A,#N/A,FALSE,"96-97 BS"}</definedName>
    <definedName function="false" hidden="true" name="wrn.pror" vbProcedure="false">{#N/A,#N/A,FALSE,"Pharm";#N/A,#N/A,FALSE,"WWCM"}</definedName>
    <definedName function="false" hidden="true" name="wrn.ps." vbProcedure="false">{#N/A,#N/A,FALSE,"pl";#N/A,#N/A,FALSE,"bs";#N/A,#N/A,FALSE,"fundflow"}</definedName>
    <definedName function="false" hidden="true" name="wrn.PTMOTSC1097." vbProcedure="false">{"PTMOTSC1097",#N/A,FALSE,"MovimientosBBV$USA"}</definedName>
    <definedName function="false" hidden="true" name="wrn.PUCSPADD." vbProcedure="false">{#N/A,"PURCHM",FALSE,"Business Analysis";#N/A,"SPADD",FALSE,"Business Analysis"}</definedName>
    <definedName function="false" hidden="true" name="wrn.PUCSPADD.2" vbProcedure="false">{#N/A,"PURCHM",FALSE,"Business Analysis";#N/A,"SPADD",FALSE,"Business Analysis"}</definedName>
    <definedName function="false" hidden="true" name="wrn.pucspadd1" vbProcedure="false">{#N/A,"PURCHM",FALSE,"Business Analysis";#N/A,"SPADD",FALSE,"Business Analysis"}</definedName>
    <definedName function="false" hidden="true" name="wrn.pucspadd10" vbProcedure="false">{#N/A,"PURCHM",FALSE,"Business Analysis";#N/A,"SPADD",FALSE,"Business Analysis"}</definedName>
    <definedName function="false" hidden="true" name="wrn.pucspadd102" vbProcedure="false">{#N/A,"PURCHM",FALSE,"Business Analysis";#N/A,"SPADD",FALSE,"Business Analysis"}</definedName>
    <definedName function="false" hidden="true" name="wrn.pucspadd11" vbProcedure="false">{#N/A,"PURCHM",FALSE,"Business Analysis";#N/A,"SPADD",FALSE,"Business Analysis"}</definedName>
    <definedName function="false" hidden="true" name="wrn.pucspadd12" vbProcedure="false">{#N/A,"PURCHM",FALSE,"Business Analysis";#N/A,"SPADD",FALSE,"Business Analysis"}</definedName>
    <definedName function="false" hidden="true" name="wrn.pucspadd31" vbProcedure="false">{#N/A,"PURCHM",FALSE,"Business Analysis";#N/A,"SPADD",FALSE,"Business Analysis"}</definedName>
    <definedName function="false" hidden="true" name="wrn.Pucspadd34" vbProcedure="false">{#N/A,"PURCHM",FALSE,"Business Analysis";#N/A,"SPADD",FALSE,"Business Analysis"}</definedName>
    <definedName function="false" hidden="true" name="wrn.PUCSPADD35" vbProcedure="false">{#N/A,"PURCHM",FALSE,"Business Analysis";#N/A,"SPADD",FALSE,"Business Analysis"}</definedName>
    <definedName function="false" hidden="true" name="wrn.Pulp." vbProcedure="false">{"Pulp Production",#N/A,FALSE,"Pulp";"Pulp Earnings",#N/A,FALSE,"Pulp"}</definedName>
    <definedName function="false" hidden="true" name="wrn.Pulp.2" vbProcedure="false">{"Pulp Production",#N/A,FALSE,"Pulp";"Pulp Earnings",#N/A,FALSE,"Pulp"}</definedName>
    <definedName function="false" hidden="true" name="wrn.Pulp.3" vbProcedure="false">{"Pulp Production",#N/A,FALSE,"Pulp";"Pulp Earnings",#N/A,FALSE,"Pulp"}</definedName>
    <definedName function="false" hidden="true" name="wrn.QTD." vbProcedure="false">{"QTD",#N/A,FALSE,"SUM"}</definedName>
    <definedName function="false" hidden="true" name="wrn.QTD_ALL." vbProcedure="false">{"QTD_LPO2N2",#N/A,FALSE,"QTD";"QTD_HYCO",#N/A,FALSE,"QTD";"QTD_LOUISIANA",#N/A,FALSE,"QTD";"QTD_GENERALH2",#N/A,FALSE,"QTD";"QTD_PACKAGE",#N/A,FALSE,"QTD";"QTD_PRS",#N/A,FALSE,"QTD";"QTD_OTHER",#N/A,FALSE,"QTD"}</definedName>
    <definedName function="false" hidden="true" name="wrn.QTD_GENERAL._.H2." vbProcedure="false">{"QTD_GENERALH2",#N/A,FALSE,"QTD"}</definedName>
    <definedName function="false" hidden="true" name="wrn.QTD_HYCO." vbProcedure="false">{"QTD_HYCO",#N/A,FALSE,"QTD"}</definedName>
    <definedName function="false" hidden="true" name="wrn.QTD_LOUISIANA." vbProcedure="false">{"QTD_LOUISIANA",#N/A,FALSE,"QTD"}</definedName>
    <definedName function="false" hidden="true" name="wrn.QTD_LPTEO2N2." vbProcedure="false">{"QTD_LPO2N2",#N/A,FALSE,"QTD"}</definedName>
    <definedName function="false" hidden="true" name="wrn.QTD_OTHER." vbProcedure="false">{"QTD_OTHER",#N/A,FALSE,"QTD"}</definedName>
    <definedName function="false" hidden="true" name="wrn.QTD_PACKAGE." vbProcedure="false">{"QTD_PACKAGE",#N/A,FALSE,"QTD"}</definedName>
    <definedName function="false" hidden="true" name="wrn.QTD_PRS." vbProcedure="false">{"QTD_PRS",#N/A,FALSE,"QTD"}</definedName>
    <definedName function="false" hidden="true" name="wrn.Qtr._.Op._.Q1." vbProcedure="false">{"Qtr Op Mgd Q1",#N/A,FALSE,"Qtr-Op (Mng)";"Qtr Op Rpt Q1",#N/A,FALSE,"Qtr-Op (Rpt)";"Operating Vs Reported",#N/A,FALSE,"Rpt-Op Inc"}</definedName>
    <definedName function="false" hidden="true" name="wrn.Qtr._.Op._.Q2." vbProcedure="false">{"Qtr Op Mgd Q2",#N/A,FALSE,"Qtr-Op (Mng)";"Qtr Op Rpt Q2",#N/A,FALSE,"Qtr-Op (Rpt)";"Operating Vs Reported",#N/A,FALSE,"Rpt-Op Inc"}</definedName>
    <definedName function="false" hidden="true" name="wrn.Qtr._.Op._.Q3." vbProcedure="false">{"Qtr Op Mgd Q3",#N/A,FALSE,"Qtr-Op (Mng)";"Qtr Op Rpt Q3",#N/A,FALSE,"Qtr-Op (Rpt)";"Operating Vs Reported",#N/A,FALSE,"Rpt-Op Inc"}</definedName>
    <definedName function="false" hidden="true" name="wrn.Qtr._.Op._.Q4." vbProcedure="false">{"Qtr Op Mgd Q3",#N/A,FALSE,"Qtr-Op (Mng)";"Qtr Op Rpt Q4",#N/A,FALSE,"Qtr-Op (Rpt)";"Operating Vs Reported",#N/A,FALSE,"Rpt-Op Inc"}</definedName>
    <definedName function="false" hidden="true" name="wrn.Qtr._.Op._Q2a." vbProcedure="false">{"Qtr Op Mgd Q2",#N/A,FALSE,"Qtr-Op (Mng)";"Qtr Op Rpt Q2",#N/A,FALSE,"Qtr-Op (Rpt)";"Operating Vs Reported",#N/A,FALSE,"Rpt-Op Inc"}</definedName>
    <definedName function="false" hidden="true" name="wrn.Qtr_.Op._.Q4." vbProcedure="false">{"Qtr Op Mgd Q3",#N/A,FALSE,"Qtr-Op (Mng)";"Qtr Op Rpt Q4",#N/A,FALSE,"Qtr-Op (Rpt)";"Operating Vs Reported",#N/A,FALSE,"Rpt-Op Inc"}</definedName>
    <definedName function="false" hidden="true" name="wrn.QUEST." vbProcedure="false">{#N/A,#N/A,FALSE,"Aurepar";#N/A,#N/A,FALSE,"Aurival";#N/A,#N/A,FALSE,"Auxilex";#N/A,#N/A,FALSE,"CFE";#N/A,#N/A,FALSE,"Dynecom";#N/A,#N/A,FALSE,"Fartran";#N/A,#N/A,FALSE,"Finabel";#N/A,#N/A,FALSE,"Finarex";#N/A,#N/A,FALSE,"Imoval";#N/A,#N/A,FALSE,"Lonoma";#N/A,#N/A,FALSE,"Muripar";#N/A,#N/A,FALSE,"Parsival";#N/A,#N/A,FALSE,"Regulind";#N/A,#N/A,FALSE,"Sperans";#N/A,#N/A,FALSE,"SEV";#N/A,#N/A,FALSE,"SEGT";#N/A,#N/A,FALSE,"SEP";#N/A,#N/A,FALSE,"SFE";#N/A,#N/A,FALSE,"Sopranor";#N/A,#N/A,FALSE,"Stralex";#N/A,#N/A,FALSE,"SFSA";#N/A,#N/A,FALSE,"SI";#N/A,#N/A,FALSE,"S Loisirs";#N/A,#N/A,FALSE,"S Services";#N/A,#N/A,FALSE,"Suliroc";#N/A,#N/A,FALSE,"Surec"}</definedName>
    <definedName function="false" hidden="true" name="wrn.RA." vbProcedure="false">{"OKT4ARA",#N/A,FALSE,"OKT-4 RA"}</definedName>
    <definedName function="false" hidden="true" name="wrn.Range._.Values." vbProcedure="false">{"page1",#N/A,FALSE,"Range Value - Incl Reclasses";"page2",#N/A,FALSE,"Range Value - Incl Reclasses";"page3",#N/A,FALSE,"Range Value - Incl Reclasses"}</definedName>
    <definedName function="false" hidden="true" name="wrn.rapport._.1." vbProcedure="false">{#N/A,#N/A,TRUE,"Forecast &amp; Analysis";#N/A,#N/A,TRUE,"Market Values";#N/A,#N/A,TRUE,"Ratios";#N/A,#N/A,TRUE,"Regressions";#N/A,#N/A,TRUE,"Market Values";#N/A,#N/A,TRUE,"Parameters &amp; Results"}</definedName>
    <definedName function="false" hidden="true" name="wrn.Rapport._.de._.tréso._.mensuel." vbProcedure="false">{#N/A,#N/A,TRUE,"Sommaire";#N/A,#N/A,TRUE,"Alcatel";#N/A,#N/A,TRUE,"CFA_PART_ALC. NV";#N/A,#N/A,TRUE,"GO_SIKL_CIM_COD";#N/A,#N/A,TRUE,"Tréso nette";#N/A,#N/A,TRUE,"Passage";#N/A,#N/A,TRUE,"Résultat financier";#N/A,#N/A,TRUE,"Résultat financier (suite)";#N/A,#N/A,TRUE,"Résultat cumulé";#N/A,#N/A,TRUE,"Impact changes";#N/A,#N/A,TRUE,"Commentaires";#N/A,#N/A,TRUE,"Annexe 1";#N/A,#N/A,TRUE,"Annexe 2";#N/A,#N/A,TRUE,"Annexe 3";#N/A,#N/A,TRUE,"Annexe 4";#N/A,#N/A,TRUE,"Annexe 5";#N/A,#N/A,TRUE,"Annexe 6";#N/A,#N/A,TRUE,"Annexe 7";#N/A,#N/A,TRUE,"Annexe 8";#N/A,#N/A,TRUE,"Cpte atte données"}</definedName>
    <definedName function="false" hidden="true" name="wrn.Rapport._.de._.trésorerie." vbProcedure="false">{#N/A,#N/A,TRUE,"Sommaire";#N/A,#N/A,TRUE,"Alcatel Alsthom";#N/A,#N/A,TRUE,"CFA_CIM_SOFICIM_CIVELEC";#N/A,#N/A,TRUE,"GO_SIKL_Cemilec_OR";#N/A,#N/A,TRUE,"Tréso nette";#N/A,#N/A,TRUE,"Passage";#N/A,#N/A,TRUE,"Résultat financier";#N/A,#N/A,TRUE,"Résultat financier (suite)";#N/A,#N/A,TRUE,"Résultat cumulé";#N/A,#N/A,TRUE,"Annexe 1";#N/A,#N/A,TRUE,"Annexe 2";#N/A,#N/A,TRUE,"Annexe 3";#N/A,#N/A,TRUE,"Annexe 4";#N/A,#N/A,TRUE,"Annexe 5"}</definedName>
    <definedName function="false" hidden="true" name="wrn.ratios." vbProcedure="false">{"ratios",#N/A,FALSE,"Summary Accounts"}</definedName>
    <definedName function="false" hidden="true" name="wrn.recap._.budget._.2003." vbProcedure="false">{#N/A,#N/A,TRUE,"Compte de résultat synthèse";#N/A,#N/A,TRUE,"Détail résultat";#N/A,#N/A,TRUE,"tableau financement";#N/A,#N/A,TRUE,"résultat financier";#N/A,#N/A,TRUE,"Via Belgique";#N/A,#N/A,TRUE,"Investissements";#N/A,#N/A,TRUE,"free cash flow";#N/A,#N/A,TRUE,"écritures de conso";#N/A,#N/A,TRUE,"Ratio clés";#N/A,#N/A,TRUE,"loc. financière";#N/A,#N/A,TRUE,"Reestimé 2002";#N/A,#N/A,TRUE,"Série de compte légaux";#N/A,#N/A,TRUE,"Série de compte légaux + loc fi";#N/A,#N/A,TRUE,"Série de compte éco.";#N/A,#N/A,TRUE,"Comparatif PF";#N/A,#N/A,TRUE,"Amort 2002"}</definedName>
    <definedName function="false" hidden="true" name="wrn.recap._.budget._.2003.2" vbProcedure="false">{#N/A,#N/A,TRUE,"Compte de résultat synthèse";#N/A,#N/A,TRUE,"Détail résultat";#N/A,#N/A,TRUE,"tableau financement";#N/A,#N/A,TRUE,"résultat financier";#N/A,#N/A,TRUE,"Via Belgique";#N/A,#N/A,TRUE,"Investissements";#N/A,#N/A,TRUE,"free cash flow";#N/A,#N/A,TRUE,"écritures de conso";#N/A,#N/A,TRUE,"Ratio clés";#N/A,#N/A,TRUE,"loc. financière";#N/A,#N/A,TRUE,"Reestimé 2002";#N/A,#N/A,TRUE,"Série de compte légaux";#N/A,#N/A,TRUE,"Série de compte légaux + loc fi";#N/A,#N/A,TRUE,"Série de compte éco.";#N/A,#N/A,TRUE,"Comparatif PF";#N/A,#N/A,TRUE,"Amort 2002"}</definedName>
    <definedName function="false" hidden="true" name="wrn.Receivables." vbProcedure="fals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function="false" hidden="true" name="wrn.recovery." vbProcedure="false">{#N/A,#N/A,FALSE,"2Q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function="false" hidden="true" name="wrn.redo." vbProcedure="false">{"overview",#N/A,FALSE,"summary";"net assets",#N/A,FALSE,"summary";"asset turnover",#N/A,FALSE,"summary";"orona",#N/A,FALSE,"summary"}</definedName>
    <definedName function="false" hidden="true" name="wrn.redo._.2." vbProcedure="false">{"sales growth",#N/A,FALSE,"summary";"oper income",#N/A,FALSE,"summary";"oros rank",#N/A,FALSE,"summary";"net assets",#N/A,FALSE,"summary";"asset turnover",#N/A,FALSE,"summary";"orona",#N/A,FALSE,"summary"}</definedName>
    <definedName function="false" hidden="true" name="wrn.Reforcast._.Print." vbProcedure="false">{#N/A,#N/A,FALSE,"RF Inc Stmt";#N/A,#N/A,FALSE,"RF-IS-1";#N/A,#N/A,FALSE,"RF-IS-2"}</definedName>
    <definedName function="false" hidden="true" name="wrn.Reforecast." vbProcedure="false">{#N/A,#N/A,FALSE,"Assumptions";#N/A,#N/A,FALSE,"Reforecast";#N/A,#N/A,FALSE,"Inc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function="false" hidden="true" name="wrn.Regions." vbProcedure="false">{#N/A,"United Kingdom",FALSE,"Reg PG Sum";#N/A,"France",FALSE,"Reg PG Sum";#N/A,"North",FALSE,"Reg PG Sum";#N/A,"Italy",FALSE,"Reg PG Sum";#N/A,"Iberia",FALSE,"Reg PG Sum";#N/A,"Other",FALSE,"Reg PG Sum"}</definedName>
    <definedName function="false" hidden="true" name="wrn.Relevant." vbProcedure="false">{#N/A,#N/A,FALSE,"Title Page";#N/A,#N/A,FALSE,"Conclusions";#N/A,#N/A,FALSE,"Assum.";#N/A,#N/A,FALSE,"Sun  DCF-WC-Dep";#N/A,#N/A,FALSE,"MarketValue";#N/A,#N/A,FALSE,"BalSheet";#N/A,#N/A,FALSE,"WACC";#N/A,#N/A,FALSE,"PC+ Info.";#N/A,#N/A,FALSE,"PC+Info_2"}</definedName>
    <definedName function="false" hidden="true" name="wrn.Relevant1." vbProcedure="false">{#N/A,#N/A,FALSE,"Title Page";#N/A,#N/A,FALSE,"Conclusions";#N/A,#N/A,FALSE,"Assum.";#N/A,#N/A,FALSE,"Sun  DCF-WC-Dep";#N/A,#N/A,FALSE,"MarketValue";#N/A,#N/A,FALSE,"BalSheet";#N/A,#N/A,FALSE,"WACC";#N/A,#N/A,FALSE,"PC+ Info.";#N/A,#N/A,FALSE,"PC+Info_2"}</definedName>
    <definedName function="false" hidden="true"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name="wrn.Report." vbProcedure="false">{"ReportDetail",#N/A,FALSE,"Months";"ReportSummary",#N/A,FALSE,"Avg Qtr CC - Final";"ReportDetail",#N/A,FALSE,"Avg Qtr CC - Final"}</definedName>
    <definedName function="false" hidden="true" name="wrn.report.1" vbProcedure="false">{"summary",#N/A,FALSE,"2000 vs 1999";"detail",#N/A,FALSE,"2000 vs 1999"}</definedName>
    <definedName function="false" hidden="true" name="wrn.report.2" vbProcedure="false">{"summary",#N/A,FALSE,"2000 vs 1999";"detail",#N/A,FALSE,"2000 vs 1999"}</definedName>
    <definedName function="false" hidden="true" name="wrn.report.new" vbProcedure="false">{"summary",#N/A,FALSE,"2000 vs 1999";"detail",#N/A,FALSE,"2000 vs 1999"}</definedName>
    <definedName function="false" hidden="true" name="wrn.report.new.1" vbProcedure="false">{"summary",#N/A,FALSE,"2000 vs 1999";"detail",#N/A,FALSE,"2000 vs 1999"}</definedName>
    <definedName function="false" hidden="true" name="wrn.report.new1" vbProcedure="false">{"summary",#N/A,FALSE,"2000 vs 1999";"detail",#N/A,FALSE,"2000 vs 1999"}</definedName>
    <definedName function="false" hidden="true" name="wrn.Report._.2." vbProcedure="false">{#N/A,#N/A,TRUE,"Pivots-Employee";#N/A,"Scenerio2",TRUE,"Assumptions Summary"}</definedName>
    <definedName function="false" hidden="true" name="wrn.report1" vbProcedure="false">{"summary",#N/A,FALSE,"2000 vs 1999";"detail",#N/A,FALSE,"2000 vs 1999"}</definedName>
    <definedName function="false" hidden="true" name="wrn.report1." vbProcedure="false">{"pro_view",#N/A,FALSE,"EEFSNAP2";"rep_view",#N/A,FALSE,"EEFSNAP2"}</definedName>
    <definedName function="false" hidden="true" name="wrn.Reporte._.1." vbProcedure="false">{#N/A,#N/A,FALSE,"PRECIO FULL";#N/A,#N/A,FALSE,"LARA";#N/A,#N/A,FALSE,"CARACAS";#N/A,#N/A,FALSE,"DISBRACENTRO";#N/A,#N/A,FALSE,"ANDES";#N/A,#N/A,FALSE,"MAR CARIBE";#N/A,#N/A,FALSE,"RIO BEER";#N/A,#N/A,FALSE,"DISBRAH"}</definedName>
    <definedName function="false" hidden="true" name="wrn.Reporting._.Package." vbProcedure="false">{#N/A,#N/A,TRUE,"Deckblatt";#N/A,#N/A,TRUE,"Inhalt";#N/A,#N/A,TRUE,"Bilanz";#N/A,#N/A,TRUE,"BilUB";#N/A,#N/A,TRUE,"GuV";#N/A,#N/A,TRUE,"GuvUB";#N/A,#N/A,TRUE,"GuVErl";#N/A,#N/A,TRUE,"Fin";#N/A,#N/A,TRUE,"Intco 051";#N/A,#N/A,TRUE,"Anlagespiegel";#N/A,#N/A,TRUE,"Intco 305";#N/A,#N/A,TRUE,"Intco 715";#N/A,#N/A,TRUE,"Intco 056";#N/A,#N/A,TRUE,"Intco 185";#N/A,#N/A,TRUE,"Intco 120";#N/A,#N/A,TRUE,"Intco xa";#N/A,#N/A,TRUE,"Intco xb";#N/A,#N/A,TRUE,"Intco 125";#N/A,#N/A,TRUE,"Intco xc";#N/A,#N/A,TRUE,"Intco 5 18";#N/A,#N/A,TRUE,"Intco 24";#N/A,#N/A,TRUE,"Intco 810";#N/A,#N/A,TRUE,"Intco 870";#N/A,#N/A,TRUE,"Intco xd";#N/A,#N/A,TRUE,"Intco 430";#N/A,#N/A,TRUE,"Intco 780";#N/A,#N/A,TRUE,"Intco 451";#N/A,#N/A,TRUE,"Intco 243";#N/A,#N/A,TRUE,"Intco 240";#N/A,#N/A,TRUE,"Intco 260 250";#N/A,#N/A,TRUE,"Intco 233"}</definedName>
    <definedName function="false" hidden="true" name="wrn.REPORTS." vbProcedure="false">{"COVER",#N/A,FALSE,"HEADER";"INDEX",#N/A,FALSE,"INDEX";"HIGH",#N/A,FALSE,"HIGH";"STATE OF OPER",#N/A,FALSE,"STATE OF OPER";"BAL SHEET",#N/A,FALSE,"BAL SHEET";"BS DETAIL",#N/A,FALSE,"BS DETAIL";"CASH FLOW",#N/A,FALSE,"CASH FLOW";"FRANCE",#N/A,FALSE,"FRANCE";"GERMANY",#N/A,FALSE,"GERMANY";"UK",#N/A,FALSE,"UK";"BRAZIL",#N/A,FALSE,"BRAZIL";"NO AMERICA",#N/A,FALSE,"NO AMERICA";"OFFICES",#N/A,FALSE,"OFFICES";"CORPORATE",#N/A,FALSE,"CORPORATE";"STAFFING ACI",#N/A,FALSE,"STAFFING ACI";"PUBL MONTH",#N/A,FALSE,"PUBL MONTH";"PUBL YTD",#N/A,FALSE,"PUBL YTD";"EXPO MONTH",#N/A,FALSE,"EXPO MONTH";"EXPO YTD",#N/A,FALSE,"EXPO YTD";"EXPO REV &amp; CONT",#N/A,FALSE,"EXPO REV &amp; CONT";"MKT MONTH",#N/A,FALSE,"MKT MONTH";"MKT YTD",#N/A,FALSE,"MKT YTD";"IH REV CONT PG 1",#N/A,FALSE,"REVENUE IH";"IH REV CONT PG2",#N/A,FALSE,"REVENUE IH";"DEPT MON",#N/A,FALSE,"DEPT MONTH";"DEPT YTD",#N/A,FALSE,"DEPT YTD";"DEPT",#N/A,FALSE,"DEPT";"CLUSTER",#N/A,FALSE,"CLUSTER";"STATE OF OPER ACI",#N/A,FALSE,"STATE OF OPER ACI";"BAL SHEET ACI",#N/A,FALSE,"BAL SHEET ACI";"BS DETAIL ACI",#N/A,FALSE,"BS DETAIL ACI";"CASH FLOW ACI",#N/A,FALSE,"CASH FLOW ACI"}</definedName>
    <definedName function="false" hidden="true" name="wrn.Report_PR_1." vbProcedure="false">{"PR1","pr1",TRUE,"Sch PR-1"}</definedName>
    <definedName function="false" hidden="true" name="wrn.RESEARCH._.AND._.DEVELOPMENT." vbProcedure="false">{"R &amp; D",#N/A,FALSE,"Research and Development"}</definedName>
    <definedName function="false" hidden="true" name="wrn.Research._.Summaries." vbProcedure="false">{"Summary","Rich - 2002",FALSE,"P&amp;L Pivot PS-Dept";"Summary","Pigg - 2002",FALSE,"P&amp;L Pivot PS-Dept";"Summary","Mallinson - 2002",FALSE,"P&amp;L Pivot PS-Dept";"Summary","Rosenberg-2002",FALSE,"P&amp;L Pivot PS-Dept";"Summary","Eastman-2002",FALSE,"P&amp;L Pivot PS-Dept";"Summary","Tse-2002",FALSE,"P&amp;L Pivot PS-Dept";"Summary","Perry - Latin America - 2002",FALSE,"P&amp;L Pivot PS-Dept";"Summary","Perry - EMEA - 2002",FALSE,"P&amp;L Pivot PS-Dept";"Summary","Perry - APAC - 2002",FALSE,"P&amp;L Pivot PS-Dept";"Summary","Other Direct - 2002",FALSE,"P&amp;L Pivot PS-Dept";"Summary","Clean-Up Direct - 2002",FALSE,"P&amp;L Pivot PS-Dept"}</definedName>
    <definedName function="false" hidden="true" name="wrn.RESERVE._.SCHEDULE." vbProcedure="false">{#N/A,#N/A,FALSE,"Sheet8";#N/A,#N/A,FALSE,"Sheet7"}</definedName>
    <definedName function="false" hidden="true" name="wrn.RESUMEN." vbProcedure="false">{"RESUMEN",#N/A,FALSE,"RESUMEN";"RESUMEN_MARG",#N/A,FALSE,"RESUMEN"}</definedName>
    <definedName function="false" hidden="true" name="wrn.Revenue." vbProcedure="false">{"Revenue",#N/A,FALSE,"Sheet1"}</definedName>
    <definedName function="false" hidden="true" name="wrn.revenue._.detail." vbProcedure="false">{"revenue detail 1",#N/A,FALSE,"Revenue Detail";"revenue detail 2",#N/A,FALSE,"Revenue Detail";"revenue detail 3",#N/A,FALSE,"Revenue Detail";"revenue detail 4",#N/A,FALSE,"Revenue Detail"}</definedName>
    <definedName function="false" hidden="true" name="wrn.Revenue._.Details." vbProcedure="false">{"Revenue by Industry Chart",#N/A,FALSE,"Mix";"Annual Revenue Detail",#N/A,FALSE,"Mix";"Quarterly Revenue Detail",#N/A,FALSE,"Mix"}</definedName>
    <definedName function="false" hidden="true" name="wrn.revised._.CEC._.slides." vbProcedure="false">{#N/A,#N/A,FALSE,"Revised cover";#N/A,#N/A,FALSE,"Trends";"main view",#N/A,FALSE,"As Reported";#N/A,#N/A,FALSE,"delegations";#N/A,#N/A,FALSE,"(un) Commited"}</definedName>
    <definedName function="false" hidden="true" name="wrn.Revisionsbericht." vbProcedure="false">{#N/A,#N/A,TRUE,"Aktiven";#N/A,#N/A,TRUE,"Passiven";#N/A,#N/A,TRUE,"Erfolgsrechnung";#N/A,#N/A,TRUE,"Antrag";#N/A,#N/A,TRUE,"Anhang"}</definedName>
    <definedName function="false" hidden="true" name="wrn.Revs." vbProcedure="false">{"Base_rev",#N/A,FALSE,"Proj_IS_Base";"Projrev",#N/A,FALSE,"Proj_IS_wOTLC";"Delta",#N/A,FALSE,"Delta Rev_PV"}</definedName>
    <definedName function="false" hidden="true" name="wrn.ReWemtl." vbProcedure="false">{"werbung",#N/A,FALSE,"GuV9900-0399";"betrieb",#N/A,FALSE,"GuV9900-0399";"personal",#N/A,FALSE,"GuV9900-0399";"tvg",#N/A,FALSE,"GuV9900-0399";"verwaltung",#N/A,FALSE,"GuV9900-0399"}</definedName>
    <definedName function="false" hidden="true" name="wrn.RGD_BG_FC." vbProcedure="false">{#N/A,#N/A,FALSE,"RGD$";#N/A,#N/A,FALSE,"BG$";#N/A,#N/A,FALSE,"FC$"}</definedName>
    <definedName function="false" hidden="true" name="wrn.rhd.whatever" vbProcedure="false">{#N/A,#N/A,FALSE,"CHANGES";#N/A,#N/A,FALSE,"PROD SUMMARY";#N/A,#N/A,FALSE,"1995 PO SUM";#N/A,#N/A,FALSE,"1995 GEOG SUM";#N/A,#N/A,FALSE,"1996 PO SUM";#N/A,#N/A,FALSE,"1996 GEOG SUM"}</definedName>
    <definedName function="false" hidden="true" name="wrn.RHD._.RESERVE._.REPORT." vbProcedure="false">{#N/A,#N/A,FALSE,"CHANGES";#N/A,#N/A,FALSE,"PROD SUMMARY";#N/A,#N/A,FALSE,"1995 PO SUM";#N/A,#N/A,FALSE,"1995 GEOG SUM";#N/A,#N/A,FALSE,"1996 PO SUM";#N/A,#N/A,FALSE,"1996 GEOG SUM"}</definedName>
    <definedName function="false" hidden="true" name="wrn.Riverwood_comp_model." vbProcedure="false">{#N/A,#N/A,FALSE,"Che-Ga";#N/A,#N/A,FALSE,"Iv-Sm";#N/A,#N/A,FALSE,"So-We";#N/A,#N/A,FALSE,"Me-Po";#N/A,#N/A,FALSE,"Be-Bo";#N/A,#N/A,FALSE,"Cha-Ki";#N/A,#N/A,FALSE,"In";#N/A,#N/A,FALSE,"Schedule 23";#N/A,#N/A,FALSE,"Schedule 22";#N/A,#N/A,FALSE,"WACC"}</definedName>
    <definedName function="false" hidden="true" name="wrn.riverwood_dcf." vbProcedure="false">{#N/A,#N/A,FALSE,"Sch 1";#N/A,#N/A,FALSE,"Sch 2";#N/A,#N/A,FALSE,"Sch 3b";#N/A,#N/A,FALSE,"Sch 3a";#N/A,#N/A,FALSE,"Main DCF";#N/A,#N/A,FALSE,"Sch 5";#N/A,#N/A,FALSE,"Assumptions"}</definedName>
    <definedName function="false" hidden="true" name="wrn.ROYALTIES." vbProcedure="false">{"Royalties",#N/A,FALSE,"Royalty Computations"}</definedName>
    <definedName function="false" hidden="true" name="wrn.RustyPresentation." vbProcedure="false">{#N/A,#N/A,TRUE,"TransCore Summary";#N/A,#N/A,TRUE,"TransCore IS";#N/A,#N/A,TRUE,"TransCore Balance";#N/A,#N/A,TRUE,"TransCore Backlog";#N/A,#N/A,TRUE,"Syntonic IS";#N/A,#N/A,TRUE,"Syntonic Bal";#N/A,#N/A,TRUE,"Systems IS";#N/A,#N/A,TRUE,"Systems Bal"}</definedName>
    <definedName function="false" hidden="false" name="wrn.RWReport1." vbProcedure="false">{#N/A,"S 0373 ",TRUE,"Sheet1";#N/A,"S 0374 ",TRUE,"Sheet1";#N/A,"S 0375 ",TRUE,"Sheet1";#N/A,"S 0376 ",TRUE,"Sheet1";#N/A,"S 0699 ",TRUE,"Sheet1";#N/A,"S 0705 ",TRUE,"Sheet1";#N/A,"S 0707 ",TRUE,"Sheet1";#N/A,"S 0708 ",TRUE,"Sheet1";#N/A,"S 0709 ",TRUE,"Sheet1";#N/A,"S 0714 ",TRUE,"Sheet1";#N/A,"S 0716 ",TRUE,"Sheet1";#N/A,"S 0719 ",TRUE,"Sheet1";#N/A,"S 0723 ",TRUE,"Sheet1"}</definedName>
    <definedName function="false" hidden="true" name="wrn.Réestimé." vbProcedure="false">{"P&amp;L analytique",#N/A,TRUE,"cumul retraité";"Hypothèses CA et Marge Brute",#N/A,TRUE,"cumul retraité";"Ecarts et Hypothèses coûts",#N/A,TRUE,"cumul retraité";"Structure 7 mois",#N/A,TRUE,"Structure";"Structure 12 mois",#N/A,TRUE,"Structure";"P&amp;L social",#N/A,TRUE,"P&amp;L comptable retraité";"SIG",#N/A,TRUE,"P&amp;L comptable retraité";"Détail postes de charges",#N/A,TRUE,"P&amp;L comptable retraité"}</definedName>
    <definedName function="false" hidden="true" name="wrn.sales"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wrn.sales." vbProcedure="false">{"sales",#N/A,FALSE,"Sales";"sales existing",#N/A,FALSE,"Sales";"sales rd1",#N/A,FALSE,"Sales";"sales rd2",#N/A,FALSE,"Sales"}</definedName>
    <definedName function="false" hidden="true" name="wrn.Sales._.nospli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wrn.Sales._.Spli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wrn.Sapere." vbProcedure="false">{"risultati",#N/A,FALSE,"Revenues";"ricavi advertising",#N/A,FALSE,"Revenues";"ricavi e-commerce",#N/A,FALSE,"Revenues";"ricavi fee for content",#N/A,FALSE,"Revenues";"costi infrastruttura",#N/A,FALSE,"Costi";"altri costi",#N/A,FALSE,"Costi";"conto economico",#N/A,FALSE,"Conto economico";"Flussi di cassa",#N/A,FALSE,"FCF"}</definedName>
    <definedName function="false" hidden="true" name="wrn.SBU._.Reports." vbProcedure="false">{#N/A,#N/A,FALSE,"Cover";#N/A,#N/A,FALSE,"CONSOL";#N/A,#N/A,FALSE,"AFTERMKT DIV";#N/A,#N/A,FALSE,"RCLMR-RM DIV";#N/A,#N/A,FALSE,"ASPH DIV";#N/A,#N/A,FALSE,"ASPH SBU";#N/A,#N/A,FALSE,"COMPACTOR SBU";#N/A,#N/A,FALSE,"GRINDER SBU";#N/A,#N/A,FALSE,"CONCR DIV";#N/A,#N/A,FALSE,"PAVERS SBU";#N/A,#N/A,FALSE,"BW SBU";#N/A,#N/A,FALSE,"LK SBU";#N/A,#N/A,FALSE,"JR SBU"}</definedName>
    <definedName function="false" hidden="true" name="wrn.SB_PRES." vbProcedure="false">{#N/A,#N/A,TRUE,"Sheet16"}</definedName>
    <definedName function="false" hidden="true" name="wrn.scorecard._.rpt." vbProcedure="false">{"scorecard view",#N/A,FALSE,"Scorecard output"}</definedName>
    <definedName function="false" hidden="true" name="wrn.Segments." vbProcedure="false">{"view1",#N/A,FALSE,"Consolidated";"view2",#N/A,FALSE,"Consolidated (sum)";"view1",#N/A,FALSE,"Gen Sys";"view1",#N/A,FALSE,"Semicon";"view1",#N/A,FALSE,"Mess|Med";"view1",#N/A,FALSE,"Land Mob";"view1",#N/A,FALSE,"Other Prod";"view1",#N/A,FALSE,"Adj|Elim"}</definedName>
    <definedName function="false" hidden="true" name="wrn.SELLING._.CALCULATION." vbProcedure="false">{"selling",#N/A,FALSE,"Selling Expense"}</definedName>
    <definedName function="false" hidden="true" name="wrn.sens." vbProcedure="false">{#N/A,#N/A,FALSE,"Sensitivities";#N/A,#N/A,FALSE,"Sensitivities2"}</definedName>
    <definedName function="false" hidden="true" name="wrn.sens3." vbProcedure="false">{#N/A,#N/A,TRUE,"DCF";#N/A,#N/A,TRUE,"DCF"}</definedName>
    <definedName function="false" hidden="true" name="wrn.sensitivity." vbProcedure="false">{"sensitivity",#N/A,FALSE,"Sensitivity"}</definedName>
    <definedName function="false" hidden="true" name="wrn.sensitivity._.analyses." vbProcedure="false">{"general",#N/A,FALSE,"Assumptions"}</definedName>
    <definedName function="false" hidden="true" name="wrn.Sensitivity._.Analysis." vbProcedure="false">{"Sensitivity Tables",#N/A,FALSE,"DCF"}</definedName>
    <definedName function="false" hidden="true" name="wrn.Seth." vbProcedure="false">{#N/A,#N/A,FALSE,"Assumps";#N/A,#N/A,FALSE,"Summary";#N/A,#N/A,FALSE,"Owned";#N/A,#N/A,FALSE,"Waikiki";#N/A,#N/A,FALSE,"Reef";#N/A,#N/A,FALSE,"Kuhio";#N/A,#N/A,FALSE,"East";#N/A,#N/A,FALSE,"West";#N/A,#N/A,FALSE,"Reef_Towers";#N/A,#N/A,FALSE,"Waikiki_Tower";#N/A,#N/A,FALSE,"Edgewater";#N/A,#N/A,FALSE,"Village";#N/A,#N/A,FALSE,"Coral_Seas";#N/A,#N/A,FALSE,"Reef_Lanais";#N/A,#N/A,FALSE,"Royal";#N/A,#N/A,FALSE,"Islander_Waikiki";#N/A,#N/A,FALSE,"Surf";#N/A,#N/A,FALSE,"Ala_Wai";"Manage1",#N/A,FALSE,"Manage";#N/A,#N/A,FALSE,"Manback";"Invest1",#N/A,FALSE,"Invest";"Commercial1",#N/A,FALSE,"Commercial";"Dev1",#N/A,FALSE,"Dev"}</definedName>
    <definedName function="false" hidden="true" name="wrn.SethII." vbProcedure="false">{#N/A,#N/A,FALSE,"Assumps";#N/A,#N/A,FALSE,"Owned";#N/A,#N/A,FALSE,"Manage";#N/A,#N/A,FALSE,"Manback";#N/A,#N/A,FALSE,"Invest";#N/A,#N/A,FALSE,"Commercial"}</definedName>
    <definedName function="false" hidden="true" name="wrn.SHEET." vbProcedure="false">{#N/A,#N/A,FALSE,"a"}</definedName>
    <definedName function="false" hidden="true" name="wrn.SHORT." vbProcedure="false">{"CREDIT STATISTICS",#N/A,FALSE,"STATS";"CF_AND_IS",#N/A,FALSE,"PLAN";"BALSHEET",#N/A,FALSE,"BALANCE SHEET"}</definedName>
    <definedName function="false" hidden="true" name="wrn.Short._.Form._.Print._.Out." vbProcedure="false">{#N/A,#N/A,FALSE,"General Assumptions";#N/A,#N/A,FALSE,"Accounts";#N/A,#N/A,FALSE,"OperatingAssumptions";#N/A,#N/A,FALSE,"Cashflow";#N/A,#N/A,FALSE,"Debt";#N/A,#N/A,FALSE,"Ops Summary";#N/A,#N/A,FALSE,"Summary"}</definedName>
    <definedName function="false" hidden="true" name="wrn.SKSCS1." vbProcedure="false">{#N/A,#N/A,FALSE,"Antony Financials";#N/A,#N/A,FALSE,"Cowboy Financials";#N/A,#N/A,FALSE,"Combined";#N/A,#N/A,FALSE,"Valuematrix";#N/A,#N/A,FALSE,"DCFAntony";#N/A,#N/A,FALSE,"DCFCowboy";#N/A,#N/A,FALSE,"DCFCombined"}</definedName>
    <definedName function="false" hidden="true" name="wrn.Soft._.Drinks." vbProcedure="false">{#N/A,#N/A,FALSE,"Soft Drinks";#N/A,#N/A,FALSE,"Club Soft";#N/A,#N/A,FALSE,"Club Mixers";#N/A,#N/A,FALSE,"TK";#N/A,#N/A,FALSE,"Cidona";#N/A,#N/A,FALSE,"Britvic";#N/A,#N/A,FALSE,"Mi Wadi";#N/A,#N/A,FALSE,"Pepsi";#N/A,#N/A,FALSE,"7UP";#N/A,#N/A,FALSE,"Schweppes";#N/A,#N/A,FALSE,"Wholesale";#N/A,#N/A,FALSE,"Other Soft Drinks"}</definedName>
    <definedName function="false" hidden="true" name="wrn.Soluzioni." vbProcedure="false">{#N/A,#N/A,FALSE,"P&amp;L proj";#N/A,#N/A,FALSE,"Balance sheet proj";#N/A,#N/A,FALSE,"cf proj";#N/A,#N/A,FALSE,"IRR";#N/A,#N/A,FALSE,"Wacc";#N/A,#N/A,FALSE,"DCF";#N/A,#N/A,FALSE,"APV";#N/A,#N/A,FALSE,"comparables";#N/A,#N/A,FALSE,"Valuation"}</definedName>
    <definedName function="false" hidden="true" name="wrn.Sonstige." vbProcedure="false">{#N/A,#N/A,FALSE,"Produkte Erw.";#N/A,#N/A,FALSE,"Produkte Plan";#N/A,#N/A,FALSE,"Leistungen Erw.";#N/A,#N/A,FALSE,"Leistungen Plan";#N/A,#N/A,FALSE,"KA Allg.Kosten (2)";#N/A,#N/A,FALSE,"KA All.Kosten"}</definedName>
    <definedName function="false" hidden="true" name="wrn.SPD._.WKLY._.STAFF._.CHARTS." vbProcedure="false">{#N/A,#N/A,FALSE,"Cover Sheet";#N/A,#N/A,FALSE,"Key Indicators";#N/A,#N/A,FALSE,"Orders Summary";#N/A,#N/A,FALSE,"ORDERS TREND GRAPH";#N/A,#N/A,FALSE,"Revenue Summary";#N/A,#N/A,FALSE,"REVENUE TREND GRAPH";#N/A,#N/A,FALSE,"Revenue Actions";#N/A,#N/A,FALSE,"BACKLOG ANALYSIS";#N/A,#N/A,FALSE,"Keys to Success"}</definedName>
    <definedName function="false" hidden="true" name="wrn.SPEC._.GAS._.CYLS." vbProcedure="false">{"SPEC GAS CYLS",#N/A,FALSE,"SPEC GAS"}</definedName>
    <definedName function="false" hidden="true" name="wrn.STAMPA_BD." vbProcedure="false">{#N/A,#N/A,FALSE,"TOTAL";#N/A,#N/A,FALSE,"FND";#N/A,#N/A,FALSE,"FSD";#N/A,#N/A,FALSE,"OND";#N/A,#N/A,FALSE,"WTD";#N/A,#N/A,FALSE,"MND";#N/A,#N/A,FALSE,"MSD";#N/A,#N/A,FALSE,"MPD";#N/A,#N/A,FALSE,"ISD";#N/A,#N/A,FALSE,"ESD";#N/A,#N/A,FALSE,"OTH";#N/A,#N/A,FALSE,"PSD";#N/A,#N/A,FALSE,"ELIM";#N/A,#N/A,FALSE,"CHART_YTD";#N/A,#N/A,FALSE,"CHART_MONTH"}</definedName>
    <definedName function="false" hidden="true" name="wrn.Standard." vbProcedure="false">{#N/A,#N/A,FALSE,"IS US";#N/A,#N/A,FALSE,"BS US";#N/A,#N/A,FALSE,"IS LOCAL";#N/A,#N/A,FALSE,"BS INPUT";#N/A,#N/A,FALSE,"EQUITY";#N/A,#N/A,FALSE,"LOCAL ADJ";#N/A,#N/A,FALSE,"GAAP ADJ"}</definedName>
    <definedName function="false" hidden="true" name="wrn.stand_alone." vbProcedure="false">{#N/A,#N/A,FALSE,"CBE";#N/A,#N/A,FALSE,"SWK"}</definedName>
    <definedName function="false" hidden="true" name="wrn.STAT._.Only." vbProcedure="false">{#N/A,#N/A,FALSE,"Stat BS";#N/A,#N/A,FALSE,"Stat IS";#N/A,#N/A,FALSE,"Cash Flow";#N/A,#N/A,FALSE,"Part 1 Interest";#N/A,#N/A,FALSE,"Part 2 Premiums";#N/A,#N/A,FALSE,"Part 3 Losses";#N/A,#N/A,FALSE,"Part 3a Losses";#N/A,#N/A,FALSE,"Part 4 Expenses";#N/A,#N/A,FALSE,"Quota Share Rpt";#N/A,#N/A,FALSE,"MGA Settlement Statement"}</definedName>
    <definedName function="false" hidden="true" name="wrn.step_el." vbProcedure="false">{"stepel",#N/A,FALSE,"AHFSTEP"}</definedName>
    <definedName function="false" hidden="true" name="wrn.Suez._.Industrie._.31121995." vbProcedure="false">{#N/A,#N/A,FALSE,"Suez Industrie commentaires 12";#N/A,#N/A,FALSE,"Suez Industrie Bilan comp 1295";#N/A,#N/A,FALSE,"Suez Industrie Actif au 311295";#N/A,#N/A,FALSE,"Suez Industrie Passif 311295";#N/A,#N/A,FALSE,"Suez Industrie Cprés comp 1295";#N/A,#N/A,FALSE,"Suez Industrie résultat 311295";#N/A,#N/A,FALSE,"Suez Indus Fiscale 311295";#N/A,#N/A,FALSE,"Suez Industrie Lg terme 311295";#N/A,#N/A,FALSE,"Ecart Ptf Soc_Fisc 31-12-95";#N/A,#N/A,FALSE,"Suez Industrie OPCVM 311295";#N/A,#N/A,FALSE,"Suez Industrie Provis° passif";#N/A,#N/A,FALSE,"Suez Industrie SCI 311295";#N/A,#N/A,FALSE,"Suez Industrie Hors Bilan 95";#N/A,#N/A,FALSE,"Apport Cie de Suez du 300695"}</definedName>
    <definedName function="false" hidden="true" name="wrn.sum." vbProcedure="false">{"Opsys",#N/A,FALSE,"NPV_OPsys";"NT",#N/A,FALSE,"NPV_NT";"DevP",#N/A,FALSE,"NPV_DevPdt";"Office",#N/A,FALSE,"NPV_Office"}</definedName>
    <definedName function="false" hidden="true" name="wrn.sum2" vbProcedure="false">{"Sum WW A",#N/A,FALSE,"FY95SLS";"Sum WW B",#N/A,FALSE,"FY95SLS";"Sum US A",#N/A,FALSE,"FY95SLS";"Sum US B",#N/A,FALSE,"FY95SLS";"Sum US Bocg",#N/A,FALSE,"FY95SLS";"Sum Can A",#N/A,FALSE,"FY95SLS";"Sum Can B",#N/A,FALSE,"FY95SLS";"Sum Europe",#N/A,FALSE,"FY95SLS";"Sum Row",#N/A,FALSE,"FY95SLS"}</definedName>
    <definedName function="false" hidden="true" name="wrn.summary" vbProcedure="false">{"Sum WW A",#N/A,FALSE,"FY95SLS";"Sum WW B",#N/A,FALSE,"FY95SLS";"Sum US A",#N/A,FALSE,"FY95SLS";"Sum US B",#N/A,FALSE,"FY95SLS";"Sum US Bocg",#N/A,FALSE,"FY95SLS";"Sum Can A",#N/A,FALSE,"FY95SLS";"Sum Can B",#N/A,FALSE,"FY95SLS";"Sum Europe",#N/A,FALSE,"FY95SLS";"Sum Row",#N/A,FALSE,"FY95SLS"}</definedName>
    <definedName function="false" hidden="true" name="wrn.SUMMARY." vbProcedure="false">{"SUMMARY",#N/A,FALSE,"SUMMARY"}</definedName>
    <definedName function="false" hidden="true" name="wrn.Summary.b" vbProcedure="false">{"front",#N/A,TRUE,"Cover";"S&amp;U",#N/A,TRUE,"s&amp;u";"breakdown",#N/A,TRUE,"Breakdown";"P&amp;L",#N/A,TRUE,"P&amp;L";"Balance Sheet",#N/A,TRUE,"BS";"Cashflow",#N/A,TRUE,"CF";"Exit Cap",#N/A,TRUE,"Rets";"Returns",#N/A,TRUE,"Rets"}</definedName>
    <definedName function="false" hidden="true" name="wrn.summary._.schedules." vbProcedure="false">{"summary1",#N/A,FALSE,"Summary of Values";"summary2",#N/A,FALSE,"Summary of Values"}</definedName>
    <definedName function="false" hidden="true" name="wrn.Summary._.with._.short._.outputs." vbProcedure="false">{#N/A,#N/A,FALSE,"Cover";"Short outputs",#N/A,FALSE,"Outputs";#N/A,#N/A,FALSE,"Control (In)";"tesco summary",#N/A,FALSE,"Tesco";"Outputs and Co summaries",#N/A,FALSE,"Sainsbury";"Outputs and Co Summaries",#N/A,FALSE,"Carrefour";"Outputs and Co summaries",#N/A,FALSE,"Co D";"Outputs and Co summaries",#N/A,FALSE,"Co E"}</definedName>
    <definedName function="false" hidden="true" name="wrn.SummaryPgs." vbProcedure="false">{#N/A,#N/A,FALSE,"CreditStat";#N/A,#N/A,FALSE,"SPbrkup";#N/A,#N/A,FALSE,"MerSPsyn";#N/A,#N/A,FALSE,"MerSPwKCsyn";#N/A,#N/A,FALSE,"MerSPwKCsyn (2)";#N/A,#N/A,FALSE,"CreditStat (2)"}</definedName>
    <definedName function="false" hidden="true" name="wrn.summit." vbProcedure="false">{#N/A,#N/A,FALSE,"TB";#N/A,#N/A,FALSE,"DR";#N/A,#N/A,FALSE,"AR";#N/A,#N/A,FALSE,"PL";#N/A,#N/A,FALSE,"BS";#N/A,#N/A,FALSE,"NOTES";#N/A,#N/A,FALSE,"NOTES (2)";#N/A,#N/A,FALSE,"NOTES (3)";#N/A,#N/A,FALSE,"DPL";#N/A,#N/A,FALSE,"TAXC.INDEX";#N/A,#N/A,FALSE,"Schedule I";#N/A,#N/A,FALSE,"Adjustments"}</definedName>
    <definedName function="false" hidden="true" name="wrn.summit.1" vbProcedure="false">{#N/A,#N/A,FALSE,"TB";#N/A,#N/A,FALSE,"DR";#N/A,#N/A,FALSE,"AR";#N/A,#N/A,FALSE,"PL";#N/A,#N/A,FALSE,"BS";#N/A,#N/A,FALSE,"NOTES";#N/A,#N/A,FALSE,"NOTES (2)";#N/A,#N/A,FALSE,"NOTES (3)";#N/A,#N/A,FALSE,"DPL";#N/A,#N/A,FALSE,"TAXC.INDEX";#N/A,#N/A,FALSE,"Schedule I";#N/A,#N/A,FALSE,"Adjustments"}</definedName>
    <definedName function="false" hidden="true" name="wrn.SUMNPV." vbProcedure="false">{"Sumnpv",#N/A,FALSE,"List"}</definedName>
    <definedName function="false" hidden="true" name="wrn.SUPP."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wrn.synthèse1." vbProcedure="false">{"synth",#N/A,FALSE,"RATIOS CONSO";"synth",#N/A,FALSE,"CA CONSO";"synth",#N/A,FALSE,"RO CONSO";"synth",#N/A,FALSE,"EBITDA CONSO";"synth",#N/A,FALSE,"CAPEX CONSO";"synth",#N/A,FALSE,"Disponible"}</definedName>
    <definedName function="false" hidden="true" name="wrn.synthèse2." vbProcedure="false">{"synth",#N/A,TRUE,"Disponible";"synth",#N/A,TRUE,"CAPEX CONSO"}</definedName>
    <definedName function="false" hidden="true" name="wrn.Tabelas._.FII._.Nova._.Morada." vbProcedure="false">{#N/A,#N/A,FALSE,"Cristal D'Oro (Tabela)";#N/A,#N/A,FALSE,"Cond Rio Tietê (Tabela)";#N/A,#N/A,FALSE,"Jacyr Leal (Tabela)";#N/A,#N/A,FALSE,"Paul Cézanne (Tabela)";#N/A,#N/A,FALSE,"Tom Jobim  (Tabela)"}</definedName>
    <definedName function="false" hidden="true" name="wrn.Tabla._.PL." vbProcedure="false">{#N/A,#N/A,FALSE,"P.L.Full";#N/A,#N/A,FALSE,"P.L.Desc."}</definedName>
    <definedName function="false" hidden="true" name="wrn.Tables." vbProcedure="false">{"view1",#N/A,FALSE,"Tables";"view2",#N/A,FALSE,"Tables";"view3",#N/A,FALSE,"Tables"}</definedName>
    <definedName function="false" hidden="true" name="wrn.taihing." vbProcedure="false">{#N/A,#N/A,FALSE,"DIR-REP";#N/A,#N/A,FALSE,"AUD-REPORT";#N/A,#N/A,FALSE,"P7L&amp;BS";#N/A,#N/A,FALSE,"NOTES";#N/A,#N/A,FALSE,"FA";#N/A,#N/A,FALSE,"NOTES (2)";#N/A,#N/A,FALSE,"Schedule  IV";#N/A,#N/A,FALSE,"Schedule V"}</definedName>
    <definedName function="false" hidden="true" name="wrn.taihing.1" vbProcedure="false">{#N/A,#N/A,FALSE,"DIR-REP";#N/A,#N/A,FALSE,"AUD-REPORT";#N/A,#N/A,FALSE,"P7L&amp;BS";#N/A,#N/A,FALSE,"NOTES";#N/A,#N/A,FALSE,"FA";#N/A,#N/A,FALSE,"NOTES (2)";#N/A,#N/A,FALSE,"Schedule  IV";#N/A,#N/A,FALSE,"Schedule V"}</definedName>
    <definedName function="false" hidden="true" name="wrn.Target." vbProcedure="false">{#N/A,#N/A,TRUE,"Tar-Ass";#N/A,#N/A,TRUE,"Tar-IS";#N/A,#N/A,TRUE,"Tar-BS";#N/A,#N/A,TRUE,"Tar-CF";#N/A,#N/A,TRUE,"Tar-Adg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function="false" hidden="true" name="wrn.TARGET._.DCF." vbProcedure="false">{"targetdcf",#N/A,FALSE,"Merger consequences";"TARGETASSU",#N/A,FALSE,"Merger consequences";"TERMINAL VALUE",#N/A,FALSE,"Merger consequences"}</definedName>
    <definedName function="false" hidden="true" name="wrn.Target._.Summary." vbProcedure="false">{"SUMMARY",#N/A,FALSE,"Sheet1"}</definedName>
    <definedName function="false" hidden="true" name="wrn.TargetLBO." vbProcedure="false">{#N/A,#N/A,TRUE,"Tar-Ass";#N/A,#N/A,TRUE,"Tar-Ass LBO";#N/A,#N/A,TRUE,"LBO Ret";#N/A,#N/A,TRUE,"Tar-BS LBO";#N/A,#N/A,TRUE,"Tar-IS LBO";#N/A,#N/A,TRUE,"Tar-CF LBO";#N/A,#N/A,TRUE,"Tar-Debt LBO";#N/A,#N/A,TRUE,"Tar-Int LBO";#N/A,#N/A,TRUE,"Tar-Taxes LBO";#N/A,#N/A,TRUE,"Tar-Val LBO"}</definedName>
    <definedName function="false" hidden="true" name="wrn.TargetState." vbProcedure="false">{#N/A,#N/A,FALSE,"Tar-Ass";#N/A,#N/A,FALSE,"Tar-IS";#N/A,#N/A,FALSE,"Tar-BS";#N/A,#N/A,FALSE,"Tar-Adg BS";#N/A,#N/A,FALSE,"Tar-CF"}</definedName>
    <definedName function="false" hidden="true" name="wrn.TargetVal." vbProcedure="false">{#N/A,#N/A,TRUE,"Val - sum";#N/A,#N/A,TRUE,"Val - Sum1";#N/A,#N/A,TRUE,"Val - sum2";#N/A,#N/A,TRUE,"Val - Sum3";#N/A,#N/A,TRUE,"Tar-DCF";#N/A,#N/A,TRUE,"Tar-Val LBO";#N/A,#N/A,TRUE,"Tar-Mult Val"}</definedName>
    <definedName function="false" hidden="true" name="wrn.Tariff._.Analysis." vbProcedure="false">{"Tarifica91",#N/A,FALSE,"Tariffs";"Tarifica92",#N/A,FALSE,"Tariffs";"Tarifica93",#N/A,FALSE,"Tariffs";"Tarifica94",#N/A,FALSE,"Tariffs";"Tarifica95",#N/A,FALSE,"Tariffs";"Tarifica96",#N/A,FALSE,"Tariffs"}</definedName>
    <definedName function="false" hidden="true" name="wrn.Tariff._.Comaprison." vbProcedure="false">{"Tariff Comparison",#N/A,FALSE,"Benchmarking";"Tariff Comparison 2",#N/A,FALSE,"Benchmarking";"Tariff Comparison 3",#N/A,FALSE,"Benchmarking"}</definedName>
    <definedName function="false" hidden="true" name="wrn.TAXES." vbProcedure="false">{"taxes",#N/A,FALSE,"Taxes"}</definedName>
    <definedName function="false" hidden="true" name="wrn.tcs2." vbProcedure="false">{"tcs1",#N/A,FALSE,"Contra Patch"}</definedName>
    <definedName function="false" hidden="true" name="wrn.technology." vbProcedure="false">{"developed valuation",#N/A,FALSE,"Valuation Analysis";"developed income statement",#N/A,FALSE,"Abbreviated Income Statement";"inprocess valuation",#N/A,FALSE,"Valuation Analysis";"inprocess income statement",#N/A,FALSE,"Abbreviated Income Statement"}</definedName>
    <definedName function="false" hidden="true" name="wrn.tekst._.tabellen." vbProcedure="false">{#N/A,#N/A,FALSE,"Ev.ventes DP";#N/A,#N/A,FALSE,"Hypo.econ.";#N/A,#N/A,FALSE,"Pot.2015";#N/A,#N/A,FALSE,"Comp.pot";#N/A,#N/A,FALSE,"HorsG";#N/A,#N/A,FALSE,"DP"}</definedName>
    <definedName function="false" hidden="true" name="wrn.TEMP." vbProcedure="false">{#N/A,#N/A,FALSE,"TB";#N/A,#N/A,FALSE,"AR";#N/A,#N/A,FALSE,"BS";#N/A,#N/A,FALSE,"PL";#N/A,#N/A,FALSE,"NOTES";#N/A,#N/A,FALSE,"NOTES (2)";#N/A,#N/A,FALSE,"NOTES (3)";#N/A,#N/A,FALSE,"TAXC.INDEX";#N/A,#N/A,FALSE,"Schedule I";#N/A,#N/A,FALSE,"DPL";#N/A,#N/A,FALSE,"Schedule IV";#N/A,#N/A,FALSE,"Adjustments"}</definedName>
    <definedName function="false" hidden="true" name="wrn.temp.1" vbProcedure="false">{#N/A,#N/A,FALSE,"TB";#N/A,#N/A,FALSE,"AR";#N/A,#N/A,FALSE,"BS";#N/A,#N/A,FALSE,"PL";#N/A,#N/A,FALSE,"NOTES";#N/A,#N/A,FALSE,"NOTES (2)";#N/A,#N/A,FALSE,"NOTES (3)";#N/A,#N/A,FALSE,"TAXC.INDEX";#N/A,#N/A,FALSE,"Schedule I";#N/A,#N/A,FALSE,"DPL";#N/A,#N/A,FALSE,"Schedule IV";#N/A,#N/A,FALSE,"Adjustments"}</definedName>
    <definedName function="false" hidden="true" name="wrn.TERMINAL._.VALUE." vbProcedure="false">{"terminal value",#N/A,FALSE,"TV_Payback"}</definedName>
    <definedName function="false" hidden="true" name="wrn.test." vbProcedure="false">{#N/A,#N/A,FALSE,"TabA";#N/A,#N/A,FALSE,"UTopxFx98";#N/A,#N/A,FALSE,"TopxFx98";#N/A,#N/A,FALSE,"TopxNom"}</definedName>
    <definedName function="false" hidden="true" name="wrn.Thomas_Case." vbProcedure="false">{#N/A,#N/A,TRUE,"Thomas Case";#N/A,#N/A,TRUE,"Corporate Overhead";#N/A,#N/A,TRUE,"Arizona";#N/A,#N/A,TRUE,"Cal";#N/A,#N/A,TRUE,"Illinois";#N/A,#N/A,TRUE,"Indiana";#N/A,#N/A,TRUE,"Ohio";#N/A,#N/A,TRUE,"Pennsylvania";#N/A,#N/A,TRUE,"Growth";#N/A,#N/A,TRUE,"Anthem";#N/A,#N/A,TRUE,"Pipeline"}</definedName>
    <definedName function="false" hidden="true" name="wrn.tiger." vbProcedure="false">{#N/A,#N/A,FALSE,"TB";#N/A,#N/A,FALSE,"CONTENTS";#N/A,#N/A,FALSE,"DR";#N/A,#N/A,FALSE,"AR";#N/A,#N/A,FALSE,"BS";#N/A,#N/A,FALSE,"PL";#N/A,#N/A,FALSE,"NOTES";#N/A,#N/A,FALSE,"NOTES (2)";#N/A,#N/A,FALSE,"NOTES (3)";#N/A,#N/A,FALSE,"DPL";#N/A,#N/A,FALSE,"DPL"}</definedName>
    <definedName function="false" hidden="true" name="wrn.tigertax." vbProcedure="false">{#N/A,#N/A,FALSE,"TAXC.INDEX";#N/A,#N/A,FALSE,"Schedule I";#N/A,#N/A,FALSE,"Schedule  II";#N/A,#N/A,FALSE,"Schedule III"}</definedName>
    <definedName function="false" hidden="true" name="wrn.tigertax.1" vbProcedure="false">{#N/A,#N/A,FALSE,"TAXC.INDEX";#N/A,#N/A,FALSE,"Schedule I";#N/A,#N/A,FALSE,"Schedule  II";#N/A,#N/A,FALSE,"Schedule III"}</definedName>
    <definedName function="false" hidden="true" name="wrn.Todas._.las._.tablas." vbProcedure="false">{#N/A,#N/A,FALSE,"Resumen";#N/A,#N/A,FALSE,"Full";#N/A,"Carabeer",FALSE,"Dscto.";#N/A,"Disbracentro",FALSE,"Dscto.";#N/A,"Andes",FALSE,"Dscto.";#N/A,"Mar Caribe",FALSE,"Dscto.";#N/A,"Río Beer",FALSE,"Dscto.";#N/A,#N/A,FALSE,"P.L.Full";#N/A,#N/A,FALSE,"P.L.Desc."}</definedName>
    <definedName function="false" hidden="true" name="wrn.Tota._.Division103a"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_Division3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Business."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wrn.Total._.Chem._.Balance._.Sheet." vbProcedure="false">{#N/A,"TCHEM",FALSE,"BSHIST.XLS"}</definedName>
    <definedName function="false" hidden="true" name="wrn.Total._.Company._.Reforecast._.Print." vbProcedure="false">{#N/A,#N/A,FALSE,"RF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function="false" hidden="true" name="wrn.Total._.Division"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4"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5"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a1b"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Informes." vbProcedure="false">{#N/A,#N/A,FALSE,"CA";#N/A,#N/A,FALSE,"CN";#N/A,#N/A,FALSE,"Inv";#N/A,#N/A,FALSE,"Inv Acc";"Miguel_balance",#N/A,FALSE,"Bal";#N/A,#N/A,FALSE,"Plantilla";#N/A,#N/A,FALSE,"CA (2)";#N/A,#N/A,FALSE,"CN (2)"}</definedName>
    <definedName function="false" hidden="true" name="wrn.Total._.Market._.Report." vbProcedure="false">{#N/A,#N/A,FALSE,"Sales Graph";#N/A,#N/A,FALSE,"BUC Graph";#N/A,#N/A,FALSE,"P&amp;L - YTD"}</definedName>
    <definedName function="false" hidden="true" name="wrn.total._Division1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4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a4"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comp." vbProcedure="false">{"comp1",#N/A,FALSE,"COMPS";"footnotes",#N/A,FALSE,"COMPS"}</definedName>
    <definedName function="false" hidden="true" name="wrn.totalcomp.1" vbProcedure="false">{"comp1",#N/A,FALSE,"COMPS";"footnotes",#N/A,FALSE,"COMPS"}</definedName>
    <definedName function="false" hidden="true" name="wrn.total_Divisionb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r." vbProcedure="false">{"Totax",#N/A,FALSE,"Sheet1";#N/A,#N/A,FALSE,"Law Output"}</definedName>
    <definedName function="false" hidden="true" name="wrn.Tout._.Sauf._.BG."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wrn.Track." vbProcedure="false">{#N/A,#N/A,FALSE,"Inc Stmt";#N/A,#N/A,FALSE,"Indirect Costs";#N/A,#N/A,FALSE,"Capital"}</definedName>
    <definedName function="false" hidden="true" name="wrn.trademark._.and._.trade._.name." vbProcedure="false">{"trademark1",#N/A,FALSE,"Trademark(s) and Trade Name(s)"}</definedName>
    <definedName function="false" hidden="true" name="wrn.trans._.sum." vbProcedure="false">{"trans assumptions",#N/A,FALSE,"Merger";"trans accretion",#N/A,FALSE,"Merger"}</definedName>
    <definedName function="false" hidden="true" name="wrn.TRANSPORT._.COSTS." vbProcedure="false">{"TRANSPORT COSTS",#N/A,FALSE,"C.CENTRE"}</definedName>
    <definedName function="false" hidden="true" name="wrn.treso._.mrz." vbProcedure="false">{#N/A,#N/A,TRUE,"rmblt";#N/A,#N/A,TRUE,"emlt";#N/A,#N/A,TRUE,"graphes";#N/A,#N/A,TRUE,"recap"}</definedName>
    <definedName function="false" hidden="true" name="wrn.Trial._.Balances." vbProcedure="false">{#N/A,#N/A,FALSE,"Trial Balance-STAT";#N/A,#N/A,FALSE,"Trial Balance-GAAP"}</definedName>
    <definedName function="false" hidden="true" name="wrn.Tweety." vbProcedure="false">{#N/A,#N/A,FALSE,"A&amp;E";#N/A,#N/A,FALSE,"HighTop";#N/A,#N/A,FALSE,"JG";#N/A,#N/A,FALSE,"RI";#N/A,#N/A,FALSE,"woHT";#N/A,#N/A,FALSE,"woHT&amp;JG"}</definedName>
    <definedName function="false" hidden="true" name="wrn.Typhoon." vbProcedure="false">{"Agg Output",#N/A,FALSE,"Operational Drivers Output";"NW Output",#N/A,FALSE,"Operational Drivers Output";"South Output",#N/A,FALSE,"Operational Drivers Output";"Central Output",#N/A,FALSE,"Operational Drivers Output"}</definedName>
    <definedName function="false" hidden="true" name="wrn.typical." vbProcedure="false">{"typical",#N/A,FALSE,"Typical Absence"}</definedName>
    <definedName function="false" hidden="true" name="wrn.Umsatz." vbProcedure="false">{#N/A,#N/A,FALSE,"Umsatz";#N/A,#N/A,FALSE,"Base V.02";#N/A,#N/A,FALSE,"Charts"}</definedName>
    <definedName function="false" hidden="true" name="wrn.UmsatzwertePlan1997." vbProcedure="false">{#N/A,#N/A,TRUE,"UmsSumAnteilFZ";#N/A,#N/A,TRUE,"UmsatzSumme";#N/A,#N/A,TRUE,"G&amp;V"}</definedName>
    <definedName function="false" hidden="true" name="wrn.uni" vbProcedure="false">{"Units A",#N/A,FALSE,"FY95SLS";"Units B",#N/A,FALSE,"FY95SLS"}</definedName>
    <definedName function="false" hidden="true" name="wrn.Units." vbProcedure="false">{"Units A",#N/A,FALSE,"FY95SLS";"Units B",#N/A,FALSE,"FY95SLS"}</definedName>
    <definedName function="false" hidden="true" name="wrn.up." vbProcedure="false">{"up stand alones",#N/A,FALSE,"Acquiror"}</definedName>
    <definedName function="false" hidden="true" name="wrn.Upper._.Case." vbProcedure="false">{"presentation","onepurchase",FALSE,"Inputs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function="false" hidden="true" name="wrn.upstairs." vbProcedure="false">{"histincome",#N/A,FALSE,"hyfins";"closing balance",#N/A,FALSE,"hyfins"}</definedName>
    <definedName function="false" hidden="true" name="wrn.US._.and._.Europe." vbProcedure="false">{#N/A,#N/A,FALSE,"Consolidated Financials";#N/A,#N/A,FALSE,"US Mkt";#N/A,#N/A,FALSE,"Eur Mkt"}</definedName>
    <definedName function="false" hidden="true" name="wrn.US._.Dollar." vbProcedure="false">{"US Dollars",#N/A,TRUE,"PPD";"US Dollar",#N/A,TRUE,"Anaquest";"US Dollar",#N/A,TRUE,"Delta";"US Dollar",#N/A,TRUE,"INO"}</definedName>
    <definedName function="false" hidden="true" name="wrn.usd." vbProcedure="fals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function="false" hidden="true" name="wrn.USW." vbProcedure="false">{"IS",#N/A,FALSE,"IS";"RPTIS",#N/A,FALSE,"RPTIS";"STATS",#N/A,FALSE,"STATS";"BS",#N/A,FALSE,"BS"}</definedName>
    <definedName function="false" hidden="true" name="wrn.UTL._.Position." vbProcedure="false">{"UTL effect",#N/A,FALSE,"Sensitivity"}</definedName>
    <definedName function="false" hidden="true" name="wrn.valderrama." vbProcedure="false">{"valderrama1",#N/A,FALSE,"Pro Forma";"valderrama",#N/A,FALSE,"Pro Forma"}</definedName>
    <definedName function="false" hidden="true" name="wrn.Valo._.Vivendi." vbProcedure="false">{#N/A,#N/A,FALSE,"VIVENDI SOP";#N/A,#N/A,FALSE,"Water division SOP";#N/A,#N/A,FALSE,"Water multiple valuation"}</definedName>
    <definedName function="false" hidden="true" name="wrn.VALUATION." vbProcedure="false">{#N/A,#N/A,FALSE,"Valuation Assumptions";#N/A,#N/A,FALSE,"Summary";#N/A,#N/A,FALSE,"DCF";#N/A,#N/A,FALSE,"Valuation";#N/A,#N/A,FALSE,"WACC";#N/A,#N/A,FALSE,"UBVH";#N/A,#N/A,FALSE,"Free Cash Flow"}</definedName>
    <definedName function="false" hidden="true" name="wrn.Valuation._.Package._.1." vbProcedure="false">{"Balance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function="false" hidden="tru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true" name="wrn.Variance." vbProcedure="false">{"Act_vs_Budget",#N/A,FALSE,"QTRDPVAR";"Act_vs_Prior_Year",#N/A,FALSE,"QTRDPVAR"}</definedName>
    <definedName function="false" hidden="true" name="wrn.Variance._.3." vbProcedure="false">{"Variance Q3",#N/A,FALSE,"Var"}</definedName>
    <definedName function="false" hidden="true" name="wrn.Variance._.Q1." vbProcedure="false">{"Variance Q1",#N/A,FALSE,"Var"}</definedName>
    <definedName function="false" hidden="true" name="wrn.Variance._.Q2." vbProcedure="false">{"Variance Q2",#N/A,FALSE,"Var"}</definedName>
    <definedName function="false" hidden="true" name="wrn.Variance._.Q3." vbProcedure="false">{"Variance Q3",#N/A,FALSE,"Var"}</definedName>
    <definedName function="false" hidden="true" name="wrn.Variance._.Q4" vbProcedure="false">{"Variance Q4",#N/A,FALSE,"Var"}</definedName>
    <definedName function="false" hidden="true" name="wrn.Variance._.Q4." vbProcedure="false">{"Variance Q4",#N/A,FALSE,"Var"}</definedName>
    <definedName function="false" hidden="true" name="WRN.VERB." vbProcedure="false">{#N/A,#N/A,FALSE,"Valuation Assumptions";#N/A,#N/A,FALSE,"Summary";#N/A,#N/A,FALSE,"DCF";#N/A,#N/A,FALSE,"Valuation";#N/A,#N/A,FALSE,"WACC";#N/A,#N/A,FALSE,"UBVH";#N/A,#N/A,FALSE,"Free Cash Flow"}</definedName>
    <definedName function="false" hidden="true" name="wrn.Vinyl1999IFOrecons." vbProcedure="false">{"Vinyl1999Q1IFOrecon",#N/A,TRUE,"Vinyl";"Vinyl1999Q2IFOrecon",#N/A,TRUE,"Vinyl";"Vinyl1999Q3IFOrecon",#N/A,TRUE,"Vinyl";"Vinyl1999Q4IFOrecon",#N/A,TRUE,"Vinyl";"Vinyl1999TotalIFOrecon",#N/A,TRUE,"Vinyl";#N/A,#N/A,TRUE,"Vinyl"}</definedName>
    <definedName function="false" hidden="true" name="wrn.Wacc." vbProcedure="false">{"Area1",#N/A,FALSE,"OREWACC";"Area2",#N/A,FALSE,"OREWACC"}</definedName>
    <definedName function="false" hidden="true" name="wrn.wara." vbProcedure="false">{"weighted average returns",#N/A,FALSE,"WACC and WARA"}</definedName>
    <definedName function="false" hidden="true" name="wrn.Water." vbProcedure="false">{#N/A,#N/A,FALSE,"Water";#N/A,#N/A,FALSE,"Ballygowan";#N/A,#N/A,FALSE,"Volvic"}</definedName>
    <definedName function="false" hidden="true" name="wrn.whole._.document." vbProcedure="false">{"page 1",#N/A,FALSE,"A";"page 2",#N/A,FALSE,"A";"page 3",#N/A,FALSE,"A";"page 4",#N/A,FALSE,"A";"page 5",#N/A,FALSE,"A";"page 6",#N/A,FALSE,"A";"page 7",#N/A,FALSE,"A";"page 8",#N/A,FALSE,"A";"page 9",#N/A,FALSE,"A";"page 10",#N/A,FALSE,"A";"page 11",#N/A,FALSE,"A";"page 12",#N/A,FALSE,"A";"page 13",#N/A,FALSE,"A";"page 14",#N/A,FALSE,"A"}</definedName>
    <definedName function="false" hidden="true" name="wrn.WholeShabang." vbProcedure="false">{"QIncStmt",#N/A,FALSE,"Quarter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function="false" hidden="true" name="wrn.WineSpirits." vbProcedure="false">{#N/A,#N/A,FALSE,"W&amp;Spirits";#N/A,#N/A,FALSE,"Grants";#N/A,#N/A,FALSE,"CCB"}</definedName>
    <definedName function="false" hidden="true" name="wrn.work._.paper._.shcedules." vbProcedure="false">{"summary1",#N/A,FALSE,"Summary of Values";"summary2",#N/A,FALSE,"Summary of Values";"weighted average returns",#N/A,FALSE,"WACC and WARA";"fixed asset detail",#N/A,FALSE,"Fixed Asset Detail"}</definedName>
    <definedName function="false" hidden="true" name="wrn.WORKING._.CAPITAL." vbProcedure="false">{"working capital",#N/A,FALSE,"Bal. Sht.- Work Cap"}</definedName>
    <definedName function="false" hidden="true" name="wrn.X140." vbProcedure="false">{"page1",#N/A,FALSE,"X140withReclasses";"page2",#N/A,FALSE,"X140withReclasses";"page3",#N/A,FALSE,"X140withReclasses"}</definedName>
    <definedName function="false" hidden="true" name="wrn.YTD." vbProcedure="false">{"YTD",#N/A,FALSE,"SUM"}</definedName>
    <definedName function="false" hidden="true" name="wrn.YTD._.PACKAGE." vbProcedure="false">{"YD PACKAGE",#N/A,FALSE,"YTD"}</definedName>
    <definedName function="false" hidden="true" name="wrn.YTD._.PRS." vbProcedure="false">{"YD PRS",#N/A,FALSE,"YTD"}</definedName>
    <definedName function="false" hidden="true" name="wrn.YTDvsBud." vbProcedure="false">{"Pg1",#N/A,FALSE,"OpExYTDvsBud";"Pg2",#N/A,FALSE,"OpExYTDvsBud"}</definedName>
    <definedName function="false" hidden="true" name="wrn.YTDvsPY." vbProcedure="false">{"Pa1",#N/A,FALSE,"OpExYTDvsPY";"Pa2",#N/A,FALSE,"OpExYTDvsPY"}</definedName>
    <definedName function="false" hidden="true" name="wrn.YTD_ALL." vbProcedure="false">{"YD LAPO2",#N/A,FALSE,"YTD";"YD LPH2",#N/A,FALSE,"YTD";"YD LOUISIANA",#N/A,FALSE,"YTD";"YD GENERALH2",#N/A,FALSE,"YTD";"YD PRS",#N/A,FALSE,"YTD";"YD PACKAGE",#N/A,FALSE,"YTD";"YD OTHER",#N/A,FALSE,"YTD"}</definedName>
    <definedName function="false" hidden="true" name="wrn.YTD_GENERALH2." vbProcedure="false">{"YD GENERALH2",#N/A,FALSE,"YTD"}</definedName>
    <definedName function="false" hidden="true" name="wrn.YTD_LAPORTE_O2N2." vbProcedure="false">{"YD LAPO2",#N/A,FALSE,"YTD"}</definedName>
    <definedName function="false" hidden="true" name="wrn.YTD_LOUISIANA." vbProcedure="false">{"YD LOUISIANA",#N/A,FALSE,"YTD"}</definedName>
    <definedName function="false" hidden="true" name="wrn.YTD_OTHER." vbProcedure="false">{"YD OTHER",#N/A,FALSE,"YTD"}</definedName>
    <definedName function="false" hidden="true" name="wrn.YTD_TEXAS._.HYCO." vbProcedure="false">{"YD LPH2",#N/A,FALSE,"YTD"}</definedName>
    <definedName function="false" hidden="true" name="wrn.ZAG." vbProcedure="false">{#N/A,"MacToolsZag",FALSE,"P&amp;L"}</definedName>
    <definedName function="false" hidden="true" name="wrn.zagwo337." vbProcedure="false">{#N/A,"Zag Europe w/out Zag Israel",FALSE,"P&amp;L";#N/A,"ZagUkTotal",FALSE,"P&amp;L";#N/A,"ZagFranceConsolid",FALSE,"P&amp;L";#N/A,"ZagItalyConsolid",FALSE,"P&amp;L";#N/A,"ZagCanicoGermany",FALSE,"P&amp;L";#N/A,"ZagNorthernConsolid",FALSE,"P&amp;L"}</definedName>
    <definedName function="false" hidden="true" name="wrn1.1.1" vbProcedure="false">{#N/A,#N/A,FALSE,"Calc";#N/A,#N/A,FALSE,"Sensitivity";#N/A,#N/A,FALSE,"LT Earn.Dil.";#N/A,#N/A,FALSE,"Dil. AVP"}</definedName>
    <definedName function="false" hidden="true" name="wrn1.Current._.Month._.Everything"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wrn1.history" vbProcedure="false">{#N/A,#N/A,FALSE,"model"}</definedName>
    <definedName function="false" hidden="true" name="wrn1.PRINT." vbProcedure="false">{"DOWNLOAD",#N/A,FALSE,"GLDownload";"UPLOAD",#N/A,FALSE,"GLUpload"}</definedName>
    <definedName function="false" hidden="true" name="wrn1.summit" vbProcedure="false">{#N/A,#N/A,FALSE,"TB";#N/A,#N/A,FALSE,"DR";#N/A,#N/A,FALSE,"AR";#N/A,#N/A,FALSE,"PL";#N/A,#N/A,FALSE,"BS";#N/A,#N/A,FALSE,"NOTES";#N/A,#N/A,FALSE,"NOTES (2)";#N/A,#N/A,FALSE,"NOTES (3)";#N/A,#N/A,FALSE,"DPL";#N/A,#N/A,FALSE,"TAXC.INDEX";#N/A,#N/A,FALSE,"Schedule I";#N/A,#N/A,FALSE,"Adjustments"}</definedName>
    <definedName function="false" hidden="true" name="wrn1.supp."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wrn1.tigertax." vbProcedure="false">{#N/A,#N/A,FALSE,"TAXC.INDEX";#N/A,#N/A,FALSE,"Schedule I";#N/A,#N/A,FALSE,"Schedule  II";#N/A,#N/A,FALSE,"Schedule III"}</definedName>
    <definedName function="false" hidden="true" name="wrn2.All"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2.Bplan." vbProcedure="false">{#N/A,#N/A,FALSE,"F_Plan";#N/A,#N/A,FALSE,"Parameter"}</definedName>
    <definedName function="false" hidden="true" name="WRN2.Document" vbProcedure="false">{"consolidated",#N/A,FALSE,"Sheet1";"cms",#N/A,FALSE,"Sheet1";"fse",#N/A,FALSE,"Sheet1"}</definedName>
    <definedName function="false" hidden="true" name="wrn3.ALL." vbProcedure="false">{#N/A,#N/A,FALSE,"DCF";#N/A,#N/A,FALSE,"WACC";#N/A,#N/A,FALSE,"Sales_EBIT";#N/A,#N/A,FALSE,"Capex_Depreciation";#N/A,#N/A,FALSE,"WC";#N/A,#N/A,FALSE,"Interest";#N/A,#N/A,FALSE,"Assumptions"}</definedName>
    <definedName function="false" hidden="true" name="wrn3.histroic" vbProcedure="false">{#N/A,#N/A,FALSE,"model"}</definedName>
    <definedName function="false" hidden="true" name="wrna.prod" vbProcedure="false">{#N/A,#N/A,FALSE,"1";#N/A,#N/A,FALSE,"2";#N/A,#N/A,FALSE,"16 - 17";#N/A,#N/A,FALSE,"18 - 19";#N/A,#N/A,FALSE,"26";#N/A,#N/A,FALSE,"27";#N/A,#N/A,FALSE,"28"}</definedName>
    <definedName function="false" hidden="true" name="wrnaboth" vbProcedure="false">{"detail",#N/A,FALSE,"mfg";"summary",#N/A,FALSE,"mfg"}</definedName>
    <definedName function="false" hidden="true" name="wrnats"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avboth" vbProcedure="false">{"detail",#N/A,FALSE,"mfg";"summary",#N/A,FALSE,"mfg"}</definedName>
    <definedName function="false" hidden="true" name="wrnavpucspadd" vbProcedure="false">{#N/A,"PURCHM",FALSE,"Business Analysis";#N/A,"SPADD",FALSE,"Business Analysis"}</definedName>
    <definedName function="false" hidden="true" name="wrnb213" vbProcedure="false">{"detail",#N/A,FALSE,"mfg";"summary",#N/A,FALSE,"mfg"}</definedName>
    <definedName function="false" hidden="true" name="wrnb412" vbProcedure="false">{"detail",#N/A,FALSE,"mfg";"summary",#N/A,FALSE,"mfg"}</definedName>
    <definedName function="false" hidden="true" name="wrnboth14a" vbProcedure="false">{"detail",#N/A,FALSE,"mfg";"summary",#N/A,FALSE,"mfg"}</definedName>
    <definedName function="false" hidden="true" name="WRNP41" vbProcedure="false">{#N/A,"PURCHM",FALSE,"Business Analysis";#N/A,"SPADD",FALSE,"Business Analysis"}</definedName>
    <definedName function="false" hidden="true" name="wrnp61" vbProcedure="false">{#N/A,"PURCHM",FALSE,"Business Analysis";#N/A,"SPADD",FALSE,"Business Analysis"}</definedName>
    <definedName function="false" hidden="true" name="wrnpav" vbProcedure="false">{#N/A,"PURCHM",FALSE,"Business Analysis";#N/A,"SPADD",FALSE,"Business Analysis"}</definedName>
    <definedName function="false" hidden="true" name="wrnpuc213" vbProcedure="false">{#N/A,"PURCHM",FALSE,"Business Analysis";#N/A,"SPADD",FALSE,"Business Analysis"}</definedName>
    <definedName function="false" hidden="true" name="wrnpuc2412" vbProcedure="false">{#N/A,"PURCHM",FALSE,"Business Analysis";#N/A,"SPADD",FALSE,"Business Analysis"}</definedName>
    <definedName function="false" hidden="true" name="wrnpuc412" vbProcedure="false">{#N/A,"PURCHM",FALSE,"Business Analysis";#N/A,"SPADD",FALSE,"Business Analysis"}</definedName>
    <definedName function="false" hidden="true" name="wrnpucs213" vbProcedure="false">{#N/A,"PURCHM",FALSE,"Business Analysis";#N/A,"SPADD",FALSE,"Business Analysis"}</definedName>
    <definedName function="false" hidden="true" name="wrnpucspadd32" vbProcedure="false">{#N/A,"PURCHM",FALSE,"Business Analysis";#N/A,"SPADD",FALSE,"Business Analysis"}</definedName>
    <definedName function="false" hidden="true" name="wrnpucspaddza103" vbProcedure="false">{#N/A,"PURCHM",FALSE,"Business Analysis";#N/A,"SPADD",FALSE,"Business Analysis"}</definedName>
    <definedName function="false" hidden="true" name="wrnpucspvd" vbProcedure="false">{#N/A,"PURCHM",FALSE,"Business Analysis";#N/A,"SPADD",FALSE,"Business Analysis"}</definedName>
    <definedName function="false" hidden="true" name="wrnpvcs" vbProcedure="false">{#N/A,"PURCHM",FALSE,"Business Analysis";#N/A,"SPADD",FALSE,"Business Analysis"}</definedName>
    <definedName function="false" hidden="true" name="wrnt5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6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7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4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4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213"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x"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div213"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div4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R" vbProcedure="false">{#N/A,#N/A,FALSE,"Pharm";#N/A,#N/A,FALSE,"WWCM"}</definedName>
    <definedName function="false" hidden="true" name="wrre"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wrrrrr" vbProcedure="false">{#N/A,#N/A,FALSE,"REPORT"}</definedName>
    <definedName function="false" hidden="true" name="wrwer" vbProcedure="false">{#N/A,#N/A,FALSE,"Umsatz 99";#N/A,#N/A,FALSE,"ER 99 "}</definedName>
    <definedName function="false" hidden="true" name="wrxave"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y" vbProcedure="false">{"YD LAPO2",#N/A,FALSE,"YTD"}</definedName>
    <definedName function="false" hidden="true" name="ws" vbProcedure="false">{#N/A,#N/A,FALSE,"TB";#N/A,#N/A,FALSE,"AR";#N/A,#N/A,FALSE,"BS";#N/A,#N/A,FALSE,"PL";#N/A,#N/A,FALSE,"NOTES";#N/A,#N/A,FALSE,"NOTES (2)";#N/A,#N/A,FALSE,"NOTES (3)";#N/A,#N/A,FALSE,"TAXC.INDEX";#N/A,#N/A,FALSE,"Schedule I";#N/A,#N/A,FALSE,"DPL";#N/A,#N/A,FALSE,"Schedule IV";#N/A,#N/A,FALSE,"Adjustments"}</definedName>
    <definedName function="false" hidden="true" name="wsetm" vbProcedure="false">{#N/A,#N/A,FALSE,"Eastern";#N/A,#N/A,FALSE,"Western"}</definedName>
    <definedName function="false" hidden="true" name="wt" vbProcedure="false">{"comps2_1",#N/A,FALSE,"Comps2";"comps2_2",#N/A,FALSE,"Comps2";"comps2_3",#N/A,FALSE,"Comps2";"comps2_4",#N/A,FALSE,"Comps2";"comps2_5",#N/A,FALSE,"Comps2"}</definedName>
    <definedName function="false" hidden="true" name="wv" vbProcedure="false">{#N/A,#N/A,FALSE,"Pharm";#N/A,#N/A,FALSE,"WWCM"}</definedName>
    <definedName function="false" hidden="true" name="wvbub"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ebusarea213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t.busarea34"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iPolar." vbProcedure="false">{TRUE,TRUE,43.75,1.75,539.25,324,FALSE,TRUE,TRUE,TRUE,0,1,#N/A,1,#N/A,8.78125,20.2631578947368,1,FALSE,FALSE,1,TRUE,1,FALSE,100,"Swvu.BiPolar.","ACwvu.BiPolar.",#N/A,FALSE,FALSE,0.75,0.75,1,1,2,"&amp;A","Page &amp;P",FALSE,FALSE,FALSE,FALSE,1,#N/A,1,1,FALSE,FALSE,#N/A,#N/A,FALSE,FALSE,FALSE,1,600,600,FALSE,FALSE,TRUE,TRUE,TRUE}</definedName>
    <definedName function="false" hidden="true" name="wvu.busarea."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b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cash." vbProcedure="false">{TRUE,TRUE,-1.25,-15.5,456.75,279.75,FALSE,FALSE,TRUE,TRUE,0,1,18,1,199,6,3,4,TRUE,TRUE,3,TRUE,1,TRUE,100,"Swvu.cash.","ACwvu.cash.",1,FALSE,FALSE,0.511811023622047,0.511811023622047,0.511811023622047,0.511811023622047,1,"","",FALSE,FALSE,FALSE,FALSE,1,#N/A,1,1,#DIV/0!,FALSE,"Rwvu.cash.",#N/A,FALSE,FALSE}</definedName>
    <definedName function="false" hidden="true" name="wvu.ce_storici." vbProcedure="false">{TRUE,TRUE,-1.25,-15.5,484.5,301.5,FALSE,FALSE,TRUE,TRUE,0,1,#N/A,13,#N/A,7.06382978723404,20.2352941176471,1,FALSE,FALSE,3,TRUE,1,FALSE,100,"Swvu.ce_storici.","ACwvu.ce_storici.",1,FALSE,FALSE,0.36,0.44,0.984251968503937,0.984251968503937,2,"&amp;C&amp;B&amp;UBangers Distribution Italia S.p.A.","",TRUE,TRUE,FALSE,FALSE,1,110,#N/A,#N/A,"=R12C1:R242C6,R12C8,R12C8,R12C8:R75C20,R12C22:R242C30",FALSE,#N/A,#N/A,FALSE,FALSE}</definedName>
    <definedName function="false" hidden="true" name="wvu.dd." vbProcedure="false">{TRUE,TRUE,-1.25,-15.5,484.5,301.5,FALSE,FALSE,TRUE,TRUE,0,1,#N/A,9,#N/A,7.578125,17.4117647058824,1,FALSE,FALSE,3,TRUE,1,FALSE,100,"Swvu.dd.","ACwvu.dd.",1,FALSE,FALSE,0.748031496062992,0.354330708661417,1.73228346456693,0.275590551181102,1,"&amp;L&amp;10PASFIN - Servizi Finanziari S.p.A.
&amp;I Mergers  and Acquisitions&amp;R&amp;10Data di stampa: &amp;D
 Ore:      &amp;T","&amp;R&amp;""Times New Roman""Pagina &amp;P",FALSE,FALSE,FALSE,FALSE,1,100,#N/A,#N/A,"=R59C1:R283C7",FALSE,#N/A,#N/A,FALSE,FALSE}</definedName>
    <definedName function="false" hidden="true" name="wvu.HRT." vbProcedure="false">{TRUE,TRUE,43.75,1.75,539.25,324,FALSE,TRUE,TRUE,TRUE,0,19,#N/A,55,#N/A,9.90625,19.7777777777778,1,FALSE,FALSE,1,TRUE,1,FALSE,100,"Swvu.HRT.","ACwvu.HRT.",#N/A,FALSE,FALSE,0.25,0.25,0.25,0.25,2,"&amp;A","Page &amp;P",TRUE,FALSE,FALSE,FALSE,1,#N/A,1,1,"=R8C1:R61C19",FALSE,"Rwvu.HRT.",#N/A,FALSE,FALSE,FALSE,1,600,600,FALSE,FALSE,TRUE,TRUE,TRUE}</definedName>
    <definedName function="false" hidden="true" name="wvu.mono." vbProcedure="false">{TRUE,TRUE,43.75,1.75,539.25,324,FALSE,TRUE,TRUE,TRUE,6,11,#N/A,42,#N/A,10.484375,20,1,FALSE,FALSE,1,TRUE,1,FALSE,100,"Swvu.mono.","ACwvu.mono.",#N/A,FALSE,FALSE,0.75,0.75,1,1,2,"&amp;A","Page &amp;P",FALSE,FALSE,FALSE,FALSE,1,#N/A,1,1,FALSE,FALSE,#N/A,#N/A,FALSE,FALSE,FALSE,1,600,600,FALSE,FALSE,TRUE,TRUE,TRUE}</definedName>
    <definedName function="false" hidden="true" name="wvu.OKT4ARA." vbProcedure="false">{TRUE,TRUE,43.75,1.75,539.25,324,FALSE,TRUE,TRUE,TRUE,0,11,#N/A,47,#N/A,10.484375,19.8888888888889,1,FALSE,FALSE,1,TRUE,1,FALSE,100,"Swvu.OKT4ARA.","ACwvu.OKT4ARA.",#N/A,FALSE,FALSE,0.75,0.75,1,1,2,"&amp;A","Page &amp;P",FALSE,FALSE,FALSE,FALSE,1,#N/A,1,1,FALSE,FALSE,#N/A,#N/A,FALSE,FALSE,FALSE,1,600,600,FALSE,FALSE,TRUE,TRUE,TRUE}</definedName>
    <definedName function="false" hidden="true" name="wvu.profits."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wvu.Sumnpv." vbProcedure="false">{TRUE,TRUE,-1.25,-15.5,604.5,341.25,FALSE,TRUE,TRUE,TRUE,0,2,#N/A,33,#N/A,8.78125,23.3529411764706,1,FALSE,FALSE,3,TRUE,1,FALSE,100,"Swvu.Sumnpv.","ACwvu.Sumnpv.",#N/A,FALSE,FALSE,0.75,0.75,1,1,2,"&amp;A","Page &amp;P",FALSE,FALSE,FALSE,FALSE,1,#N/A,1,1,"=R18C2:R51C20",FALSE,"Rwvu.Sumnpv.",#N/A,FALSE,FALSE,FALSE,1,600,600,FALSE,FALSE,TRUE,TRUE,TRUE}</definedName>
    <definedName function="false" hidden="true" name="wvu.tcs1." vbProcedure="false">{TRUE,TRUE,43.75,1.75,539.25,324,FALSE,TRUE,TRUE,TRUE,0,16,#N/A,53,#N/A,10.484375,19.7777777777778,1,FALSE,FALSE,1,TRUE,1,FALSE,100,"Swvu.tcs1.","ACwvu.tcs1.",#N/A,FALSE,FALSE,0.25,0.25,0.5,0.25,2,"&amp;A","Page &amp;P",FALSE,FALSE,FALSE,FALSE,1,#N/A,1,1,FALSE,FALSE,#N/A,#N/A,FALSE,FALSE,FALSE,1,600,600,FALSE,FALSE,TRUE,TRUE,TRUE}</definedName>
    <definedName function="false" hidden="true" name="wvu.tcs2." vbProcedure="false">{TRUE,TRUE,43.75,1.75,539.25,324,FALSE,TRUE,TRUE,TRUE,0,16,#N/A,1,#N/A,10.484375,20.3157894736842,1,FALSE,FALSE,1,TRUE,1,FALSE,100,"Swvu.tcs2.","ACwvu.tcs2.",#N/A,FALSE,FALSE,0.25,0.25,0.5,0.25,2,"&amp;A","Page &amp;P",FALSE,FALSE,FALSE,FALSE,1,#N/A,1,1,FALSE,FALSE,#N/A,#N/A,FALSE,FALSE,FALSE,1,600,600,FALSE,FALSE,TRUE,TRUE,TRUE}</definedName>
    <definedName function="false" hidden="true" name="wvu.turnover." vbProcedure="false">{TRUE,TRUE,-1.25,-15.5,456.75,279.75,FALSE,FALSE,TRUE,TRUE,0,1,8,1,4,6,3,4,TRUE,TRUE,3,TRUE,1,TRUE,100,"Swvu.turnover.","ACwvu.turnover.",1,FALSE,FALSE,0.511811023622047,0.511811023622047,0.511811023622047,0.511811023622047,1,"","",FALSE,FALSE,FALSE,FALSE,1,#N/A,1,1,#DIV/0!,FALSE,"Rwvu.turnover.",#N/A,FALSE,FALSE}</definedName>
    <definedName function="false" hidden="true" name="wvu.typical." vbProcedure="false">{TRUE,TRUE,43.75,1.75,539.25,324,FALSE,TRUE,TRUE,TRUE,27,14,#N/A,54,#N/A,10.296875,19.7777777777778,1,FALSE,FALSE,1,TRUE,1,FALSE,100,"Swvu.typical.","ACwvu.typical.",#N/A,FALSE,FALSE,0.75,0.75,1,1,2,"&amp;A","Page &amp;P",FALSE,FALSE,FALSE,FALSE,1,#N/A,1,1,"=R7C1:R61C19",FALSE,#N/A,#N/A,FALSE,FALSE,FALSE,1,600,600,FALSE,FALSE,TRUE,TRUE,TRUE}</definedName>
    <definedName function="false" hidden="true" name="wvub41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7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41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213"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35"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w" vbProcedure="false">{#N/A,#N/A,FALSE,"Pharm";#N/A,#N/A,FALSE,"WWCM"}</definedName>
    <definedName function="false" hidden="true" name="ww.Rele" vbProcedure="false">{#N/A,#N/A,FALSE,"Title Page";#N/A,#N/A,FALSE,"Conclusions";#N/A,#N/A,FALSE,"Assum.";#N/A,#N/A,FALSE,"Sun  DCF-WC-Dep";#N/A,#N/A,FALSE,"MarketValue";#N/A,#N/A,FALSE,"BalSheet";#N/A,#N/A,FALSE,"WACC";#N/A,#N/A,FALSE,"PC+ Info.";#N/A,#N/A,FALSE,"PC+Info_2"}</definedName>
    <definedName function="false" hidden="true" name="wwe" vbProcedure="false">{"'Sheet1'!$A$1:$E$287"}</definedName>
    <definedName function="false" hidden="true" name="wwe.kkjk" vbProcedure="false">{#N/A,#N/A,FALSE,"Umsatz CH";#N/A,#N/A,FALSE,"ER CH";#N/A,#N/A,FALSE,"EA CH (2) ";#N/A,#N/A,FALSE,"EA CH";#N/A,#N/A,FALSE,"EA CH (3) ";#N/A,#N/A,FALSE,"EA CH (4)";#N/A,#N/A,FALSE,"KA CH";#N/A,#N/A,FALSE,"KA CH  (2)";#N/A,#N/A,FALSE,"KA CH  (3)";#N/A,#N/A,FALSE,"KA CH (4)"}</definedName>
    <definedName function="false" hidden="true" name="wwt" vbProcedure="false">{"YD LAPO2",#N/A,FALSE,"YTD"}</definedName>
    <definedName function="false" hidden="true" name="www" vbProcedure="false">{#N/A,"PURCHM",FALSE,"Business Analysis";#N/A,"SPADD",FALSE,"Business Analysis"}</definedName>
    <definedName function="false" hidden="true" name="wwww" vbProcedure="false">{#N/A,#N/A,FALSE,"Produkte Erw.";#N/A,#N/A,FALSE,"Produkte Plan";#N/A,#N/A,FALSE,"Leistungen Erw.";#N/A,#N/A,FALSE,"Leistungen Plan";#N/A,#N/A,FALSE,"KA Allg.Kosten (2)";#N/A,#N/A,FALSE,"KA All.Kosten"}</definedName>
    <definedName function="false" hidden="true" name="wwwwwwwww" vbProcedure="false">{"YTD",#N/A,FALSE,"SUM"}</definedName>
    <definedName function="false" hidden="true" name="wwwwwwwwwww" vbProcedure="false">{"YD PACKAGE",#N/A,FALSE,"YTD"}</definedName>
    <definedName function="false" hidden="true" name="wwwwwwwwwwwwww" vbProcedure="false">{"detail",#N/A,FALSE,"mfg";"summary",#N/A,FALSE,"mfg"}</definedName>
    <definedName function="false" hidden="true" name="wx" vbProcedure="false">{#N/A,#N/A,FALSE,"Pharm";#N/A,#N/A,FALSE,"WWCM"}</definedName>
    <definedName function="false" hidden="true" name="x" vbProcedure="false">{#N/A,#N/A,FALSE,"REPORT"}</definedName>
    <definedName function="false" hidden="true" name="xay" vbProcedure="false">{#N/A,#N/A,FALSE,"TAXC.INDEX";#N/A,#N/A,FALSE,"Schedule I";#N/A,#N/A,FALSE,"Schedule  II";#N/A,#N/A,FALSE,"Schedule III";#N/A,#N/A,FALSE,"Schedule IV";#N/A,#N/A,FALSE,"Schedule IV (Cont'd)";#N/A,#N/A,FALSE,"Schedule V";#N/A,#N/A,FALSE,"Schedule VI";#N/A,#N/A,FALSE,"Schedule VII"}</definedName>
    <definedName function="false" hidden="true" name="xb" vbProcedure="false">{"BA detail",#N/A,FALSE,"Q3YTD "}</definedName>
    <definedName function="false" hidden="true" name="xc" vbProcedure="false">{"ICD Details",#N/A,FALSE,"Current Yr";"ICD Details",#N/A,FALSE,"Budget";"ICD Details",#N/A,FALSE,"Prior Year"}</definedName>
    <definedName function="false" hidden="true" name="xccvbcbvcb" vbProcedure="false">{"comps2",#N/A,FALSE,"AERO";"footnotes",#N/A,FALSE,"AERO"}</definedName>
    <definedName function="false" hidden="true" name="xckt" vbProcedure="false">{#N/A,#N/A,FALSE,"DIR-REP";#N/A,#N/A,FALSE,"AUD-REPORT";#N/A,#N/A,FALSE,"P7L&amp;BS";#N/A,#N/A,FALSE,"NOTES";#N/A,#N/A,FALSE,"FA";#N/A,#N/A,FALSE,"NOTES (2)";#N/A,#N/A,FALSE,"Schedule  IV";#N/A,#N/A,FALSE,"Schedule V"}</definedName>
    <definedName function="false" hidden="true" name="xcv" vbProcedure="false">{#N/A,#N/A,FALSE,"Pharm";#N/A,#N/A,FALSE,"WWCM"}</definedName>
    <definedName function="false" hidden="true" name="xcvbxcvbcx" vbProcedure="false">{#N/A,#N/A,FALSE,"Umsatz EO BP";#N/A,#N/A,FALSE,"Umsatz EO OP";#N/A,#N/A,FALSE,"ER EO BP";#N/A,#N/A,FALSE,"ER EO OP";#N/A,#N/A,FALSE,"EA EO (2)";#N/A,#N/A,FALSE,"EA EO";#N/A,#N/A,FALSE,"EA EO (3)";#N/A,#N/A,FALSE,"EA EO (4)";#N/A,#N/A,FALSE,"KA EO  (2)";#N/A,#N/A,FALSE,"KA EO";#N/A,#N/A,FALSE,"KA EO  (3)";#N/A,#N/A,FALSE,"KA EO (4)"}</definedName>
    <definedName function="false" hidden="true" name="xcvcvb"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xcxc"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xczvzs" vbProcedure="false">{"Units A",#N/A,FALSE,"FY95SLS";"Units B",#N/A,FALSE,"FY95SLS"}</definedName>
    <definedName function="false" hidden="true" name="xddd" vbProcedure="false">{#N/A,#N/A,FALSE,"Presentation by Unit";#N/A,#N/A,FALSE,"Presentation by BD";#N/A,#N/A,FALSE,"Presentation Split by Biggest U";#N/A,#N/A,FALSE,"Presentation Split by Area";#N/A,#N/A,FALSE,"Presentation Split by BD"}</definedName>
    <definedName function="false" hidden="true" name="xdfgh" vbProcedure="false">{"Units A",#N/A,FALSE,"FY95SLS";"Units B",#N/A,FALSE,"FY95SLS"}</definedName>
    <definedName function="false" hidden="true" name="xdxdxdx" vbProcedure="false">{"Units A",#N/A,FALSE,"FY95SLS";"Units B",#N/A,FALSE,"FY95SLS"}</definedName>
    <definedName function="false" hidden="true" name="xeas" vbProcedure="false">{#N/A,#N/A,FALSE,"TAXC.INDEX";#N/A,#N/A,FALSE,"Schedule I";#N/A,#N/A,FALSE,"Schedule  II";#N/A,#N/A,FALSE,"Schedule III"}</definedName>
    <definedName function="false" hidden="true" name="XLSIMPARAM" vbProcedure="false">{"Param","Uncertainty!$B$26","NPV","1,000","1","3","1","level","Uncertainty!$E$12:$H$12","Uncertainty!$B$12"}</definedName>
    <definedName function="false" hidden="true" name="XLSIMSIM" vbProcedure="false">{"Sim",1,"Output 1","'Incremental Baxter'!$C$47","1","2","100","0"}</definedName>
    <definedName function="false" hidden="true" name="xlst" vbProcedure="false">{#N/A,#N/A,FALSE,"DIR-REP";#N/A,#N/A,FALSE,"AUD-REPORT";#N/A,#N/A,FALSE,"P7L&amp;BS";#N/A,#N/A,FALSE,"NOTES";#N/A,#N/A,FALSE,"FA";#N/A,#N/A,FALSE,"NOTES (2)";#N/A,#N/A,FALSE,"Schedule  IV";#N/A,#N/A,FALSE,"Schedule V"}</definedName>
    <definedName function="false" hidden="true" name="xlx" vbProcedure="false">{#N/A,#N/A,FALSE,"PMW Gruppe 99_98";#N/A,#N/A,FALSE,"PMW KG 98_99";#N/A,#N/A,FALSE,"PMW Inc. 99_98";#N/A,#N/A,FALSE,"PMW VTECH 99_98";#N/A,#N/A,FALSE,"PMW Thail. 99_98";#N/A,#N/A,FALSE,"PMW Canada 99_98";#N/A,#N/A,FALSE,"Währungsabw. 99_98"}</definedName>
    <definedName function="false" hidden="true" name="xn" vbProcedure="false">{"oct_res_comm",#N/A,FALSE,"VarToBud"}</definedName>
    <definedName function="false" hidden="true" name="xoct" vbProcedure="false">{#N/A,#N/A,FALSE,"TB";#N/A,#N/A,FALSE,"DR";#N/A,#N/A,FALSE,"AR";#N/A,#N/A,FALSE,"BS";#N/A,#N/A,FALSE,"PL";#N/A,#N/A,FALSE,"NOTES";#N/A,#N/A,FALSE,"NOTES (2)";#N/A,#N/A,FALSE,"NOTES (3)";#N/A,#N/A,FALSE,"DPL";#N/A,#N/A,FALSE,"DPL"}</definedName>
    <definedName function="false" hidden="true" name="xod" vbProcedure="false">{#N/A,#N/A,FALSE,"TB";#N/A,#N/A,FALSE,"DR";#N/A,#N/A,FALSE,"AR";#N/A,#N/A,FALSE,"PL";#N/A,#N/A,FALSE,"BS";#N/A,#N/A,FALSE,"NOTES";#N/A,#N/A,FALSE,"NOTES (2)";#N/A,#N/A,FALSE,"NOTES (3)";#N/A,#N/A,FALSE,"DPL";#N/A,#N/A,FALSE,"TAXC.INDEX";#N/A,#N/A,FALSE,"Schedule I";#N/A,#N/A,FALSE,"Adjustments"}</definedName>
    <definedName function="false" hidden="true" name="xog" vbProcedure="false">{#N/A,#N/A,FALSE,"DIR-REP";#N/A,#N/A,FALSE,"AUD-REPORT";#N/A,#N/A,FALSE,"P7L&amp;BS";#N/A,#N/A,FALSE,"NOTES";#N/A,#N/A,FALSE,"FA";#N/A,#N/A,FALSE,"NOTES (2)";#N/A,#N/A,FALSE,"Schedule  IV";#N/A,#N/A,FALSE,"Schedule V"}</definedName>
    <definedName function="false" hidden="true" name="xotlsl" vbProcedure="false">{#N/A,#N/A,FALSE,"TB";#N/A,#N/A,FALSE,"DR";#N/A,#N/A,FALSE,"AR";#N/A,#N/A,FALSE,"BS";#N/A,#N/A,FALSE,"PL";#N/A,#N/A,FALSE,"NOTES";#N/A,#N/A,FALSE,"NOTES (2)";#N/A,#N/A,FALSE,"NOTES (3)";#N/A,#N/A,FALSE,"DPL";#N/A,#N/A,FALSE,"DPL"}</definedName>
    <definedName function="false" hidden="true" name="xptl" vbProcedure="false">{#N/A,#N/A,FALSE,"TB";#N/A,#N/A,FALSE,"AR";#N/A,#N/A,FALSE,"BS";#N/A,#N/A,FALSE,"PL";#N/A,#N/A,FALSE,"NOTES";#N/A,#N/A,FALSE,"NOTES (2)";#N/A,#N/A,FALSE,"NOTES (3)";#N/A,#N/A,FALSE,"TAXC.INDEX";#N/A,#N/A,FALSE,"Schedule I";#N/A,#N/A,FALSE,"DPL";#N/A,#N/A,FALSE,"Schedule IV";#N/A,#N/A,FALSE,"Adjustments"}</definedName>
    <definedName function="false" hidden="true" name="XRefActiveRow" vbProcedure="false">#REF!</definedName>
    <definedName function="false" hidden="true" name="XRefColumnsCount" vbProcedure="false">1</definedName>
    <definedName function="false" hidden="true" name="XRefCopy1" vbProcedure="false">#REF!</definedName>
    <definedName function="false" hidden="true" name="XRefCopy1Row" vbProcedure="false">#REF!</definedName>
    <definedName function="false" hidden="true" name="XRefCopy2" vbProcedure="false">#REF!</definedName>
    <definedName function="false" hidden="true" name="XRefCopy2Row" vbProcedure="false">#REF!</definedName>
    <definedName function="false" hidden="true" name="XRefCopy3" vbProcedure="false">#REF!</definedName>
    <definedName function="false" hidden="true" name="XRefCopy3Row" vbProcedure="false">#REF!</definedName>
    <definedName function="false" hidden="true" name="XRefCopy4" vbProcedure="false">#REF!</definedName>
    <definedName function="false" hidden="true" name="XRefCopy4Row" vbProcedure="false">#REF!</definedName>
    <definedName function="false" hidden="true" name="XRefCopy5" vbProcedure="false">#REF!</definedName>
    <definedName function="false" hidden="true" name="XRefCopy5Row" vbProcedure="false">#REF!</definedName>
    <definedName function="false" hidden="true" name="XRefCopy6" vbProcedure="false">#REF!</definedName>
    <definedName function="false" hidden="true" name="XRefCopy6Row" vbProcedure="false">#REF!</definedName>
    <definedName function="false" hidden="true" name="XRefCopy7" vbProcedure="false">#REF!</definedName>
    <definedName function="false" hidden="true" name="XRefCopy7Row" vbProcedure="false">#REF!</definedName>
    <definedName function="false" hidden="true" name="XRefCopy8" vbProcedure="false">#REF!</definedName>
    <definedName function="false" hidden="true" name="XRefCopy8Row" vbProcedure="false">#REF!</definedName>
    <definedName function="false" hidden="true" name="XRefCopyRangeCount" vbProcedure="false">2</definedName>
    <definedName function="false" hidden="true" name="XRefPaste1" vbProcedure="false">#REF!</definedName>
    <definedName function="false" hidden="true" name="XRefPaste10" vbProcedure="false">#REF!</definedName>
    <definedName function="false" hidden="true" name="XRefPaste10Row" vbProcedure="false">#REF!</definedName>
    <definedName function="false" hidden="true" name="XRefPaste11" vbProcedure="false">#REF!</definedName>
    <definedName function="false" hidden="true" name="XRefPaste11Row" vbProcedure="false">#REF!</definedName>
    <definedName function="false" hidden="true" name="XRefPaste12" vbProcedure="false">#REF!</definedName>
    <definedName function="false" hidden="true" name="XRefPaste12Row" vbProcedure="false">#REF!</definedName>
    <definedName function="false" hidden="true" name="XRefPaste1Row" vbProcedure="false">#REF!</definedName>
    <definedName function="false" hidden="true" name="XRefPaste2" vbProcedure="false">#REF!</definedName>
    <definedName function="false" hidden="true" name="XRefPaste2Row" vbProcedure="false">#REF!</definedName>
    <definedName function="false" hidden="true" name="XRefPaste3" vbProcedure="false">#REF!</definedName>
    <definedName function="false" hidden="true" name="XRefPaste3Row" vbProcedure="false">#REF!</definedName>
    <definedName function="false" hidden="true" name="XRefPaste4" vbProcedure="false">#REF!</definedName>
    <definedName function="false" hidden="true" name="XRefPaste4Row" vbProcedure="false">#REF!</definedName>
    <definedName function="false" hidden="true" name="XRefPaste5" vbProcedure="false">#REF!</definedName>
    <definedName function="false" hidden="true" name="XRefPaste5Row" vbProcedure="false">#REF!</definedName>
    <definedName function="false" hidden="true" name="XRefPaste6" vbProcedure="false">#REF!</definedName>
    <definedName function="false" hidden="true" name="XRefPaste6Row" vbProcedure="false">#REF!</definedName>
    <definedName function="false" hidden="true" name="XRefPaste7" vbProcedure="false">#REF!</definedName>
    <definedName function="false" hidden="true" name="XRefPaste7Row" vbProcedure="false">#REF!</definedName>
    <definedName function="false" hidden="true" name="XRefPaste8" vbProcedure="false">#REF!</definedName>
    <definedName function="false" hidden="true" name="XRefPaste8Row" vbProcedure="false">#REF!</definedName>
    <definedName function="false" hidden="true" name="XRefPaste9" vbProcedure="false">#REF!</definedName>
    <definedName function="false" hidden="true" name="XRefPaste9Row" vbProcedure="false">#REF!</definedName>
    <definedName function="false" hidden="true" name="XRefPasteRangeCount" vbProcedure="false">1</definedName>
    <definedName function="false" hidden="true" name="XREF_COLUMN_1" vbProcedure="false">#REF!</definedName>
    <definedName function="false" hidden="true" name="XREF_COLUMN_2" vbProcedure="false">#REF!</definedName>
    <definedName function="false" hidden="true" name="XREF_COLUMN_3" vbProcedure="false">#REF!</definedName>
    <definedName function="false" hidden="true" name="XREF_COLUMN_4" vbProcedure="false">#REF!</definedName>
    <definedName function="false" hidden="true" name="XREF_COLUMN_5" vbProcedure="false">#REF!</definedName>
    <definedName function="false" hidden="true" name="xrm" vbProcedure="false">{"vue1",#N/A,FALSE,"synthese";"vue2",#N/A,FALSE,"synthese"}</definedName>
    <definedName function="false" hidden="true" name="xrm2" vbProcedure="false">{"vue1",#N/A,FALSE,"synthese";"vue2",#N/A,FALSE,"synthese"}</definedName>
    <definedName function="false" hidden="false" name="xRng_019bc86369544cf2ae14261ce53502a7" vbProcedure="false">#REF!</definedName>
    <definedName function="false" hidden="false" name="xRng_03168d0eaeea461d8acfd7142c9f1109" vbProcedure="false">#REF!</definedName>
    <definedName function="false" hidden="false" name="xRng_05bbe5d9f673459a83660282109b8df6" vbProcedure="false">#REF!</definedName>
    <definedName function="false" hidden="false" name="xRng_06b721e1a3b04f08900170252be7453c" vbProcedure="false">#REF!</definedName>
    <definedName function="false" hidden="false" name="xRng_0730be8cb6a344aeb88dd24298aade95" vbProcedure="false">#REF!</definedName>
    <definedName function="false" hidden="false" name="xRng_084ede63dccc4e94b2d3f86bc6db579f" vbProcedure="false">#REF!</definedName>
    <definedName function="false" hidden="false" name="xRng_0e588efb4ba343a69155f36a6b0adf97" vbProcedure="false">#REF!</definedName>
    <definedName function="false" hidden="false" name="xRng_11b1763ec57348cba6de0c2b4e537a4b" vbProcedure="false">#REF!</definedName>
    <definedName function="false" hidden="false" name="xRng_1247d07d2fc4476d86ec60c6946c01a9" vbProcedure="false">#REF!</definedName>
    <definedName function="false" hidden="false" name="xRng_1341cb9a1091455faf72fece42204607" vbProcedure="false">#REF!</definedName>
    <definedName function="false" hidden="false" name="xRng_139dae9a0e7a403a8ddf20c53c68cb20" vbProcedure="false">#REF!</definedName>
    <definedName function="false" hidden="false" name="xRng_143b5bd1543749ab9b14d347f219cc6d" vbProcedure="false">#REF!</definedName>
    <definedName function="false" hidden="false" name="xRng_199edc57185f4537b334732bd4afbf57" vbProcedure="false">#REF!</definedName>
    <definedName function="false" hidden="false" name="xRng_1aafc931e61b4f539229af5d62afe60f" vbProcedure="false">#REF!</definedName>
    <definedName function="false" hidden="false" name="xRng_1c325e84c6bf4edabf1b868356f1496d" vbProcedure="false">#REF!</definedName>
    <definedName function="false" hidden="false" name="xRng_1f0091c677484b54bec6e6c5f364abf2" vbProcedure="false">#REF!</definedName>
    <definedName function="false" hidden="false" name="xRng_20b520b0393f473d9372eb537979c69b" vbProcedure="false">#REF!</definedName>
    <definedName function="false" hidden="false" name="xRng_27a4aa6c7f9b453792293fd479997abd" vbProcedure="false">#REF!</definedName>
    <definedName function="false" hidden="false" name="xRng_2a6c93dd191f46b9b1f12d25c135636e" vbProcedure="false">#REF!</definedName>
    <definedName function="false" hidden="false" name="xRng_301df9ade63e40718903f3dd42ce3a2b" vbProcedure="false">#REF!</definedName>
    <definedName function="false" hidden="false" name="xRng_30c9feb2cd4b4ad5b84b1c1718dee567" vbProcedure="false">#REF!</definedName>
    <definedName function="false" hidden="false" name="xRng_320eede9a5f3463db2b9c20f306efb94" vbProcedure="false">#REF!</definedName>
    <definedName function="false" hidden="false" name="xRng_32d304267709432abdc7ff4e5b1c3df2" vbProcedure="false">#REF!</definedName>
    <definedName function="false" hidden="false" name="xRng_336332b4c36e49ebb03ba02e4eee087a" vbProcedure="false">#REF!</definedName>
    <definedName function="false" hidden="false" name="xRng_33b3771e536f4a0d8045a582df551543" vbProcedure="false">#REF!</definedName>
    <definedName function="false" hidden="false" name="xRng_3626dd922b01424d98d15a7a27425f1c" vbProcedure="false">#REF!</definedName>
    <definedName function="false" hidden="false" name="xRng_366749d183e840a7953f4c9b9bb2dc5d" vbProcedure="false">#REF!</definedName>
    <definedName function="false" hidden="false" name="xRng_3843e992cfdf4054a15224a8f19f3db0" vbProcedure="false">#REF!</definedName>
    <definedName function="false" hidden="false" name="xRng_3867f64e485342889ab63f40affff90e" vbProcedure="false">#REF!</definedName>
    <definedName function="false" hidden="false" name="xRng_3a554ed4abe043e4ba6a168ad5aea5df" vbProcedure="false">#REF!</definedName>
    <definedName function="false" hidden="false" name="xRng_3d008395267f4ccea93c643ddd15a6a5" vbProcedure="false">#REF!</definedName>
    <definedName function="false" hidden="false" name="xRng_424d6de5dcd34032b2de459912c7e5fb" vbProcedure="false">#REF!</definedName>
    <definedName function="false" hidden="false" name="xRng_42e4579ee33246ac9e3a7ac997a466a0" vbProcedure="false">#REF!</definedName>
    <definedName function="false" hidden="false" name="xRng_447a72a41c7f4aba8aaca5f1c481e390" vbProcedure="false">#REF!</definedName>
    <definedName function="false" hidden="false" name="xRng_453d6e8274034064aa6654a8a4881522" vbProcedure="false">#REF!</definedName>
    <definedName function="false" hidden="false" name="xRng_457e146ef42b46e68e719d284f615b2b" vbProcedure="false">#REF!</definedName>
    <definedName function="false" hidden="false" name="xRng_466eda57bfc44b9181de2e2071c4c159" vbProcedure="false">#REF!</definedName>
    <definedName function="false" hidden="false" name="xRng_468bdc2bb29941bc985db8fe565e6b4e" vbProcedure="false">#REF!</definedName>
    <definedName function="false" hidden="false" name="xRng_48f2249ebd2843edad30d043be6b6d7c" vbProcedure="false">#REF!</definedName>
    <definedName function="false" hidden="false" name="xRng_4b4cca91ce3f4cd78f53244a0ce3b664" vbProcedure="false">#REF!</definedName>
    <definedName function="false" hidden="false" name="xRng_4c40a8155f9b4cfbaac7a270888136d0" vbProcedure="false">#REF!</definedName>
    <definedName function="false" hidden="false" name="xRng_4ceabe230df44ffc8734718802eccafa" vbProcedure="false">#REF!</definedName>
    <definedName function="false" hidden="false" name="xRng_4d0cdaea159f4fddbc6f594213d4661d" vbProcedure="false">#REF!</definedName>
    <definedName function="false" hidden="false" name="xRng_4eb2291cf19f468eaf044261fa4f391e" vbProcedure="false">#REF!</definedName>
    <definedName function="false" hidden="false" name="xRng_50a3cc7626a547089509d8e0bd28f8d8" vbProcedure="false">#REF!</definedName>
    <definedName function="false" hidden="false" name="xRng_51d948f310ca4321a418e2b8bf97c024" vbProcedure="false">#REF!</definedName>
    <definedName function="false" hidden="false" name="xRng_536410b15fbc4ef19db3526b13b47983" vbProcedure="false">#REF!</definedName>
    <definedName function="false" hidden="false" name="xRng_559041211a514957bb02dce0f1f487c1" vbProcedure="false">#REF!</definedName>
    <definedName function="false" hidden="false" name="xRng_55936aab6b5f42e6863761e904cfe564" vbProcedure="false">#REF!</definedName>
    <definedName function="false" hidden="false" name="xRng_562f1e660f07499fb50bbda813337759" vbProcedure="false">#REF!</definedName>
    <definedName function="false" hidden="false" name="xRng_57391e859d524189b318256f420934b4" vbProcedure="false">#REF!</definedName>
    <definedName function="false" hidden="false" name="xRng_5782b5afe5c145c6acb44bce6adee1c7" vbProcedure="false">#REF!</definedName>
    <definedName function="false" hidden="false" name="xRng_59add285f8dd44e1bb1251824ea3e16d" vbProcedure="false">#REF!</definedName>
    <definedName function="false" hidden="false" name="xRng_5ba03911934b42e48d3e9d7c6a96d665" vbProcedure="false">#REF!</definedName>
    <definedName function="false" hidden="false" name="xRng_5f03e895f63445eaa397eac322df7d49" vbProcedure="false">#REF!</definedName>
    <definedName function="false" hidden="false" name="xRng_60e79bff99b946ce8c77d0fad02cdae7" vbProcedure="false">#REF!</definedName>
    <definedName function="false" hidden="false" name="xRng_614239a3b1d546a798fc53c62ed20456" vbProcedure="false">#REF!</definedName>
    <definedName function="false" hidden="false" name="xRng_62f193ce8ff44b5e9d7befa0e794d68e" vbProcedure="false">#REF!</definedName>
    <definedName function="false" hidden="false" name="xRng_6397d8cb76734676a08c26df335d5fac" vbProcedure="false">#REF!</definedName>
    <definedName function="false" hidden="false" name="xRng_65a46292e60942d4bda3d090093e04c9" vbProcedure="false">#REF!</definedName>
    <definedName function="false" hidden="false" name="xRng_669073f4166d4189aa64b056f126a125" vbProcedure="false">#REF!</definedName>
    <definedName function="false" hidden="false" name="xRng_66c202904b9d42ec9201689aadcd0e61" vbProcedure="false">#REF!</definedName>
    <definedName function="false" hidden="false" name="xRng_673f0e85dbb146d1a5f9e2267a531c38" vbProcedure="false">#REF!</definedName>
    <definedName function="false" hidden="false" name="xRng_6793c02711834fca8e74ca05e2b2a3ab" vbProcedure="false">#REF!</definedName>
    <definedName function="false" hidden="false" name="xRng_67c49eb995c544fcadff0436116bbd1c" vbProcedure="false">#REF!</definedName>
    <definedName function="false" hidden="false" name="xRng_6be5fe470cda4379a93e4a340f9b65a4" vbProcedure="false">#REF!</definedName>
    <definedName function="false" hidden="false" name="xRng_70562896fc714c19aee39ebfafb11e6b" vbProcedure="false">#REF!</definedName>
    <definedName function="false" hidden="false" name="xRng_713f9e5a8cdc4d2cb15613d12e57e769" vbProcedure="false">#REF!</definedName>
    <definedName function="false" hidden="false" name="xRng_71443f8a415d4c13adf6133318ce58d6" vbProcedure="false">#REF!</definedName>
    <definedName function="false" hidden="false" name="xRng_730fcf8cab2f4a56ac173d064f7e1874" vbProcedure="false">#REF!</definedName>
    <definedName function="false" hidden="false" name="xRng_74e824e23d074ff6bc55d868ef368507" vbProcedure="false">#REF!</definedName>
    <definedName function="false" hidden="false" name="xRng_77a237d5c1e945abbc7270a97602e762" vbProcedure="false">#REF!</definedName>
    <definedName function="false" hidden="false" name="xRng_793885cfc40949dcb5daeadbe4896022" vbProcedure="false">#REF!</definedName>
    <definedName function="false" hidden="false" name="xRng_7b80b897132c46a881410a5345a5a470" vbProcedure="false">#REF!</definedName>
    <definedName function="false" hidden="false" name="xRng_7cf306d850e349a0b2ac1fe9e158f85a" vbProcedure="false">#REF!</definedName>
    <definedName function="false" hidden="false" name="xRng_7e2f7dfe176d4060ac64be78304a5329" vbProcedure="false">#REF!</definedName>
    <definedName function="false" hidden="false" name="xRng_7ffcf4c0923b445fb75502de11aee4f3" vbProcedure="false">#REF!</definedName>
    <definedName function="false" hidden="false" name="xRng_80564fb5418242f794849d653d60b00d" vbProcedure="false">#REF!</definedName>
    <definedName function="false" hidden="false" name="xRng_8170a2bdae6846bfa613ec7f1b1bd53e" vbProcedure="false">#REF!</definedName>
    <definedName function="false" hidden="false" name="xRng_8186e8a7c7f8447786b5b17e1759df9c" vbProcedure="false">#REF!</definedName>
    <definedName function="false" hidden="false" name="xRng_82402ae3a71f436a86633552a3ddfa69" vbProcedure="false">#REF!</definedName>
    <definedName function="false" hidden="false" name="xRng_8722871580b8468c9632fa0f8f608a15" vbProcedure="false">#REF!</definedName>
    <definedName function="false" hidden="false" name="xRng_876dccced977408ca97eeffff32e237f" vbProcedure="false">#REF!</definedName>
    <definedName function="false" hidden="false" name="xRng_88c830c7358b4e978d1439a5e4f1b3cd" vbProcedure="false">#REF!</definedName>
    <definedName function="false" hidden="false" name="xRng_89aefe76c57440e788b20c4d513c4105" vbProcedure="false">#REF!</definedName>
    <definedName function="false" hidden="false" name="xRng_8a364d27c6634e3c9aabec6f321b66c1" vbProcedure="false">#REF!</definedName>
    <definedName function="false" hidden="false" name="xRng_8ab6737e14af472ead884961967db322" vbProcedure="false">#REF!</definedName>
    <definedName function="false" hidden="false" name="xRng_903db01be6f849ddb6e7ac78026f5b2b" vbProcedure="false">#REF!</definedName>
    <definedName function="false" hidden="false" name="xRng_928e14e697c6498c922f2253e6d072b1" vbProcedure="false">#REF!</definedName>
    <definedName function="false" hidden="false" name="xRng_945276f7ee6845e4a795aa9642ae664b" vbProcedure="false">#REF!</definedName>
    <definedName function="false" hidden="false" name="xRng_9553866078c346c3abd2d6780efa8a3a" vbProcedure="false">#REF!</definedName>
    <definedName function="false" hidden="false" name="xRng_95689444adc84c229ce1a3ccbad4fb83" vbProcedure="false">#REF!</definedName>
    <definedName function="false" hidden="false" name="xRng_979475d05a444819aa86e46e6250e6b7" vbProcedure="false">#REF!</definedName>
    <definedName function="false" hidden="false" name="xRng_98653595d9ad4fa0812b1af93cdd1895" vbProcedure="false">#REF!</definedName>
    <definedName function="false" hidden="false" name="xRng_9952f00ad5a44d87a71f69a177b96a1c" vbProcedure="false">#REF!</definedName>
    <definedName function="false" hidden="false" name="xRng_9dc2fc85cb0a4430aa6f2861dd448a37" vbProcedure="false">#REF!</definedName>
    <definedName function="false" hidden="false" name="xRng_9dc6e0be3f21439b8b411d3d0c3ba060" vbProcedure="false">#REF!</definedName>
    <definedName function="false" hidden="false" name="xRng_a073bfb4b052403c9e7e8d33662cbe34" vbProcedure="false">#REF!</definedName>
    <definedName function="false" hidden="false" name="xRng_a408f5b502d4411cb86a472c2b5c1794" vbProcedure="false">#REF!</definedName>
    <definedName function="false" hidden="false" name="xRng_a5104b28f58443c7a689ba3e9236e30d" vbProcedure="false">#REF!</definedName>
    <definedName function="false" hidden="false" name="xRng_a833d00527974adea98fd68f7ed221f0" vbProcedure="false">#REF!</definedName>
    <definedName function="false" hidden="false" name="xRng_a8fa6881d2f74df8ae05b58073acd586" vbProcedure="false">#REF!</definedName>
    <definedName function="false" hidden="false" name="xRng_aac9c90ee64647d4886454983bf82649" vbProcedure="false">#REF!</definedName>
    <definedName function="false" hidden="false" name="xRng_acecd897f5c44e12a52ef2e54efe6aaf" vbProcedure="false">#REF!</definedName>
    <definedName function="false" hidden="false" name="xRng_ad9a6979497c44499c78db27368d6753" vbProcedure="false">#REF!</definedName>
    <definedName function="false" hidden="false" name="xRng_b04b9f4e56764a85afd1988daa707602" vbProcedure="false">#REF!</definedName>
    <definedName function="false" hidden="false" name="xRng_b3462763012440e480bcd09b7509f634" vbProcedure="false">#REF!</definedName>
    <definedName function="false" hidden="false" name="xRng_b36105e3f1af4f599dc61fa5433691f0" vbProcedure="false">#REF!</definedName>
    <definedName function="false" hidden="false" name="xRng_bc4942371ebc42adb313b8d17fe78634" vbProcedure="false">#REF!</definedName>
    <definedName function="false" hidden="false" name="xRng_bd5cb5ade39c4b4ea3e6bbc980f6f3cf" vbProcedure="false">#REF!</definedName>
    <definedName function="false" hidden="false" name="xRng_be7d4e2e8ae44369a8e81c8c2888c527" vbProcedure="false">#REF!</definedName>
    <definedName function="false" hidden="false" name="xRng_c1be15ae5e3f49afa0235df16e11e412" vbProcedure="false">#REF!</definedName>
    <definedName function="false" hidden="false" name="xRng_c25224d96d4d42d69c2953697dba7a11" vbProcedure="false">#REF!</definedName>
    <definedName function="false" hidden="false" name="xRng_c3523f551f3248d2a208e133c29ff3ec" vbProcedure="false">#REF!</definedName>
    <definedName function="false" hidden="false" name="xRng_c52f705f812b4639a7e19d8a4959dd00" vbProcedure="false">#REF!</definedName>
    <definedName function="false" hidden="false" name="xRng_c6220e11f6e8463c979b627ec225262f" vbProcedure="false">#REF!</definedName>
    <definedName function="false" hidden="false" name="xRng_c80e907498d74c8eb7c5d2497d12df05" vbProcedure="false">#REF!</definedName>
    <definedName function="false" hidden="false" name="xRng_c9a9b235c530484ba9835df3a068c016" vbProcedure="false">#REF!</definedName>
    <definedName function="false" hidden="false" name="xRng_c9adf5859ee8430d8820155304919419" vbProcedure="false">#REF!</definedName>
    <definedName function="false" hidden="false" name="xRng_cc0db2f357b54e47985e2dd3a68932fe" vbProcedure="false">#REF!</definedName>
    <definedName function="false" hidden="false" name="xRng_cdfd8d14a58944edbd7ba7c6d41b186c" vbProcedure="false">#REF!</definedName>
    <definedName function="false" hidden="false" name="xRng_d16368ad99ef468c91e16e80da68ed59" vbProcedure="false">#REF!</definedName>
    <definedName function="false" hidden="false" name="xRng_d258360f41474ea4861bd6235d5f2b26" vbProcedure="false">#REF!</definedName>
    <definedName function="false" hidden="false" name="xRng_d58ba25ea0ca42c699ed96a6c92629d6" vbProcedure="false">#REF!</definedName>
    <definedName function="false" hidden="false" name="xRng_d6714761d81d4f4eb064c1abd4bc6779" vbProcedure="false">#REF!</definedName>
    <definedName function="false" hidden="false" name="xRng_da4aece6059b423a844c5b2900f320df" vbProcedure="false">#REF!</definedName>
    <definedName function="false" hidden="false" name="xRng_dae0826e39c947e5967d80d8876b42d4" vbProcedure="false">#REF!</definedName>
    <definedName function="false" hidden="false" name="xRng_db34778bbe5144fb9d82e9f104edf883" vbProcedure="false">#REF!</definedName>
    <definedName function="false" hidden="false" name="xRng_db889ee6c3824ca488150793e384c4bd" vbProcedure="false">#REF!</definedName>
    <definedName function="false" hidden="false" name="xRng_dca1e49d4d794306af5a0ec2694a7941" vbProcedure="false">#REF!</definedName>
    <definedName function="false" hidden="false" name="xRng_deb1c2edeb964d0e80e436a16efa7549" vbProcedure="false">#REF!</definedName>
    <definedName function="false" hidden="false" name="xRng_df6ab070b64944788ea118558093e6f9" vbProcedure="false">#REF!</definedName>
    <definedName function="false" hidden="false" name="xRng_e06eb54d39284591b42bf86e582f22c2" vbProcedure="false">#REF!</definedName>
    <definedName function="false" hidden="false" name="xRng_e22d59be7e0a451fbd8efeaddf3e352d" vbProcedure="false">#REF!</definedName>
    <definedName function="false" hidden="false" name="xRng_e6c232ee792d4d7f832931e9bd12bf70" vbProcedure="false">#REF!</definedName>
    <definedName function="false" hidden="false" name="xRng_e71368ece7554531b3a2597f77786a6a" vbProcedure="false">#REF!</definedName>
    <definedName function="false" hidden="false" name="xRng_e87a68aa74b74bcabed7d358448694e7" vbProcedure="false">#REF!</definedName>
    <definedName function="false" hidden="false" name="xRng_e88a93a14f5b44c8a3aeb40a70cef7bf" vbProcedure="false">#REF!</definedName>
    <definedName function="false" hidden="false" name="xRng_e91a4a667aa448bfb3bd8f332dcec4aa" vbProcedure="false">#REF!</definedName>
    <definedName function="false" hidden="false" name="xRng_eaddf7ceda914ebf989ebb6cc824c3e8" vbProcedure="false">#REF!</definedName>
    <definedName function="false" hidden="false" name="xRng_eb9b4542e5f14e45aaa33cbff62806e1" vbProcedure="false">#REF!</definedName>
    <definedName function="false" hidden="false" name="xRng_eb9d0f88c58b4f389fbed90278e63b3d" vbProcedure="false">#REF!</definedName>
    <definedName function="false" hidden="false" name="xRng_ec0a93077be942bfa613770eeb4e6c99" vbProcedure="false">#REF!</definedName>
    <definedName function="false" hidden="false" name="xRng_ecc7aafe82de4166ae4bbb7c8905e372" vbProcedure="false">#REF!</definedName>
    <definedName function="false" hidden="false" name="xRng_edcbcd85759f4b789ce144aa2e59ae32" vbProcedure="false">#REF!</definedName>
    <definedName function="false" hidden="false" name="xRng_ede1cfa55f094a47a18f2f7e25c3fd2b" vbProcedure="false">#REF!</definedName>
    <definedName function="false" hidden="false" name="xRng_f09ed096cc2a4c8f8e29a2f67b974f4d" vbProcedure="false">#REF!</definedName>
    <definedName function="false" hidden="false" name="xRng_f374735791954bb8b92e1ee981d52924" vbProcedure="false">#REF!</definedName>
    <definedName function="false" hidden="false" name="xRng_f3902073e72d4f888a3df403262b580e" vbProcedure="false">#REF!</definedName>
    <definedName function="false" hidden="false" name="xRng_f391dbf5b40245c997971b355c6b9902" vbProcedure="false">#REF!</definedName>
    <definedName function="false" hidden="false" name="xRng_f48a1eacb73b4e8eb970d22bb7071817" vbProcedure="false">#REF!</definedName>
    <definedName function="false" hidden="false" name="xRng_f837a7103e104f95bba0d25953ac7fd5" vbProcedure="false">#REF!</definedName>
    <definedName function="false" hidden="false" name="xRng_f8e5f9d063c14a209aedc7e7d3a2e55a" vbProcedure="false">#REF!</definedName>
    <definedName function="false" hidden="false" name="xRng_f9b4e5eab78e4e1ab9db1d9d9ffddd63" vbProcedure="false">#REF!</definedName>
    <definedName function="false" hidden="true" name="xs" vbProcedure="false">{#N/A,"PURCHM",FALSE,"Business Analysis";#N/A,"SPADD",FALSE,"Business Analysis"}</definedName>
    <definedName function="false" hidden="true" name="xsd" vbProcedure="false">{"detail",#N/A,FALSE,"mfg";"summary",#N/A,FALSE,"mfg"}</definedName>
    <definedName function="false" hidden="true" name="xt" vbProcedure="false">{#N/A,"PURADD",FALSE,"Business Analysis";#N/A,"PURSPP",FALSE,"Business Analysis";#N/A,"CTGIND",FALSE,"Business Analysis";#N/A,"PURCHM",FALSE,"Business Analysis";#N/A,"SPADD",FALSE,"Business Analysis";#N/A,"EPOXY",FALSE,"Business Analysis";#N/A,"PURPER",FALSE,"Business Analysis"}</definedName>
    <definedName function="false" hidden="true" name="xv" vbProcedure="false">{"Commentary",#N/A,FALSE,"May"}</definedName>
    <definedName function="false" hidden="true" name="xvx" vbProcedure="false">{#N/A,#N/A,FALSE,"3";#N/A,#N/A,FALSE,"5";#N/A,#N/A,FALSE,"6";#N/A,#N/A,FALSE,"8";#N/A,#N/A,FALSE,"10";#N/A,#N/A,FALSE,"13";#N/A,#N/A,FALSE,"14";#N/A,#N/A,FALSE,"15";#N/A,#N/A,FALSE,"16"}</definedName>
    <definedName function="false" hidden="true" name="xw" vbProcedure="false">{#N/A,#N/A,FALSE,"FCF Corporate Services";#N/A,#N/A,FALSE,"FCF Assum Corporate Services";#N/A,#N/A,FALSE,"DCF Corp. Services Sensitivity";#N/A,#N/A,FALSE,"AVP Corporate Services";"FCF in percent",#N/A,FALSE,"FCF Corporate Services"}</definedName>
    <definedName function="false" hidden="true" name="xx" vbProcedure="false">{#N/A,#N/A,FALSE,"REPORT"}</definedName>
    <definedName function="false" hidden="true" name="xxcxc" vbProcedure="false">{#N/A,#N/A,FALSE,"Umsatz CH";#N/A,#N/A,FALSE,"ER CH";#N/A,#N/A,FALSE,"EA CH (2) ";#N/A,#N/A,FALSE,"EA CH";#N/A,#N/A,FALSE,"EA CH (3) ";#N/A,#N/A,FALSE,"EA CH (4)";#N/A,#N/A,FALSE,"KA CH";#N/A,#N/A,FALSE,"KA CH  (2)";#N/A,#N/A,FALSE,"KA CH  (3)";#N/A,#N/A,FALSE,"KA CH (4)"}</definedName>
    <definedName function="false" hidden="true" name="xxes" vbProcedure="false">{#N/A,#N/A,FALSE,"TB";#N/A,#N/A,FALSE,"DR";#N/A,#N/A,FALSE,"AR";#N/A,#N/A,FALSE,"BS";#N/A,#N/A,FALSE,"PL";#N/A,#N/A,FALSE,"NOTES";#N/A,#N/A,FALSE,"NOTES (2)";#N/A,#N/A,FALSE,"NOTES (3)";#N/A,#N/A,FALSE,"DPL";#N/A,#N/A,FALSE,"DPL"}</definedName>
    <definedName function="false" hidden="true" name="xxv" vbProcedure="false">{#N/A,#N/A,FALSE,"3";#N/A,#N/A,FALSE,"5";#N/A,#N/A,FALSE,"6";#N/A,#N/A,FALSE,"8";#N/A,#N/A,FALSE,"10";#N/A,#N/A,FALSE,"13";#N/A,#N/A,FALSE,"14";#N/A,#N/A,FALSE,"15";#N/A,#N/A,FALSE,"16"}</definedName>
    <definedName function="false" hidden="true" name="XXX" vbProcedure="false">{#N/A,#N/A,FALSE,"Other";#N/A,#N/A,FALSE,"Ace";#N/A,#N/A,FALSE,"Derm"}</definedName>
    <definedName function="false" hidden="true" name="xxx.gb._Hm." vbProcedure="false">{#N/A,#N/A,FALSE,"Umsatz HM";#N/A,#N/A,FALSE,"ER HM";#N/A,#N/A,FALSE,"EA HM  (2)";#N/A,#N/A,FALSE,"EA HM ";#N/A,#N/A,FALSE,"EA HM  (4)";#N/A,#N/A,FALSE,"EA HM  (3)";#N/A,#N/A,FALSE,"KA HM  (2)";#N/A,#N/A,FALSE,"KA HM";#N/A,#N/A,FALSE,"KA HM  (3)";#N/A,#N/A,FALSE,"KA HM (4)"}</definedName>
    <definedName function="false" hidden="true" name="xxx2" vbProcedure="false">{"oct_res_comm",#N/A,FALSE,"VarToBud"}</definedName>
    <definedName function="false" hidden="true" name="xxxx" vbProcedure="false">{"detail",#N/A,FALSE,"mfg";"summary",#N/A,FALSE,"mfg"}</definedName>
    <definedName function="false" hidden="true" name="xxxx777" vbProcedure="false">{0,0,0,0;0,0,0,0;0,0,0,0;TRUE,0,0,0;0,0,0,0;0,0,0,0;0,0,0,0;0,0,147.84,147.84;12,1774.08,0,0;0,0,0,#NULL!;0,0,0,0;0,0,TRUE,0;0,TRUE,TRUE,TRUE;0,0,0,0;0,0,0,0;0,0,0,0;0,0,0,0;0,0,0,0;0,0,0,0;0,0,0,0}</definedName>
    <definedName function="false" hidden="true" name="xxxxx" vbProcedure="false">{#N/A,#N/A,FALSE,"Pharm";#N/A,#N/A,FALSE,"WWCM"}</definedName>
    <definedName function="false" hidden="true" name="xxxxxx" vbProcedure="false">{"10yp graphs",#N/A,FALSE,"Market Data"}</definedName>
    <definedName function="false" hidden="true" name="xxxxxxx" vbProcedure="false">#REF!</definedName>
    <definedName function="false" hidden="true" name="XYZ" vbProcedure="false">{"detail",#N/A,FALSE,"mfg";"summary",#N/A,FALSE,"mfg"}</definedName>
    <definedName function="false" hidden="true" name="xzcxcxzcxc" vbProcedure="false">{#N/A,#N/A,FALSE,"CONTENTS";#N/A,#N/A,FALSE,"DR";#N/A,#N/A,FALSE,"PL";#N/A,#N/A,FALSE,"BS";#N/A,#N/A,FALSE,"Cash Flow";#N/A,#N/A,FALSE,"NOTES";#N/A,#N/A,FALSE,"NOTES (FA)";#N/A,#N/A,FALSE,"Notes(3)";#N/A,#N/A,FALSE,"NOTES (4)";#N/A,#N/A,FALSE,"DP&amp;L";#N/A,#N/A,FALSE,"EXPENSES";#N/A,#N/A,FALSE,"EXPENSES-1"}</definedName>
    <definedName function="false" hidden="true" name="xzxz" vbProcedure="false">{#N/A,"PURCHM",FALSE,"Business Analysis";#N/A,"SPADD",FALSE,"Business Analysis"}</definedName>
    <definedName function="false" hidden="true" name="y" vbProcedure="false">{#N/A,#N/A,FALSE,"Pharm";#N/A,#N/A,FALSE,"WWCM"}</definedName>
    <definedName function="false" hidden="true" name="y1hs" vbProcedure="false">{#N/A,#N/A,FALSE,"TB";#N/A,#N/A,FALSE,"AR";#N/A,#N/A,FALSE,"BS";#N/A,#N/A,FALSE,"PL";#N/A,#N/A,FALSE,"NOTES";#N/A,#N/A,FALSE,"NOTES (2)";#N/A,#N/A,FALSE,"NOTES (3)";#N/A,#N/A,FALSE,"TAXC.INDEX";#N/A,#N/A,FALSE,"Schedule I";#N/A,#N/A,FALSE,"DPL";#N/A,#N/A,FALSE,"Schedule IV";#N/A,#N/A,FALSE,"Adjustments"}</definedName>
    <definedName function="false" hidden="true" name="yay" vbProcedure="false">{#N/A,#N/A,FALSE,"TB";#N/A,#N/A,FALSE,"DR";#N/A,#N/A,FALSE,"AR";#N/A,#N/A,FALSE,"PL";#N/A,#N/A,FALSE,"BS";#N/A,#N/A,FALSE,"NOTES";#N/A,#N/A,FALSE,"NOTES (2)";#N/A,#N/A,FALSE,"NOTES (3)";#N/A,#N/A,FALSE,"DPL";#N/A,#N/A,FALSE,"TAXC.INDEX";#N/A,#N/A,FALSE,"Schedule I";#N/A,#N/A,FALSE,"Adjustments"}</definedName>
    <definedName function="false" hidden="true" name="ye" vbProcedure="false">{#N/A,#N/A,TRUE,"COVER";#N/A,#N/A,TRUE,"DIR";#N/A,#N/A,TRUE,"AUDIT"}</definedName>
    <definedName function="false" hidden="true" name="YEAR" vbProcedure="false">2016</definedName>
    <definedName function="false" hidden="false" name="Year00" vbProcedure="false">#REF!</definedName>
    <definedName function="false" hidden="false" name="Year1" vbProcedure="false">#REF!</definedName>
    <definedName function="false" hidden="false" name="Year10" vbProcedure="false">#REF!</definedName>
    <definedName function="false" hidden="false" name="Year11" vbProcedure="false">#REF!</definedName>
    <definedName function="false" hidden="false" name="Year2" vbProcedure="false">#REF!</definedName>
    <definedName function="false" hidden="false" name="Year3" vbProcedure="false">#REF!</definedName>
    <definedName function="false" hidden="false" name="Year4" vbProcedure="false">#REF!</definedName>
    <definedName function="false" hidden="false" name="Year5" vbProcedure="false">#REF!</definedName>
    <definedName function="false" hidden="false" name="Year6" vbProcedure="false">#REF!</definedName>
    <definedName function="false" hidden="false" name="Year7" vbProcedure="false">#REF!</definedName>
    <definedName function="false" hidden="false" name="Year8" vbProcedure="false">#REF!</definedName>
    <definedName function="false" hidden="false" name="Year9" vbProcedure="false">#REF!</definedName>
    <definedName function="false" hidden="true" name="yearRow" vbProcedure="false">#REF!</definedName>
    <definedName function="false" hidden="true" name="Yes" vbProcedure="false">#REF!</definedName>
    <definedName function="false" hidden="true" name="YesNo" vbProcedure="false">#REF!</definedName>
    <definedName function="false" hidden="true" name="yfj" vbProcedure="false">{#N/A,#N/A,TRUE,"Cover sheet";#N/A,#N/A,TRUE,"INPUTS";#N/A,#N/A,TRUE,"OUTPUTS";#N/A,#N/A,TRUE,"VALUATION"}</definedName>
    <definedName function="false" hidden="true" name="yfrul" vbProcedure="false">{#N/A,#N/A,FALSE,"Title Page";#N/A,#N/A,FALSE,"Conclusions";#N/A,#N/A,FALSE,"Assum.";#N/A,#N/A,FALSE,"Sun  DCF-WC-Dep";#N/A,#N/A,FALSE,"MarketValue";#N/A,#N/A,FALSE,"BalSheet";#N/A,#N/A,FALSE,"WACC";#N/A,#N/A,FALSE,"PC+ Info.";#N/A,#N/A,FALSE,"PC+Info_2"}</definedName>
    <definedName function="false" hidden="true" name="yg" vbProcedure="false">{"Polymers Details",#N/A,FALSE,"Current Yr";"Polymer Details",#N/A,FALSE,"Budget";"Polymer Details",#N/A,FALSE,"Prior Year"}</definedName>
    <definedName function="false" hidden="true" name="yh" vbProcedure="false">{"Polymers Details",#N/A,FALSE,"Current Yr";"Polymer Details",#N/A,FALSE,"Budget";"Polymer Details",#N/A,FALSE,"Prior Year"}</definedName>
    <definedName function="false" hidden="true" name="yhg" vbProcedure="false">2</definedName>
    <definedName function="false" hidden="true" name="yhjdtyu" vbProcedure="false">{"Sum WW A",#N/A,FALSE,"FY95SLS";"Sum WW B",#N/A,FALSE,"FY95SLS";"Sum US A",#N/A,FALSE,"FY95SLS";"Sum US B",#N/A,FALSE,"FY95SLS";"Sum US Bocg",#N/A,FALSE,"FY95SLS";"Sum Can A",#N/A,FALSE,"FY95SLS";"Sum Can B",#N/A,FALSE,"FY95SLS";"Sum Europe",#N/A,FALSE,"FY95SLS";"Sum Row",#N/A,FALSE,"FY95SLS"}</definedName>
    <definedName function="false" hidden="true" name="yhn" vbProcedure="false">{"detail",#N/A,FALSE,"mfg";"summary",#N/A,FALSE,"mfg"}</definedName>
    <definedName function="false" hidden="true" name="yii" vbProcedure="false">{#N/A,#N/A,FALSE,"3";#N/A,#N/A,FALSE,"5";#N/A,#N/A,FALSE,"6";#N/A,#N/A,FALSE,"8";#N/A,#N/A,FALSE,"10";#N/A,#N/A,FALSE,"13";#N/A,#N/A,FALSE,"14";#N/A,#N/A,FALSE,"15";#N/A,#N/A,FALSE,"16"}</definedName>
    <definedName function="false" hidden="true" name="yityi" vbProcedure="false">{#N/A,#N/A,FALSE,"3";#N/A,#N/A,FALSE,"5";#N/A,#N/A,FALSE,"6";#N/A,#N/A,FALSE,"8";#N/A,#N/A,FALSE,"10";#N/A,#N/A,FALSE,"13";#N/A,#N/A,FALSE,"14";#N/A,#N/A,FALSE,"15";#N/A,#N/A,FALSE,"16"}</definedName>
    <definedName function="false" hidden="true" name="yiyti" vbProcedure="false">{#N/A,#N/A,FALSE,"3";#N/A,#N/A,FALSE,"5";#N/A,#N/A,FALSE,"6";#N/A,#N/A,FALSE,"8";#N/A,#N/A,FALSE,"10";#N/A,#N/A,FALSE,"13";#N/A,#N/A,FALSE,"14";#N/A,#N/A,FALSE,"15";#N/A,#N/A,FALSE,"16"}</definedName>
    <definedName function="false" hidden="true" name="yjtrutry" vbProcedure="false">{"Units A",#N/A,FALSE,"FY95SLS";"Units B",#N/A,FALSE,"FY95SLS"}</definedName>
    <definedName function="false" hidden="true" name="yjtyjy" vbProcedure="false">{"Units A",#N/A,FALSE,"FY95SLS";"Units B",#N/A,FALSE,"FY95SLS"}</definedName>
    <definedName function="false" hidden="true" name="yk" vbProcedure="false">{#N/A,#N/A,FALSE,"TAXC.INDEX";#N/A,#N/A,FALSE,"Schedule I";#N/A,#N/A,FALSE,"Schedule  II";#N/A,#N/A,FALSE,"Schedule III";#N/A,#N/A,FALSE,"Schedule IV";#N/A,#N/A,FALSE,"Schedule IV (Cont'd)";#N/A,#N/A,FALSE,"Schedule V";#N/A,#N/A,FALSE,"Schedule VI";#N/A,#N/A,FALSE,"Schedule VII"}</definedName>
    <definedName function="false" hidden="true" name="ykhkhj" vbProcedure="false">{#N/A,#N/A,FALSE,"3";#N/A,#N/A,FALSE,"5";#N/A,#N/A,FALSE,"6";#N/A,#N/A,FALSE,"8";#N/A,#N/A,FALSE,"10";#N/A,#N/A,FALSE,"13";#N/A,#N/A,FALSE,"14";#N/A,#N/A,FALSE,"15";#N/A,#N/A,FALSE,"16"}</definedName>
    <definedName function="false" hidden="true" name="ym" vbProcedure="false">{#N/A,"PURCHM",FALSE,"Business Analysis";#N/A,"SPADD",FALSE,"Business Analysis"}</definedName>
    <definedName function="false" hidden="true" name="yn" vbProcedure="false">{"AS REP",#N/A,FALSE,"EEFSNAP2";"PROP",#N/A,FALSE,"EEFSNAP2";"RISKS",#N/A,FALSE,"EEFSNAP2";"VIEW ALL",#N/A,FALSE,"EEFSNAP2"}</definedName>
    <definedName function="false" hidden="true" name="yp" vbProcedure="false">{#N/A,"PURADD",FALSE,"Business Analysis";#N/A,"PURSPP",FALSE,"Business Analysis";#N/A,"CTGIND",FALSE,"Business Analysis";#N/A,"PURCHM",FALSE,"Business Analysis";#N/A,"SPADD",FALSE,"Business Analysis";#N/A,"EPOXY",FALSE,"Business Analysis";#N/A,"PURPER",FALSE,"Business Analysis"}</definedName>
    <definedName function="false" hidden="true" name="yq"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yrt" vbProcedure="false">{"Sum WW A",#N/A,FALSE,"FY95SLS";"Sum WW B",#N/A,FALSE,"FY95SLS";"Sum US A",#N/A,FALSE,"FY95SLS";"Sum US B",#N/A,FALSE,"FY95SLS";"Sum US Bocg",#N/A,FALSE,"FY95SLS";"Sum Can A",#N/A,FALSE,"FY95SLS";"Sum Can B",#N/A,FALSE,"FY95SLS";"Sum Europe",#N/A,FALSE,"FY95SLS";"Sum Row",#N/A,FALSE,"FY95SLS"}</definedName>
    <definedName function="false" hidden="true" name="ysrt" vbProcedure="false">{"Units A",#N/A,FALSE,"FY95SLS";"Units B",#N/A,FALSE,"FY95SLS"}</definedName>
    <definedName function="false" hidden="false" name="YTD" vbProcedure="false">#REF!</definedName>
    <definedName function="false" hidden="false" name="YTD1" vbProcedure="false">#REF!</definedName>
    <definedName function="false" hidden="false" name="YTD2" vbProcedure="false">#REF!</definedName>
    <definedName function="false" hidden="false" name="YTG1" vbProcedure="false">#REF!</definedName>
    <definedName function="false" hidden="false" name="YTG2" vbProcedure="false">#REF!</definedName>
    <definedName function="false" hidden="true" name="ytiyi" vbProcedure="false">{#N/A,#N/A,FALSE,"3";#N/A,#N/A,FALSE,"5";#N/A,#N/A,FALSE,"6";#N/A,#N/A,FALSE,"8";#N/A,#N/A,FALSE,"10";#N/A,#N/A,FALSE,"13";#N/A,#N/A,FALSE,"14";#N/A,#N/A,FALSE,"15";#N/A,#N/A,FALSE,"16"}</definedName>
    <definedName function="false" hidden="true" name="ytre" vbProcedure="false">{"overview",#N/A,FALSE,"summary";"net assets",#N/A,FALSE,"summary";"asset turnover",#N/A,FALSE,"summary";"orona",#N/A,FALSE,"summary"}</definedName>
    <definedName function="false" hidden="true" name="ytrhyutwuw" vbProcedure="false">{"Sum WW A",#N/A,FALSE,"FY95SLS";"Sum WW B",#N/A,FALSE,"FY95SLS";"Sum US A",#N/A,FALSE,"FY95SLS";"Sum US B",#N/A,FALSE,"FY95SLS";"Sum US Bocg",#N/A,FALSE,"FY95SLS";"Sum Can A",#N/A,FALSE,"FY95SLS";"Sum Can B",#N/A,FALSE,"FY95SLS";"Sum Europe",#N/A,FALSE,"FY95SLS";"Sum Row",#N/A,FALSE,"FY95SLS"}</definedName>
    <definedName function="false" hidden="true" name="ytrywtyt"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ytu"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ytuetyi" vbProcedure="false">{"Units A",#N/A,FALSE,"FY95SLS";"Units B",#N/A,FALSE,"FY95SLS"}</definedName>
    <definedName function="false" hidden="true" name="ytukyui" vbProcedure="false">{"Units A",#N/A,FALSE,"FY95SLS";"Units B",#N/A,FALSE,"FY95SLS"}</definedName>
    <definedName function="false" hidden="true" name="yty"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yu" vbProcedure="false">{#N/A,"PURADD",FALSE,"Business Analysis";#N/A,"PURSPP",FALSE,"Business Analysis";#N/A,"CTGIND",FALSE,"Business Analysis";#N/A,"PURCHM",FALSE,"Business Analysis";#N/A,"SPADD",FALSE,"Business Analysis";#N/A,"EPOXY",FALSE,"Business Analysis";#N/A,"PURPER",FALSE,"Business Analysis"}</definedName>
    <definedName function="false" hidden="true" name="yued" vbProcedure="false">{"Units A",#N/A,FALSE,"FY95SLS";"Units B",#N/A,FALSE,"FY95SLS"}</definedName>
    <definedName function="false" hidden="true" name="yufiyd" vbProcedure="false">{"Units A",#N/A,FALSE,"FY95SLS";"Units B",#N/A,FALSE,"FY95SLS"}</definedName>
    <definedName function="false" hidden="true" name="yui" vbProcedure="false">{"Commentary",#N/A,FALSE,"May"}</definedName>
    <definedName function="false" hidden="true" name="yuio" vbProcedure="false">{"oct_res_comm",#N/A,FALSE,"VarToBud"}</definedName>
    <definedName function="false" hidden="true" name="yuiuy" vbProcedure="false">{"Pound Sterling",#N/A,TRUE,"PPD";"Pound Sterling",#N/A,TRUE,"Anaquest";"Pound Sterling",#N/A,TRUE,"Delta";"Pound Sterling",#N/A,TRUE,"INO"}</definedName>
    <definedName function="false" hidden="true" name="yukiuyo" vbProcedure="false">{"Units A",#N/A,FALSE,"FY95SLS";"Units B",#N/A,FALSE,"FY95SLS"}</definedName>
    <definedName function="false" hidden="true" name="yuktyui"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yulr" vbProcedure="false">{#N/A,#N/A,FALSE,"Title Page";#N/A,#N/A,FALSE,"Conclusions";#N/A,#N/A,FALSE,"Assum.";#N/A,#N/A,FALSE,"Sun  DCF-WC-Dep";#N/A,#N/A,FALSE,"MarketValue";#N/A,#N/A,FALSE,"BalSheet";#N/A,#N/A,FALSE,"WACC";#N/A,#N/A,FALSE,"PC+ Info.";#N/A,#N/A,FALSE,"PC+Info_2"}</definedName>
    <definedName function="false" hidden="true" name="yuoo" vbProcedure="false">{#N/A,#N/A,FALSE,"3";#N/A,#N/A,FALSE,"5";#N/A,#N/A,FALSE,"6";#N/A,#N/A,FALSE,"8";#N/A,#N/A,FALSE,"10";#N/A,#N/A,FALSE,"13";#N/A,#N/A,FALSE,"14";#N/A,#N/A,FALSE,"15";#N/A,#N/A,FALSE,"16"}</definedName>
    <definedName function="false" hidden="true" name="yuop" vbProcedure="false">{"OTHER",#N/A,FALSE,"CM"}</definedName>
    <definedName function="false" hidden="true" name="yut" vbProcedure="false">{"Units A",#N/A,FALSE,"FY95SLS";"Units B",#N/A,FALSE,"FY95SLS"}</definedName>
    <definedName function="false" hidden="true" name="yuty" vbProcedure="false">{"Pound Sterling",#N/A,TRUE,"PPD";"Pound Sterling",#N/A,TRUE,"Anaquest";"Pound Sterling",#N/A,TRUE,"Delta";"Pound Sterling",#N/A,TRUE,"INO"}</definedName>
    <definedName function="false" hidden="true" name="yuuuuuuu" vbProcedure="false">{"ratios",#N/A,FALSE,"Summary Accounts"}</definedName>
    <definedName function="false" hidden="true" name="yuyuyuyuyu" vbProcedure="false">{"US Dollars",#N/A,TRUE,"PPD";"US Dollar",#N/A,TRUE,"Anaquest";"US Dollar",#N/A,TRUE,"Delta";"US Dollar",#N/A,TRUE,"INO"}</definedName>
    <definedName function="false" hidden="true" name="yv" vbProcedure="false">{"sales growth",#N/A,FALSE,"summary";"oper income",#N/A,FALSE,"summary";"oros rank",#N/A,FALSE,"summary";"net assets",#N/A,FALSE,"summary";"asset turnover",#N/A,FALSE,"summary";"orona",#N/A,FALSE,"summary"}</definedName>
    <definedName function="false" hidden="true" name="yx" vbProcedure="false">{"overview",#N/A,FALSE,"summary";"net assets",#N/A,FALSE,"summary";"asset turnover",#N/A,FALSE,"summary";"orona",#N/A,FALSE,"summary"}</definedName>
    <definedName function="false" hidden="true" name="yxcxycxy" vbProcedure="false">{#N/A,#N/A,FALSE,"Umsatz 99";#N/A,#N/A,FALSE,"ER 99 "}</definedName>
    <definedName function="false" hidden="true" name="yy" vbProcedure="false">{"consolidated",#N/A,FALSE,"Sheet1";"cms",#N/A,FALSE,"Sheet1";"fse",#N/A,FALSE,"Sheet1"}</definedName>
    <definedName function="false" hidden="true" name="yy.7" vbProcedure="false">{#N/A,#N/A,FALSE,"PMW Gruppe 00_99";#N/A,#N/A,FALSE,"PMW KG 00_99";#N/A,#N/A,FALSE,"PMW Inc. 00_99";#N/A,#N/A,FALSE,"PMW VTECH 00_99";#N/A,#N/A,FALSE,"PMW Thail. 00_99";#N/A,#N/A,FALSE,"PMW Canada 00_99";#N/A,#N/A,FALSE,"Währungsabw. 00_99"}</definedName>
    <definedName function="false" hidden="true" name="yyy" vbProcedure="false">{#N/A,#N/A,FALSE,"Other";#N/A,#N/A,FALSE,"Ace";#N/A,#N/A,FALSE,"Derm"}</definedName>
    <definedName function="false" hidden="true" name="yyyyyy" vbProcedure="false">{"p_l",#N/A,FALSE,"Summary Accounts"}</definedName>
    <definedName function="false" hidden="true" name="z.l" vbProcedure="false">{#N/A,#N/A,FALSE,"KA CH  (2)"}</definedName>
    <definedName function="false" hidden="true" name="za" vbProcedure="false">{"detail",#N/A,FALSE,"mfg";"summary",#N/A,FALSE,"mfg"}</definedName>
    <definedName function="false" hidden="true" name="zaazaz" vbProcedure="false">{"vue1",#N/A,FALSE,"synthese";"vue2",#N/A,FALSE,"synthese"}</definedName>
    <definedName function="false" hidden="true" name="ZAE" vbProcedure="false">#REF!</definedName>
    <definedName function="false" hidden="true" name="zaq" vbProcedure="false">{#N/A,#N/A,FALSE,"Calc";#N/A,#N/A,FALSE,"Sensitivity";#N/A,#N/A,FALSE,"LT Earn.Dil.";#N/A,#N/A,FALSE,"Dil. AVP"}</definedName>
    <definedName function="false" hidden="true" name="zay" vbProcedure="false">{#N/A,#N/A,FALSE,"DIR-REP";#N/A,#N/A,FALSE,"AUD-REPORT";#N/A,#N/A,FALSE,"P7L&amp;BS";#N/A,#N/A,FALSE,"NOTES";#N/A,#N/A,FALSE,"FA";#N/A,#N/A,FALSE,"NOTES (2)";#N/A,#N/A,FALSE,"Schedule  IV";#N/A,#N/A,FALSE,"Schedule V"}</definedName>
    <definedName function="false" hidden="true" name="zaz" vbProcedure="false">{#N/A,"PURCHM",FALSE,"Business Analysis";#N/A,"SPADD",FALSE,"Business Analysis"}</definedName>
    <definedName function="false" hidden="true" name="zbsdr" vbProcedure="false">{"Pound Sterling",#N/A,TRUE,"PPD";"Pound Sterling",#N/A,TRUE,"Anaquest";"Pound Sterling",#N/A,TRUE,"Delta";"Pound Sterling",#N/A,TRUE,"INO"}</definedName>
    <definedName function="false" hidden="true" name="zcvbdfg" vbProcedure="false">{"Sum WW A",#N/A,FALSE,"FY95SLS";"Sum WW B",#N/A,FALSE,"FY95SLS";"Sum US A",#N/A,FALSE,"FY95SLS";"Sum US B",#N/A,FALSE,"FY95SLS";"Sum US Bocg",#N/A,FALSE,"FY95SLS";"Sum Can A",#N/A,FALSE,"FY95SLS";"Sum Can B",#N/A,FALSE,"FY95SLS";"Sum Europe",#N/A,FALSE,"FY95SLS";"Sum Row",#N/A,FALSE,"FY95SLS"}</definedName>
    <definedName function="false" hidden="true" name="zdfgaer" vbProcedure="false">{"Sum WW A",#N/A,FALSE,"FY95SLS";"Sum WW B",#N/A,FALSE,"FY95SLS";"Sum US A",#N/A,FALSE,"FY95SLS";"Sum US B",#N/A,FALSE,"FY95SLS";"Sum US Bocg",#N/A,FALSE,"FY95SLS";"Sum Can A",#N/A,FALSE,"FY95SLS";"Sum Can B",#N/A,FALSE,"FY95SLS";"Sum Europe",#N/A,FALSE,"FY95SLS";"Sum Row",#N/A,FALSE,"FY95SLS"}</definedName>
    <definedName function="false" hidden="true" name="zdfgd" vbProcedure="false">{"Units A",#N/A,FALSE,"FY95SLS";"Units B",#N/A,FALSE,"FY95SLS"}</definedName>
    <definedName function="false" hidden="true" name="zdfghdf" vbProcedure="false">{"Sum WW A",#N/A,FALSE,"FY95SLS";"Sum WW B",#N/A,FALSE,"FY95SLS";"Sum US A",#N/A,FALSE,"FY95SLS";"Sum US B",#N/A,FALSE,"FY95SLS";"Sum US Bocg",#N/A,FALSE,"FY95SLS";"Sum Can A",#N/A,FALSE,"FY95SLS";"Sum Can B",#N/A,FALSE,"FY95SLS";"Sum Europe",#N/A,FALSE,"FY95SLS";"Sum Row",#N/A,FALSE,"FY95SLS"}</definedName>
    <definedName function="false" hidden="true" name="zedaqzd" vbProcedure="false">{#N/A,#N/A,FALSE,"Operations";#N/A,#N/A,FALSE,"Financials"}</definedName>
    <definedName function="false" hidden="true" name="zefz" vbProcedure="false">{"First Page",#N/A,FALSE,"Surfactants LBO";"Second Page",#N/A,FALSE,"Surfactants LBO"}</definedName>
    <definedName function="false" hidden="true" name="zer" vbProcedure="false">{#N/A,#N/A,FALSE,"Calc";#N/A,#N/A,FALSE,"Sensitivity";#N/A,#N/A,FALSE,"LT Earn.Dil.";#N/A,#N/A,FALSE,"Dil. AVP"}</definedName>
    <definedName function="false" hidden="true" name="zergz" vbProcedure="false">{#N/A,#N/A,FALSE,"Ev.ventes DP";#N/A,#N/A,FALSE,"Hypo.econ.";#N/A,#N/A,FALSE,"Pot.2015";#N/A,#N/A,FALSE,"Comp.pot";#N/A,#N/A,FALSE,"HorsG";#N/A,#N/A,FALSE,"DP"}</definedName>
    <definedName function="false" hidden="true" name="ZETEHFN" vbProcedure="false">#REF!</definedName>
    <definedName function="false" hidden="true" name="zezrzrzerz" vbProcedure="false">{"equity comps",#N/A,FALSE,"CS Comps";"equity comps",#N/A,FALSE,"PS Comps";"equity comps",#N/A,FALSE,"GIC_Comps";"equity comps",#N/A,FALSE,"GIC2_Comps"}</definedName>
    <definedName function="false" hidden="true" name="zfbdfh" vbProcedure="false">{"Units A",#N/A,FALSE,"FY95SLS";"Units B",#N/A,FALSE,"FY95SLS"}</definedName>
    <definedName function="false" hidden="true" name="zfgzsdfgzsdf" vbProcedure="false">{"Sum WW A",#N/A,FALSE,"FY95SLS";"Sum WW B",#N/A,FALSE,"FY95SLS";"Sum US A",#N/A,FALSE,"FY95SLS";"Sum US B",#N/A,FALSE,"FY95SLS";"Sum US Bocg",#N/A,FALSE,"FY95SLS";"Sum Can A",#N/A,FALSE,"FY95SLS";"Sum Can B",#N/A,FALSE,"FY95SLS";"Sum Europe",#N/A,FALSE,"FY95SLS";"Sum Row",#N/A,FALSE,"FY95SLS"}</definedName>
    <definedName function="false" hidden="true" name="zf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zfhae" vbProcedure="false">{"Pound Sterling",#N/A,TRUE,"PPD";"Pound Sterling",#N/A,TRUE,"Anaquest";"Pound Sterling",#N/A,TRUE,"Delta";"Pound Sterling",#N/A,TRUE,"INO"}</definedName>
    <definedName function="false" hidden="true" name="zhu" vbProcedure="false">{#N/A,#N/A,FALSE,"REPORT"}</definedName>
    <definedName function="false" hidden="true" name="zhutr" vbProcedure="false">{#N/A,#N/A,FALSE,"REPORT"}</definedName>
    <definedName function="false" hidden="true" name="zioio" vbProcedure="false">{#N/A,#N/A,FALSE,"Umsatz CH";#N/A,#N/A,FALSE,"ER CH";#N/A,#N/A,FALSE,"EA CH (2) ";#N/A,#N/A,FALSE,"EA CH";#N/A,#N/A,FALSE,"EA CH (3) ";#N/A,#N/A,FALSE,"EA CH (4)";#N/A,#N/A,FALSE,"KA CH";#N/A,#N/A,FALSE,"KA CH  (2)";#N/A,#N/A,FALSE,"KA CH  (3)";#N/A,#N/A,FALSE,"KA CH (4)"}</definedName>
    <definedName function="false" hidden="true" name="ziot" vbProcedure="false">{#N/A,#N/A,FALSE,"CONTENTS";#N/A,#N/A,FALSE,"DR";#N/A,#N/A,FALSE,"PL";#N/A,#N/A,FALSE,"BS";#N/A,#N/A,FALSE,"Cash Flow";#N/A,#N/A,FALSE,"NOTES";#N/A,#N/A,FALSE,"NOTES (FA)";#N/A,#N/A,FALSE,"Notes(3)";#N/A,#N/A,FALSE,"NOTES (4)";#N/A,#N/A,FALSE,"DP&amp;L";#N/A,#N/A,FALSE,"EXPENSES";#N/A,#N/A,FALSE,"EXPENSES-1"}</definedName>
    <definedName function="false" hidden="true" name="zjoa" vbProcedure="false">{#N/A,#N/A,FALSE,"TB";#N/A,#N/A,FALSE,"DR";#N/A,#N/A,FALSE,"AR";#N/A,#N/A,FALSE,"PL";#N/A,#N/A,FALSE,"BS";#N/A,#N/A,FALSE,"NOTES";#N/A,#N/A,FALSE,"NOTES (2)";#N/A,#N/A,FALSE,"NOTES (3)";#N/A,#N/A,FALSE,"DPL";#N/A,#N/A,FALSE,"TAXC.INDEX";#N/A,#N/A,FALSE,"Schedule I";#N/A,#N/A,FALSE,"Adjustments"}</definedName>
    <definedName function="false" hidden="true" name="zjpt" vbProcedure="false">{#N/A,#N/A,FALSE,"TB";#N/A,#N/A,FALSE,"DR";#N/A,#N/A,FALSE,"AR";#N/A,#N/A,FALSE,"PL";#N/A,#N/A,FALSE,"BS";#N/A,#N/A,FALSE,"NOTES";#N/A,#N/A,FALSE,"NOTES (2)";#N/A,#N/A,FALSE,"NOTES (3)";#N/A,#N/A,FALSE,"DPL";#N/A,#N/A,FALSE,"TAXC.INDEX";#N/A,#N/A,FALSE,"Schedule I";#N/A,#N/A,FALSE,"Adjustments"}</definedName>
    <definedName function="false" hidden="true" name="zl" vbProcedure="false">{#N/A,"PURCHM",FALSE,"Business Analysis";#N/A,"SPADD",FALSE,"Business Analysis"}</definedName>
    <definedName function="false" hidden="true" name="zotnals.r" vbProcedure="false">{#N/A,#N/A,FALSE,"TB";#N/A,#N/A,FALSE,"AR";#N/A,#N/A,FALSE,"BS";#N/A,#N/A,FALSE,"PL";#N/A,#N/A,FALSE,"NOTES";#N/A,#N/A,FALSE,"NOTES (2)";#N/A,#N/A,FALSE,"NOTES (3)";#N/A,#N/A,FALSE,"TAXC.INDEX";#N/A,#N/A,FALSE,"Schedule I";#N/A,#N/A,FALSE,"DPL";#N/A,#N/A,FALSE,"Schedule IV";#N/A,#N/A,FALSE,"Adjustments"}</definedName>
    <definedName function="false" hidden="true" name="zozo" vbProcedure="false">{"COMP FEES ELIMINS",#N/A,FALSE,"COMPIS FEES"}</definedName>
    <definedName function="false" hidden="true" name="zptls" vbProcedure="false">{#N/A,#N/A,FALSE,"DIR-REP";#N/A,#N/A,FALSE,"AUD-REPORT";#N/A,#N/A,FALSE,"P7L&amp;BS";#N/A,#N/A,FALSE,"NOTES";#N/A,#N/A,FALSE,"FA";#N/A,#N/A,FALSE,"NOTES (2)";#N/A,#N/A,FALSE,"Schedule  IV";#N/A,#N/A,FALSE,"Schedule V"}</definedName>
    <definedName function="false" hidden="true" name="zsdfs" vbProcedure="false">{"US Dollars",#N/A,TRUE,"PPD";"US Dollar",#N/A,TRUE,"Anaquest";"US Dollar",#N/A,TRUE,"Delta";"US Dollar",#N/A,TRUE,"INO"}</definedName>
    <definedName function="false" hidden="true" name="ZSZ"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zvfg" vbProcedure="false">{"US Dollars",#N/A,TRUE,"PPD";"US Dollar",#N/A,TRUE,"Anaquest";"US Dollar",#N/A,TRUE,"Delta";"US Dollar",#N/A,TRUE,"INO"}</definedName>
    <definedName function="false" hidden="true" name="zxdfgh" vbProcedure="false">{"HOSP\WHSLR 1",#N/A,FALSE,"Sales_Split";"HOSP\WHSLR 2",#N/A,FALSE,"Sales_Split";"Hosp Total",#N/A,FALSE,"Sales_Split";"Hosp East",#N/A,FALSE,"Sales_Split";"Hosp West",#N/A,FALSE,"Sales_Split";"Whslr Total",#N/A,FALSE,"Sales_Split";"Whslr East",#N/A,FALSE,"Sales_Split";"Whslr West",#N/A,FALSE,"Sales_Split";"Percentage",#N/A,FALSE,"Sales_Split"}</definedName>
    <definedName function="false" hidden="true" name="zxzx" vbProcedure="false">{"oct_res_comm",#N/A,FALSE,"VarToBud"}</definedName>
    <definedName function="false" hidden="true" name="zz" vbProcedure="false">{#N/A,#N/A,FALSE,"KA CH  (2)"}</definedName>
    <definedName function="false" hidden="true" name="zza4pg" vbProcedure="false">{#N/A,#N/A,FALSE,"REPORT"}</definedName>
    <definedName function="false" hidden="true" name="zzaxz" vbProcedure="false">{"detail",#N/A,FALSE,"mfg";"summary",#N/A,FALSE,"mfg"}</definedName>
    <definedName function="false" hidden="true" name="zzee" vbProcedure="false">{#N/A,#N/A,FALSE,"Pharm";#N/A,#N/A,FALSE,"WWCM"}</definedName>
    <definedName function="false" hidden="true" name="zzi.7"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zzz" vbProcedure="false">{#N/A,#N/A,FALSE,"Umsatz CH";#N/A,#N/A,FALSE,"ER CH";#N/A,#N/A,FALSE,"EA CH (2) ";#N/A,#N/A,FALSE,"EA CH";#N/A,#N/A,FALSE,"EA CH (3) ";#N/A,#N/A,FALSE,"EA CH (4)";#N/A,#N/A,FALSE,"KA CH";#N/A,#N/A,FALSE,"KA CH  (2)";#N/A,#N/A,FALSE,"KA CH  (3)";#N/A,#N/A,FALSE,"KA CH (4)"}</definedName>
    <definedName function="false" hidden="true" name="zzz.com" vbProcedure="false">{#N/A,#N/A,FALSE,"Title Page";#N/A,#N/A,FALSE,"Conclusions";#N/A,#N/A,FALSE,"Assum.";#N/A,#N/A,FALSE,"Sun  DCF-WC-Dep";#N/A,#N/A,FALSE,"MarketValue";#N/A,#N/A,FALSE,"BalSheet";#N/A,#N/A,FALSE,"WACC";#N/A,#N/A,FALSE,"PC+ Info.";#N/A,#N/A,FALSE,"PC+Info_2"}</definedName>
    <definedName function="false" hidden="true" name="zzzz" vbProcedure="false">#N/A</definedName>
    <definedName function="false" hidden="true" name="zzzzz" vbProcedure="false">{#N/A,#N/A,FALSE,"REPORT"}</definedName>
    <definedName function="false" hidden="true" name="ZZZZZZ" vbProcedure="false">{#N/A,#N/A,FALSE,"3";#N/A,#N/A,FALSE,"5";#N/A,#N/A,FALSE,"6";#N/A,#N/A,FALSE,"8";#N/A,#N/A,FALSE,"10";#N/A,#N/A,FALSE,"13";#N/A,#N/A,FALSE,"14";#N/A,#N/A,FALSE,"15";#N/A,#N/A,FALSE,"16"}</definedName>
    <definedName function="false" hidden="true" name="ZZZZZZZZ" vbProcedure="false">{#N/A,#N/A,FALSE,"3";#N/A,#N/A,FALSE,"5";#N/A,#N/A,FALSE,"6";#N/A,#N/A,FALSE,"8";#N/A,#N/A,FALSE,"10";#N/A,#N/A,FALSE,"13";#N/A,#N/A,FALSE,"14";#N/A,#N/A,FALSE,"15";#N/A,#N/A,FALSE,"16"}</definedName>
    <definedName function="false" hidden="true" name="ZZZZZZZZZZZ" vbProcedure="false">{#N/A,#N/A,FALSE,"3";#N/A,#N/A,FALSE,"5";#N/A,#N/A,FALSE,"6";#N/A,#N/A,FALSE,"8";#N/A,#N/A,FALSE,"10";#N/A,#N/A,FALSE,"13";#N/A,#N/A,FALSE,"14";#N/A,#N/A,FALSE,"15";#N/A,#N/A,FALSE,"16"}</definedName>
    <definedName function="false" hidden="true" name="zzzzzzzzzzzzzz" vbProcedure="false">{"Units A",#N/A,FALSE,"FY95SLS";"Units B",#N/A,FALSE,"FY95SLS"}</definedName>
    <definedName function="false" hidden="true" name="zzzzzzzzzzzzzzzz" vbProcedure="false">{"Units A",#N/A,FALSE,"FY95SLS";"Units B",#N/A,FALSE,"FY95SLS"}</definedName>
    <definedName function="false" hidden="true" name="ZZZZZZZZZZZZZZZZZZZZZ" vbProcedure="false">{"Units A",#N/A,FALSE,"FY95SLS";"Units B",#N/A,FALSE,"FY95SLS"}</definedName>
    <definedName function="false" hidden="true" name="zzzzzzzzzzzzzzzzzzzzzzzzzzzz" vbProcedure="false">{"Units A",#N/A,FALSE,"FY95SLS";"Units B",#N/A,FALSE,"FY95SLS"}</definedName>
    <definedName function="false" hidden="true" name="zzzzzzzzzzzzzzzzzzzzzzzzzzzzz" vbProcedure="false">{"Units A",#N/A,FALSE,"FY95SLS";"Units B",#N/A,FALSE,"FY95SLS"}</definedName>
    <definedName function="false" hidden="true" name="Z_11782E94_661D_4A92_BEE0_E08F366CBCE8_.wvu.PrintArea" vbProcedure="false">#REF!</definedName>
    <definedName function="false" hidden="true" name="Z_9AB953AE_3105_11D2_8B95_00A0C9B6775A_.wvu.PrintArea" vbProcedure="false">#REF!</definedName>
    <definedName function="false" hidden="true" name="Z_BFDC2AE4_9827_11D3_B764_00403392CBD9_.wvu.Cols" vbProcedure="false">#REF!,#REF!,#REF!,#REF!,#REF!</definedName>
    <definedName function="false" hidden="true" name="Z_BFDC2AE4_9827_11D3_B764_00403392CBD9_.wvu.FilterData" vbProcedure="false">#REF!</definedName>
    <definedName function="false" hidden="true" name="Z_BFDC2AE4_9827_11D3_B764_00403392CBD9_.wvu.Rows" vbProcedure="false">#REF!</definedName>
    <definedName function="false" hidden="true" name="Z_D6A399A1_3411_11D2_88B3_A98C263D353B_.wvu.Rows" vbProcedure="false">#REF!,#REF!,#REF!,#REF!,#REF!</definedName>
    <definedName function="false" hidden="true" name="Z_D6A399A2_3411_11D2_88B3_A98C263D353B_.wvu.Cols" vbProcedure="false">#REF!</definedName>
    <definedName function="false" hidden="true" name="Z_D6A399A2_3411_11D2_88B3_A98C263D353B_.wvu.Rows" vbProcedure="false">#REF!,#REF!,#REF!,#REF!,#REF!</definedName>
    <definedName function="false" hidden="true" name="Z_D6A399A3_3411_11D2_88B3_A98C263D353B_.wvu.Cols" vbProcedure="false">#REF!,#REF!</definedName>
    <definedName function="false" hidden="true" name="Z_D6A399A3_3411_11D2_88B3_A98C263D353B_.wvu.Rows" vbProcedure="false">#REF!,#REF!,#REF!,#REF!,#REF!</definedName>
    <definedName function="false" hidden="true" name="Z_D6A399AF_3411_11D2_88B3_A98C263D353B_.wvu.Cols" vbProcedure="false">#REF!</definedName>
    <definedName function="false" hidden="true" name="Z_D6A399AF_3411_11D2_88B3_A98C263D353B_.wvu.Rows" vbProcedure="false">#REF!,#REF!,#REF!,#REF!,#REF!</definedName>
    <definedName function="false" hidden="true" name="Z_D6A399B0_3411_11D2_88B3_A98C263D353B_.wvu.Cols" vbProcedure="false">#REF!</definedName>
    <definedName function="false" hidden="true" name="\" vbProcedure="false">{"detail",#N/A,FALSE,"mfg";"summary",#N/A,FALSE,"mfg"}</definedName>
    <definedName function="false" hidden="true" name="\11" vbProcedure="false">#REF!</definedName>
    <definedName function="false" hidden="true" name="\gtu" vbProcedure="false">{#N/A,#N/A,FALSE,"TAXC.INDEX";#N/A,#N/A,FALSE,"Schedule I";#N/A,#N/A,FALSE,"Schedule  II";#N/A,#N/A,FALSE,"Schedule III"}</definedName>
    <definedName function="false" hidden="true" name="\gtuu" vbProcedure="false">{#N/A,#N/A,FALSE,"TAXC.INDEX";#N/A,#N/A,FALSE,"Schedule I";#N/A,#N/A,FALSE,"Schedule  II";#N/A,#N/A,FALSE,"Schedule III"}</definedName>
    <definedName function="false" hidden="true" name="_" vbProcedure="false">{#N/A,#N/A,FALSE,"Cristal D'Oro (Tabela)";#N/A,#N/A,FALSE,"Cond Rio Tietê (Tabela)";#N/A,#N/A,FALSE,"Jacyr Leal (Tabela)";#N/A,#N/A,FALSE,"Paul Cézanne (Tabela)";#N/A,#N/A,FALSE,"Tom Jobim  (Tabela)"}</definedName>
    <definedName function="false" hidden="true" name="_1000__FDSAUDITLINK__" vbProcedure="false">{"fdsup://IBCentral/FAT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01__FDSAUDITLINK__" vbProcedure="false">{"fdsup://IBCentral/FAT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02__FDSAUDITLINK__" vbProcedure="false">{"fdsup://IBCentral/FAT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03__FDSAUDITLINK__" vbProcedure="false">{"fdsup://IBCentral/FAT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04__FDSAUDITLINK__" vbProcedure="false">{"fdsup://IBCentral/FAT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05__FDSAUDITLINK__" vbProcedure="false">{"fdsup://IBCentral/FAT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06__FDSAUDITLINK__" vbProcedure="false">{"fdsup://IBCentral/FAT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07__FDSAUDITLINK__" vbProcedure="false">{"fdsup://IBCentral/FAT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08__FDSAUDITLINK__" vbProcedure="false">{"fdsup://IBCentral/FAT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09__FDSAUDITLINK__" vbProcedure="false">{"fdsup://IBCentral/FAT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0__FDSAUDITLINK__" vbProcedure="false">{"fdsup://IBCentral/FAT Viewer?action=UPDATE&amp;creator=factset&amp;DOC_NAME=fat:reuters_annual_source_window.fat&amp;display_string=Audit&amp;DYN_ARGS=TRUE&amp;VAR:ID1=30231G10&amp;VAR:RCODE=EIBT&amp;VAR:SDATE=20041299&amp;VAR:FREQ=Y&amp;VAR:RELITEM=RP&amp;VAR:CURRENCY=&amp;VAR:CURRSOURCE=EXSHARE&amp;V","AR:NATFREQ=ANNUAL&amp;VAR:RFIELD=FINALIZED&amp;VAR:DB_TYPE=&amp;VAR:UNITS=M&amp;window=popup&amp;width=450&amp;height=300&amp;START_MAXIMIZED=FALSE"}</definedName>
    <definedName function="false" hidden="true" name="_1010__FDSAUDITLINK__" vbProcedure="false">{"fdsup://IBCentral/FAT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11__FDSAUDITLINK__" vbProcedure="false">{"fdsup://IBCentral/FAT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12__FDSAUDITLINK__" vbProcedure="false">{"fdsup://IBCentral/FAT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13__FDSAUDITLINK__" vbProcedure="false">{"fdsup://IBCentral/FAT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14__FDSAUDITLINK__" vbProcedure="false">{"fdsup://IBCentral/FAT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15__FDSAUDITLINK__" vbProcedure="false">{"fdsup://IBCentral/FAT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16__FDSAUDITLINK__" vbProcedure="false">{"fdsup://IBCentral/FAT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17__FDSAUDITLINK__" vbProcedure="false">{"fdsup://IBCentral/FAT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18__FDSAUDITLINK__" vbProcedure="false">{"fdsup://IBCentral/FAT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19__FDSAUDITLINK__" vbProcedure="false">{"fdsup://IBCentral/FAT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1__FDSAUDITLINK__" vbProcedure="false">{"fdsup://IBCentral/FAT Viewer?action=UPDATE&amp;creator=factset&amp;DOC_NAME=fat:reuters_annual_source_window.fat&amp;display_string=Audit&amp;DYN_ARGS=TRUE&amp;VAR:ID1=30231G10&amp;VAR:RCODE=EIBT&amp;VAR:SDATE=20031299&amp;VAR:FREQ=Y&amp;VAR:RELITEM=RP&amp;VAR:CURRENCY=&amp;VAR:CURRSOURCE=EXSHARE&amp;V","AR:NATFREQ=ANNUAL&amp;VAR:RFIELD=FINALIZED&amp;VAR:DB_TYPE=&amp;VAR:UNITS=M&amp;window=popup&amp;width=450&amp;height=300&amp;START_MAXIMIZED=FALSE"}</definedName>
    <definedName function="false" hidden="true" name="_1020__FDSAUDITLINK__" vbProcedure="false">{"fdsup://IBCentral/FAT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21__FDSAUDITLINK__" vbProcedure="false">{"fdsup://IBCentral/FAT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22__FDSAUDITLINK__" vbProcedure="false">{"fdsup://IBCentral/FAT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23__FDSAUDITLINK__" vbProcedure="false">{"fdsup://IBCentral/FAT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24__FDSAUDITLINK__" vbProcedure="false">{"fdsup://IBCentral/FAT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25__FDSAUDITLINK__" vbProcedure="false">{"fdsup://IBCentral/FAT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26__FDSAUDITLINK__" vbProcedure="false">{"fdsup://IBCentral/FAT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27__FDSAUDITLINK__" vbProcedure="false">{"fdsup://IBCentral/FAT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28__FDSAUDITLINK__" vbProcedure="false">{"fdsup://IBCentral/FAT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29__FDSAUDITLINK__" vbProcedure="false">{"fdsup://IBCentral/FAT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2__FDSAUDITLINK__" vbProcedure="false">{"fdsup://IBCentral/FAT Viewer?action=UPDATE&amp;creator=factset&amp;DOC_NAME=fat:reuters_annual_source_window.fat&amp;display_string=Audit&amp;DYN_ARGS=TRUE&amp;VAR:ID1=30231G10&amp;VAR:RCODE=FDSINTEXPTOTAL&amp;VAR:SDATE=20071299&amp;VAR:FREQ=Y&amp;VAR:RELITEM=RP&amp;VAR:CURRENCY=&amp;VAR:CURRSOURCE","=EXSHARE&amp;VAR:NATFREQ=ANNUAL&amp;VAR:RFIELD=FINALIZED&amp;VAR:DB_TYPE=&amp;VAR:UNITS=M&amp;window=popup&amp;width=450&amp;height=300&amp;START_MAXIMIZED=FALSE"}</definedName>
    <definedName function="false" hidden="true" name="_1030__FDSAUDITLINK__" vbProcedure="false">{"fdsup://IBCentral/FAT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31__FDSAUDITLINK__" vbProcedure="false">{"fdsup://IBCentral/FAT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32__FDSAUDITLINK__" vbProcedure="false">{"fdsup://IBCentral/FAT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function="false" hidden="true" name="_1033__FDSAUDITLINK__" vbProcedure="false">{"fdsup://IBCentral/FAT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function="false" hidden="true" name="_1034__FDSAUDITLINK__" vbProcedure="false">{"fdsup://IBCentral/FAT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function="false" hidden="true" name="_1035__FDSAUDITLINK__" vbProcedure="false">{"fdsup://IBCentral/FAT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function="false" hidden="true" name="_1036__FDSAUDITLINK__" vbProcedure="false">{"fdsup://IBCentral/FAT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function="false" hidden="true" name="_1037__FDSAUDITLINK__" vbProcedure="false">{"fdsup://IBCentral/FAT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38__FDSAUDITLINK__" vbProcedure="false">{"fdsup://IBCentral/FAT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39__FDSAUDITLINK__" vbProcedure="false">{"fdsup://IBCentral/FAT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3__FDSAUDITLINK__" vbProcedure="false">{"fdsup://IBCentral/FAT Viewer?action=UPDATE&amp;creator=factset&amp;DOC_NAME=fat:reuters_annual_source_window.fat&amp;display_string=Audit&amp;DYN_ARGS=TRUE&amp;VAR:ID1=30231G10&amp;VAR:RCODE=FDSINTEXPTOTAL&amp;VAR:SDATE=20061299&amp;VAR:FREQ=Y&amp;VAR:RELITEM=RP&amp;VAR:CURRENCY=&amp;VAR:CURRSOURCE","=EXSHARE&amp;VAR:NATFREQ=ANNUAL&amp;VAR:RFIELD=FINALIZED&amp;VAR:DB_TYPE=&amp;VAR:UNITS=M&amp;window=popup&amp;width=450&amp;height=300&amp;START_MAXIMIZED=FALSE"}</definedName>
    <definedName function="false" hidden="true" name="_1040__FDSAUDITLINK__" vbProcedure="false">{"fdsup://IBCentral/FAT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41__FDSAUDITLINK__" vbProcedure="false">{"fdsup://IBCentral/FAT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42__FDSAUDITLINK__" vbProcedure="false">{"fdsup://IBCentral/FAT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43__FDSAUDITLINK__" vbProcedure="false">{"fdsup://IBCentral/FAT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44__FDSAUDITLINK__" vbProcedure="false">{"fdsup://IBCentral/FAT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45__FDSAUDITLINK__" vbProcedure="false">{"fdsup://IBCentral/FAT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46__FDSAUDITLINK__" vbProcedure="false">{"fdsup://IBCentral/FAT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47__FDSAUDITLINK__" vbProcedure="false">{"fdsup://IBCentral/FAT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48__FDSAUDITLINK__" vbProcedure="false">{"fdsup://IBCentral/FAT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49__FDSAUDITLINK__" vbProcedure="false">{"fdsup://IBCentral/FAT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4__FDSAUDITLINK__" vbProcedure="false">{"fdsup://IBCentral/FAT Viewer?action=UPDATE&amp;creator=factset&amp;DOC_NAME=fat:reuters_annual_source_window.fat&amp;display_string=Audit&amp;DYN_ARGS=TRUE&amp;VAR:ID1=30231G10&amp;VAR:RCODE=FDSINTEXPTOTAL&amp;VAR:SDATE=20051299&amp;VAR:FREQ=Y&amp;VAR:RELITEM=RP&amp;VAR:CURRENCY=&amp;VAR:CURRSOURCE","=EXSHARE&amp;VAR:NATFREQ=ANNUAL&amp;VAR:RFIELD=FINALIZED&amp;VAR:DB_TYPE=&amp;VAR:UNITS=M&amp;window=popup&amp;width=450&amp;height=300&amp;START_MAXIMIZED=FALSE"}</definedName>
    <definedName function="false" hidden="true" name="_1050__FDSAUDITLINK__" vbProcedure="false">{"fdsup://IBCentral/FAT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51__FDSAUDITLINK__" vbProcedure="false">{"fdsup://IBCentral/FAT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52__FDSAUDITLINK__" vbProcedure="false">{"fdsup://IBCentral/FAT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53__FDSAUDITLINK__" vbProcedure="false">{"fdsup://IBCentral/FAT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54__FDSAUDITLINK__" vbProcedure="false">{"fdsup://IBCentral/FAT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55__FDSAUDITLINK__" vbProcedure="false">{"fdsup://IBCentral/FAT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56__FDSAUDITLINK__" vbProcedure="false">{"fdsup://IBCentral/FAT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57__FDSAUDITLINK__" vbProcedure="false">{"fdsup://IBCentral/FAT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58__FDSAUDITLINK__" vbProcedure="false">{"fdsup://IBCentral/FAT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59__FDSAUDITLINK__" vbProcedure="false">{"fdsup://IBCentral/FAT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5__FDSAUDITLINK__" vbProcedure="false">{"fdsup://IBCentral/FAT Viewer?action=UPDATE&amp;creator=factset&amp;DOC_NAME=fat:reuters_annual_source_window.fat&amp;display_string=Audit&amp;DYN_ARGS=TRUE&amp;VAR:ID1=30231G10&amp;VAR:RCODE=FDSINTEXPTOTAL&amp;VAR:SDATE=20041299&amp;VAR:FREQ=Y&amp;VAR:RELITEM=RP&amp;VAR:CURRENCY=&amp;VAR:CURRSOURCE","=EXSHARE&amp;VAR:NATFREQ=ANNUAL&amp;VAR:RFIELD=FINALIZED&amp;VAR:DB_TYPE=&amp;VAR:UNITS=M&amp;window=popup&amp;width=450&amp;height=300&amp;START_MAXIMIZED=FALSE"}</definedName>
    <definedName function="false" hidden="true" name="_1060__FDSAUDITLINK__" vbProcedure="false">{"fdsup://IBCentral/FAT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61__FDSAUDITLINK__" vbProcedure="false">{"fdsup://IBCentral/FAT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62__FDSAUDITLINK__" vbProcedure="false">{"fdsup://IBCentral/FAT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63__FDSAUDITLINK__" vbProcedure="false">{"fdsup://IBCentral/FAT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64__FDSAUDITLINK__" vbProcedure="false">{"fdsup://IBCentral/FAT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65__FDSAUDITLINK__" vbProcedure="false">{"fdsup://IBCentral/FAT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66__FDSAUDITLINK__" vbProcedure="false">{"fdsup://IBCentral/FAT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67__FDSAUDITLINK__" vbProcedure="false">{"fdsup://IBCentral/FAT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68__FDSAUDITLINK__" vbProcedure="false">{"fdsup://IBCentral/FAT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69__FDSAUDITLINK__" vbProcedure="false">{"fdsup://IBCentral/FAT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6__FDSAUDITLINK__" vbProcedure="false">{"fdsup://IBCentral/FAT Viewer?action=UPDATE&amp;creator=factset&amp;DOC_NAME=fat:reuters_annual_source_window.fat&amp;display_string=Audit&amp;DYN_ARGS=TRUE&amp;VAR:ID1=30231G10&amp;VAR:RCODE=FDSINTEXPTOTAL&amp;VAR:SDATE=20031299&amp;VAR:FREQ=Y&amp;VAR:RELITEM=RP&amp;VAR:CURRENCY=&amp;VAR:CURRSOURCE","=EXSHARE&amp;VAR:NATFREQ=ANNUAL&amp;VAR:RFIELD=FINALIZED&amp;VAR:DB_TYPE=&amp;VAR:UNITS=M&amp;window=popup&amp;width=450&amp;height=300&amp;START_MAXIMIZED=FALSE"}</definedName>
    <definedName function="false" hidden="true" name="_1070__FDSAUDITLINK__" vbProcedure="false">{"fdsup://IBCentral/FAT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71__FDSAUDITLINK__" vbProcedure="false">{"fdsup://IBCentral/FAT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72__FDSAUDITLINK__" vbProcedure="false">{"fdsup://IBCentral/FAT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73__FDSAUDITLINK__" vbProcedure="false">{"fdsup://IBCentral/FAT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74__FDSAUDITLINK__" vbProcedure="false">{"fdsup://IBCentral/FAT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75__FDSAUDITLINK__" vbProcedure="false">{"fdsup://IBCentral/FAT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76__FDSAUDITLINK__" vbProcedure="false">{"fdsup://IBCentral/FAT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77__FDSAUDITLINK__" vbProcedure="false">{"fdsup://IBCentral/FAT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78__FDSAUDITLINK__" vbProcedure="false">{"fdsup://IBCentral/FAT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79__FDSAUDITLINK__" vbProcedure="false">{"fdsup://IBCentral/FAT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7__FDSAUDITLINK__" vbProcedure="false">{"fdsup://IBCentral/FAT Viewer?action=UPDATE&amp;creator=factset&amp;DOC_NAME=fat:reuters_annual_source_window.fat&amp;display_string=Audit&amp;DYN_ARGS=TRUE&amp;VAR:ID1=30231G10&amp;VAR:RCODE=EBIT&amp;VAR:SDATE=20071299&amp;VAR:FREQ=Y&amp;VAR:RELITEM=RP&amp;VAR:CURRENCY=&amp;VAR:CURRSOURCE=EXSHARE&amp;V","AR:NATFREQ=ANNUAL&amp;VAR:RFIELD=FINALIZED&amp;VAR:DB_TYPE=&amp;VAR:UNITS=M&amp;window=popup&amp;width=450&amp;height=300&amp;START_MAXIMIZED=FALSE"}</definedName>
    <definedName function="false" hidden="true" name="_1080__FDSAUDITLINK__" vbProcedure="false">{"fdsup://IBCentral/FAT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81__FDSAUDITLINK__" vbProcedure="false">{"fdsup://IBCentral/FAT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82__FDSAUDITLINK__" vbProcedure="false">{"fdsup://IBCentral/FAT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83__FDSAUDITLINK__" vbProcedure="false">{"fdsup://IBCentral/FAT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84__FDSAUDITLINK__" vbProcedure="false">{"fdsup://IBCentral/FAT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85__FDSAUDITLINK__" vbProcedure="false">{"fdsup://IBCentral/FAT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86__FDSAUDITLINK__" vbProcedure="false">{"fdsup://IBCentral/FAT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87__FDSAUDITLINK__" vbProcedure="false">{"fdsup://IBCentral/FAT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88__FDSAUDITLINK__" vbProcedure="false">{"fdsup://IBCentral/FAT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89__FDSAUDITLINK__" vbProcedure="false">{"fdsup://IBCentral/FAT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8__FDSAUDITLINK__" vbProcedure="false">{"fdsup://IBCentral/FAT Viewer?action=UPDATE&amp;creator=factset&amp;DOC_NAME=fat:reuters_annual_source_window.fat&amp;display_string=Audit&amp;DYN_ARGS=TRUE&amp;VAR:ID1=30231G10&amp;VAR:RCODE=EBIT&amp;VAR:SDATE=20061299&amp;VAR:FREQ=Y&amp;VAR:RELITEM=RP&amp;VAR:CURRENCY=&amp;VAR:CURRSOURCE=EXSHARE&amp;V","AR:NATFREQ=ANNUAL&amp;VAR:RFIELD=FINALIZED&amp;VAR:DB_TYPE=&amp;VAR:UNITS=M&amp;window=popup&amp;width=450&amp;height=300&amp;START_MAXIMIZED=FALSE"}</definedName>
    <definedName function="false" hidden="true" name="_1090__FDSAUDITLINK__" vbProcedure="false">{"fdsup://IBCentral/FAT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91__FDSAUDITLINK__" vbProcedure="false">{"fdsup://IBCentral/FAT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92__FDSAUDITLINK__" vbProcedure="false">{"fdsup://IBCentral/FAT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93__FDSAUDITLINK__" vbProcedure="false">{"fdsup://IBCentral/FAT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94__FDSAUDITLINK__" vbProcedure="false">{"fdsup://IBCentral/FAT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95__FDSAUDITLINK__" vbProcedure="false">{"fdsup://IBCentral/FAT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096__FDSAUDITLINK__" vbProcedure="false">{"fdsup://IBCentral/FAT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097__FDSAUDITLINK__" vbProcedure="false">{"fdsup://IBCentral/FAT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098__FDSAUDITLINK__" vbProcedure="false">{"fdsup://IBCentral/FAT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099__FDSAUDITLINK__" vbProcedure="false">{"fdsup://IBCentral/FAT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09__FDSAUDITLINK__" vbProcedure="false">{"fdsup://IBCentral/FAT Viewer?action=UPDATE&amp;creator=factset&amp;DOC_NAME=fat:reuters_annual_source_window.fat&amp;display_string=Audit&amp;DYN_ARGS=TRUE&amp;VAR:ID1=30231G10&amp;VAR:RCODE=EBIT&amp;VAR:SDATE=20051299&amp;VAR:FREQ=Y&amp;VAR:RELITEM=RP&amp;VAR:CURRENCY=&amp;VAR:CURRSOURCE=EXSHARE&amp;V","AR:NATFREQ=ANNUAL&amp;VAR:RFIELD=FINALIZED&amp;VAR:DB_TYPE=&amp;VAR:UNITS=M&amp;window=popup&amp;width=450&amp;height=300&amp;START_MAXIMIZED=FALSE"}</definedName>
    <definedName function="false" hidden="true" name="_10__123Graph_ACHART_28" vbProcedure="false">#REF!</definedName>
    <definedName function="false" hidden="true" name="_10__123Graph_BCHART_12" vbProcedure="false">#REF!</definedName>
    <definedName function="false" hidden="true" name="_10__123Graph_LBL_ACHART_3" vbProcedure="false">#REF!</definedName>
    <definedName function="false" hidden="true" name="_10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9"}</definedName>
    <definedName function="false" hidden="true" name="_10__FDSAUDITLINK___1" vbProcedure="false">{"fdsup://directions/FAT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function="false" hidden="true" name="_10__FDSAUDITLINK___2" vbProcedure="false">{"fdsup://directions/FAT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function="false" hidden="true" name="_1100__FDSAUDITLINK__" vbProcedure="false">{"fdsup://IBCentral/FAT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101__FDSAUDITLINK__" vbProcedure="false">{"fdsup://IBCentral/FAT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102__FDSAUDITLINK__" vbProcedure="false">{"fdsup://IBCentral/FAT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103__FDSAUDITLINK__" vbProcedure="false">{"fdsup://IBCentral/FAT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104__FDSAUDITLINK__" vbProcedure="false">{"fdsup://IBCentral/FAT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105__FDSAUDITLINK__" vbProcedure="false">{"fdsup://IBCentral/FAT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106__FDSAUDITLINK__" vbProcedure="false">{"fdsup://IBCentral/FAT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107__FDSAUDITLINK__" vbProcedure="false">{"fdsup://IBCentral/FAT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108__FDSAUDITLINK__" vbProcedure="false">{"fdsup://IBCentral/FAT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109__FDSAUDITLINK__" vbProcedure="false">{"fdsup://IBCentral/FAT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10__FDSAUDITLINK__" vbProcedure="false">{"fdsup://IBCentral/FAT Viewer?action=UPDATE&amp;creator=factset&amp;DOC_NAME=fat:reuters_annual_source_window.fat&amp;display_string=Audit&amp;DYN_ARGS=TRUE&amp;VAR:ID1=30231G10&amp;VAR:RCODE=EBIT&amp;VAR:SDATE=20041299&amp;VAR:FREQ=Y&amp;VAR:RELITEM=RP&amp;VAR:CURRENCY=&amp;VAR:CURRSOURCE=EXSHARE&amp;V","AR:NATFREQ=ANNUAL&amp;VAR:RFIELD=FINALIZED&amp;VAR:DB_TYPE=&amp;VAR:UNITS=M&amp;window=popup&amp;width=450&amp;height=300&amp;START_MAXIMIZED=FALSE"}</definedName>
    <definedName function="false" hidden="true" name="_1110__FDSAUDITLINK__" vbProcedure="false">{"fdsup://IBCentral/FAT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111__FDSAUDITLINK__" vbProcedure="false">{"fdsup://IBCentral/FAT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1112__FDSAUDITLINK__" vbProcedure="false">{"fdsup://IBCentral/FAT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1113__FDSAUDITLINK__" vbProcedure="false">{"fdsup://IBCentral/FAT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1114__FDSAUDITLINK__" vbProcedure="false">{"fdsup://IBCentral/FAT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1115__FDSAUDITLINK__" vbProcedure="false">{"fdsup://IBCentral/FAT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116__FDSAUDITLINK__" vbProcedure="false">{"fdsup://IBCentral/FAT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1117__FDSAUDITLINK__" vbProcedure="false">{"fdsup://IBCentral/FAT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1118__FDSAUDITLINK__" vbProcedure="false">{"fdsup://IBCentral/FAT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function="false" hidden="true" name="_1119__FDSAUDITLINK__" vbProcedure="false">{"fdsup://IBCentral/FAT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1__FDSAUDITLINK__" vbProcedure="false">{"fdsup://IBCentral/FAT Viewer?action=UPDATE&amp;creator=factset&amp;DOC_NAME=fat:reuters_annual_source_window.fat&amp;display_string=Audit&amp;DYN_ARGS=TRUE&amp;VAR:ID1=30231G10&amp;VAR:RCODE=EBIT&amp;VAR:SDATE=20031299&amp;VAR:FREQ=Y&amp;VAR:RELITEM=RP&amp;VAR:CURRENCY=&amp;VAR:CURRSOURCE=EXSHARE&amp;V","AR:NATFREQ=ANNUAL&amp;VAR:RFIELD=FINALIZED&amp;VAR:DB_TYPE=&amp;VAR:UNITS=M&amp;window=popup&amp;width=450&amp;height=300&amp;START_MAXIMIZED=FALSE"}</definedName>
    <definedName function="false" hidden="true" name="_1120__FDSAUDITLINK__" vbProcedure="false">{"fdsup://IBCentral/FAT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21__FDSAUDITLINK__" vbProcedure="false">{"fdsup://IBCentral/FAT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22__FDSAUDITLINK__" vbProcedure="false">{"fdsup://IBCentral/FAT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23__FDSAUDITLINK__" vbProcedure="false">{"fdsup://IBCentral/FAT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24__FDSAUDITLINK__" vbProcedure="false">{"fdsup://IBCentral/FAT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1125__FDSAUDITLINK__" vbProcedure="false">{"fdsup://IBCentral/FAT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26__FDSAUDITLINK__" vbProcedure="false">{"fdsup://IBCentral/FAT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27__FDSAUDITLINK__" vbProcedure="false">{"fdsup://IBCentral/FAT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28__FDSAUDITLINK__" vbProcedure="false">{"fdsup://IBCentral/FAT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1129__FDSAUDITLINK__" vbProcedure="false">{"fdsup://IBCentral/FAT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2__FDSAUDITLINK__" vbProcedure="false">{"fdsup://IBCentral/FAT Viewer?action=UPDATE&amp;creator=factset&amp;DOC_NAME=fat:reuters_annual_source_window.fat&amp;display_string=Audit&amp;DYN_ARGS=TRUE&amp;VAR:ID1=30231G10&amp;VAR:RCODE=EBITDA&amp;VAR:SDATE=20071299&amp;VAR:FREQ=Y&amp;VAR:RELITEM=RP&amp;VAR:CURRENCY=&amp;VAR:CURRSOURCE=EXSHARE","&amp;VAR:NATFREQ=ANNUAL&amp;VAR:RFIELD=FINALIZED&amp;VAR:DB_TYPE=&amp;VAR:UNITS=M&amp;window=popup&amp;width=450&amp;height=300&amp;START_MAXIMIZED=FALSE"}</definedName>
    <definedName function="false" hidden="true" name="_1130__FDSAUDITLINK__" vbProcedure="false">{"fdsup://IBCentral/FAT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31__FDSAUDITLINK__" vbProcedure="false">{"fdsup://IBCentral/FAT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32__FDSAUDITLINK__" vbProcedure="false">{"fdsup://IBCentral/FAT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33__FDSAUDITLINK__" vbProcedure="false">{"fdsup://IBCentral/FAT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function="false" hidden="true" name="_1134__FDSAUDITLINK__" vbProcedure="false">{"fdsup://IBCentral/FAT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35__FDSAUDITLINK__" vbProcedure="false">{"fdsup://IBCentral/FAT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36__FDSAUDITLINK__" vbProcedure="false">{"fdsup://IBCentral/FAT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37__FDSAUDITLINK__" vbProcedure="false">{"fdsup://IBCentral/FAT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38__FDSAUDITLINK__" vbProcedure="false">{"fdsup://IBCentral/FAT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39__FDSAUDITLINK__" vbProcedure="false">{"fdsup://IBCentral/FAT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3__FDSAUDITLINK__" vbProcedure="false">{"fdsup://IBCentral/FAT Viewer?action=UPDATE&amp;creator=factset&amp;DOC_NAME=fat:reuters_annual_source_window.fat&amp;display_string=Audit&amp;DYN_ARGS=TRUE&amp;VAR:ID1=30231G10&amp;VAR:RCODE=EBITDA&amp;VAR:SDATE=20061299&amp;VAR:FREQ=Y&amp;VAR:RELITEM=RP&amp;VAR:CURRENCY=&amp;VAR:CURRSOURCE=EXSHARE","&amp;VAR:NATFREQ=ANNUAL&amp;VAR:RFIELD=FINALIZED&amp;VAR:DB_TYPE=&amp;VAR:UNITS=M&amp;window=popup&amp;width=450&amp;height=300&amp;START_MAXIMIZED=FALSE"}</definedName>
    <definedName function="false" hidden="true" name="_1140__FDSAUDITLINK__" vbProcedure="false">{"fdsup://IBCentral/FAT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41__FDSAUDITLINK__" vbProcedure="false">{"fdsup://IBCentral/FAT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42__FDSAUDITLINK__" vbProcedure="false">{"fdsup://IBCentral/FAT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function="false" hidden="true" name="_1143__FDSAUDITLINK__" vbProcedure="false">{"fdsup://IBCentral/FAT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44__FDSAUDITLINK__" vbProcedure="false">{"fdsup://IBCentral/FAT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1145__FDSAUDITLINK__" vbProcedure="false">{"fdsup://IBCentral/FAT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function="false" hidden="true" name="_1146__FDSAUDITLINK__" vbProcedure="false">{"fdsup://IBCentral/FAT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function="false" hidden="true" name="_114__FDSAUDITLINK__" vbProcedure="false">{"fdsup://IBCentral/FAT Viewer?action=UPDATE&amp;creator=factset&amp;DOC_NAME=fat:reuters_annual_source_window.fat&amp;display_string=Audit&amp;DYN_ARGS=TRUE&amp;VAR:ID1=30231G10&amp;VAR:RCODE=EBITDA&amp;VAR:SDATE=20051299&amp;VAR:FREQ=Y&amp;VAR:RELITEM=RP&amp;VAR:CURRENCY=&amp;VAR:CURRSOURCE=EXSHARE","&amp;VAR:NATFREQ=ANNUAL&amp;VAR:RFIELD=FINALIZED&amp;VAR:DB_TYPE=&amp;VAR:UNITS=M&amp;window=popup&amp;width=450&amp;height=300&amp;START_MAXIMIZED=FALSE"}</definedName>
    <definedName function="false" hidden="true" name="_1150__FDSAUDITLINK__" vbProcedure="false">{"fdsup://Directions/FactSet Auditing Viewer?action=AUDIT_VALUE&amp;DB=129&amp;ID1=94184810&amp;VALUEID=01250&amp;SDATE=2008&amp;PERIODTYPE=ANN_STD&amp;SCFT=3&amp;window=popup_no_bar&amp;width=385&amp;height=120&amp;START_MAXIMIZED=FALSE&amp;creator=factset&amp;display_string=Audit"}</definedName>
    <definedName function="false" hidden="true" name="_1151__FDSAUDITLINK__" vbProcedure="false">{"fdsup://Directions/FactSet Auditing Viewer?action=AUDIT_VALUE&amp;DB=129&amp;ID1=94184810&amp;VALUEID=01250&amp;SDATE=2009&amp;PERIODTYPE=ANN_STD&amp;SCFT=3&amp;window=popup_no_bar&amp;width=385&amp;height=120&amp;START_MAXIMIZED=FALSE&amp;creator=factset&amp;display_string=Audit"}</definedName>
    <definedName function="false" hidden="true" name="_1152__FDSAUDITLINK__" vbProcedure="false">{"fdsup://Directions/FactSet Auditing Viewer?action=AUDIT_VALUE&amp;DB=129&amp;ID1=028704&amp;VALUEID=01001&amp;SDATE=2009&amp;PERIODTYPE=ANN_STD&amp;SCFT=3&amp;window=popup_no_bar&amp;width=385&amp;height=120&amp;START_MAXIMIZED=FALSE&amp;creator=factset&amp;display_string=Audit"}</definedName>
    <definedName function="false" hidden="true" name="_1158__FDSAUDITLINK__" vbProcedure="false">{"fdsup://Directions/FactSet Auditing Viewer?action=AUDIT_VALUE&amp;DB=129&amp;ID1=94184810&amp;VALUEID=01151&amp;SDATE=2008&amp;PERIODTYPE=ANN_STD&amp;SCFT=3&amp;window=popup_no_bar&amp;width=385&amp;height=120&amp;START_MAXIMIZED=FALSE&amp;creator=factset&amp;display_string=Audit"}</definedName>
    <definedName function="false" hidden="true" name="_1159__FDSAUDITLINK__" vbProcedure="false">{"fdsup://directions/FAT Viewer?action=UPDATE&amp;creator=factset&amp;DYN_ARGS=TRUE&amp;DOC_NAME=FAT:FQL_AUDITING_CLIENT_TEMPLATE.FAT&amp;display_string=Audit&amp;VAR:KEY=MTQRABIZOX&amp;VAR:QUERY=RkZfRUJJVF9PUEVSKExUTVMsMCwsLCxJQ19DVVJSRU5DWV9JU08oKSk=&amp;WINDOW=FIRST_POPUP&amp;HEIGHT=45","0&amp;WIDTH=450&amp;START_MAXIMIZED=FALSE&amp;VAR:CALENDAR=US&amp;VAR:SYMBOL=94184810&amp;VAR:INDEX=0"}</definedName>
    <definedName function="false" hidden="true" name="_115__FDSAUDITLINK__" vbProcedure="false">{"fdsup://IBCentral/FAT Viewer?action=UPDATE&amp;creator=factset&amp;DOC_NAME=fat:reuters_annual_source_window.fat&amp;display_string=Audit&amp;DYN_ARGS=TRUE&amp;VAR:ID1=30231G10&amp;VAR:RCODE=EBITDA&amp;VAR:SDATE=20041299&amp;VAR:FREQ=Y&amp;VAR:RELITEM=RP&amp;VAR:CURRENCY=&amp;VAR:CURRSOURCE=EXSHARE","&amp;VAR:NATFREQ=ANNUAL&amp;VAR:RFIELD=FINALIZED&amp;VAR:DB_TYPE=&amp;VAR:UNITS=M&amp;window=popup&amp;width=450&amp;height=300&amp;START_MAXIMIZED=FALSE"}</definedName>
    <definedName function="false" hidden="true" name="_1164__FDSAUDITLINK__" vbProcedure="false">{"fdsup://directions/FAT Viewer?action=UPDATE&amp;creator=factset&amp;DYN_ARGS=TRUE&amp;DOC_NAME=FAT:FQL_AUDITING_CLIENT_TEMPLATE.FAT&amp;display_string=Audit&amp;VAR:KEY=GNYFCVUVGD&amp;VAR:QUERY=RkZfRVBTX0RJTChBTk4sNDA1NDIsLCwsSUNfQ1VSUkVOQ1lfSVNPKCkp&amp;WINDOW=FIRST_POPUP&amp;HEIGHT=45","0&amp;WIDTH=450&amp;START_MAXIMIZED=FALSE&amp;VAR:CALENDAR=US&amp;VAR:SYMBOL=94184810&amp;VAR:INDEX=0"}</definedName>
    <definedName function="false" hidden="true" name="_116__FDSAUDITLINK__" vbProcedure="false">{"fdsup://IBCentral/FAT Viewer?action=UPDATE&amp;creator=factset&amp;DOC_NAME=fat:reuters_annual_source_window.fat&amp;display_string=Audit&amp;DYN_ARGS=TRUE&amp;VAR:ID1=30231G10&amp;VAR:RCODE=EBITDA&amp;VAR:SDATE=20031299&amp;VAR:FREQ=Y&amp;VAR:RELITEM=RP&amp;VAR:CURRENCY=&amp;VAR:CURRSOURCE=EXSHARE","&amp;VAR:NATFREQ=ANNUAL&amp;VAR:RFIELD=FINALIZED&amp;VAR:DB_TYPE=&amp;VAR:UNITS=M&amp;window=popup&amp;width=450&amp;height=300&amp;START_MAXIMIZED=FALSE"}</definedName>
    <definedName function="false" hidden="true" name="_117__FDSAUDITLINK__" vbProcedure="false">{"fdsup://IBCentral/FAT Viewer?action=UPDATE&amp;creator=factset&amp;DOC_NAME=fat:reuters_annual_source_window.fat&amp;display_string=Audit&amp;DYN_ARGS=TRUE&amp;VAR:ID1=30231G10&amp;VAR:RCODE=SGAFDS&amp;VAR:SDATE=20071299&amp;VAR:FREQ=Y&amp;VAR:RELITEM=RP&amp;VAR:CURRENCY=&amp;VAR:CURRSOURCE=EXSHARE","&amp;VAR:NATFREQ=ANNUAL&amp;VAR:RFIELD=FINALIZED&amp;VAR:DB_TYPE=&amp;VAR:UNITS=M&amp;window=popup&amp;width=450&amp;height=300&amp;START_MAXIMIZED=FALSE"}</definedName>
    <definedName function="false" hidden="true" name="_1187__FDSAUDITLINK__" vbProcedure="false">{"fdsup://Directions/FactSet Auditing Viewer?action=AUDIT_VALUE&amp;DB=129&amp;ID1=23585110&amp;VALUEID=04831&amp;SDATE=2009&amp;PERIODTYPE=ANN_STD&amp;SCFT=3&amp;window=popup_no_bar&amp;width=385&amp;height=120&amp;START_MAXIMIZED=FALSE&amp;creator=factset&amp;display_string=Audit"}</definedName>
    <definedName function="false" hidden="true" name="_118__FDSAUDITLINK__" vbProcedure="false">{"fdsup://IBCentral/FAT Viewer?action=UPDATE&amp;creator=factset&amp;DOC_NAME=fat:reuters_annual_source_window.fat&amp;display_string=Audit&amp;DYN_ARGS=TRUE&amp;VAR:ID1=30231G10&amp;VAR:RCODE=SGAFDS&amp;VAR:SDATE=20061299&amp;VAR:FREQ=Y&amp;VAR:RELITEM=RP&amp;VAR:CURRENCY=&amp;VAR:CURRSOURCE=EXSHARE","&amp;VAR:NATFREQ=ANNUAL&amp;VAR:RFIELD=FINALIZED&amp;VAR:DB_TYPE=&amp;VAR:UNITS=M&amp;window=popup&amp;width=450&amp;height=300&amp;START_MAXIMIZED=FALSE"}</definedName>
    <definedName function="false" hidden="true" name="_119__FDSAUDITLINK__" vbProcedure="false">{"fdsup://IBCentral/FAT Viewer?action=UPDATE&amp;creator=factset&amp;DOC_NAME=fat:reuters_annual_source_window.fat&amp;display_string=Audit&amp;DYN_ARGS=TRUE&amp;VAR:ID1=30231G10&amp;VAR:RCODE=SGAFDS&amp;VAR:SDATE=20051299&amp;VAR:FREQ=Y&amp;VAR:RELITEM=RP&amp;VAR:CURRENCY=&amp;VAR:CURRSOURCE=EXSHARE","&amp;VAR:NATFREQ=ANNUAL&amp;VAR:RFIELD=FINALIZED&amp;VAR:DB_TYPE=&amp;VAR:UNITS=M&amp;window=popup&amp;width=450&amp;height=300&amp;START_MAXIMIZED=FALSE"}</definedName>
    <definedName function="false" hidden="true" name="_11__123Graph_BCHART_13" vbProcedure="false">#REF!</definedName>
    <definedName function="false" hidden="true" name="_11__123Graph_LBL_DCHART_1" vbProcedure="false">#REF!</definedName>
    <definedName function="false" hidden="true" name="_11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10"}</definedName>
    <definedName function="false" hidden="true" name="_11__FDSAUDITLINK___1" vbProcedure="false">{"fdsup://IBCentral/FAT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function="false" hidden="true" name="_11__FDSAUDITLINK___2" vbProcedure="false">{"fdsup://IBCentral/FAT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function="false" hidden="true" name="_120__FDSAUDITLINK__" vbProcedure="false">{"fdsup://IBCentral/FAT Viewer?action=UPDATE&amp;creator=factset&amp;DOC_NAME=fat:reuters_annual_source_window.fat&amp;display_string=Audit&amp;DYN_ARGS=TRUE&amp;VAR:ID1=30231G10&amp;VAR:RCODE=SGAFDS&amp;VAR:SDATE=20041299&amp;VAR:FREQ=Y&amp;VAR:RELITEM=RP&amp;VAR:CURRENCY=&amp;VAR:CURRSOURCE=EXSHARE","&amp;VAR:NATFREQ=ANNUAL&amp;VAR:RFIELD=FINALIZED&amp;VAR:DB_TYPE=&amp;VAR:UNITS=M&amp;window=popup&amp;width=450&amp;height=300&amp;START_MAXIMIZED=FALSE"}</definedName>
    <definedName function="false" hidden="true" name="_1215__FDSAUDITLINK__" vbProcedure="false">{"fdsup://directions/FAT Viewer?action=UPDATE&amp;creator=factset&amp;DYN_ARGS=TRUE&amp;DOC_NAME=FAT:FQL_AUDITING_CLIENT_TEMPLATE.FAT&amp;display_string=Audit&amp;VAR:KEY=KZATODAPYB&amp;VAR:QUERY=KCgoRkZfREVCVF9MVChRVFIsNDExNzIsLCwsRkZfQ1VSTl9ET0MoKSlARkZfREVCVF9MVChTRU1JLDQxMTcyL","CwsLEZGX0NVUk5fRE9DKCkpKUBGRl9ERUJUX0xUKFFUUiw0MTE3MiAtIDEsLCwsRkZfQ1VSTl9ET0MoKSkpQEZGX0RFQlRfTFQoU0VNSSw0MTE3MiAtIDEsLCwsRkZfQ1VSTl9ET0MoKSkp&amp;WINDOW=FIRST_POPUP&amp;HEIGHT=450&amp;WIDTH=450&amp;START_MAXIMIZED=FALSE&amp;VAR:CALENDAR=US&amp;VAR:SYMBOL=023208&amp;VAR:INDEX=0"}</definedName>
    <definedName function="false" hidden="true" name="_121__FDSAUDITLINK__" vbProcedure="false">{"fdsup://IBCentral/FAT Viewer?action=UPDATE&amp;creator=factset&amp;DOC_NAME=fat:reuters_annual_source_window.fat&amp;display_string=Audit&amp;DYN_ARGS=TRUE&amp;VAR:ID1=30231G10&amp;VAR:RCODE=SGAFDS&amp;VAR:SDATE=20031299&amp;VAR:FREQ=Y&amp;VAR:RELITEM=RP&amp;VAR:CURRENCY=&amp;VAR:CURRSOURCE=EXSHARE","&amp;VAR:NATFREQ=ANNUAL&amp;VAR:RFIELD=FINALIZED&amp;VAR:DB_TYPE=&amp;VAR:UNITS=M&amp;window=popup&amp;width=450&amp;height=300&amp;START_MAXIMIZED=FALSE"}</definedName>
    <definedName function="false" hidden="true" name="_122__FDSAUDITLINK__" vbProcedure="false">{"fdsup://IBCentral/FAT Viewer?action=UPDATE&amp;creator=factset&amp;DOC_NAME=fat:reuters_annual_source_window.fat&amp;display_string=Audit&amp;DYN_ARGS=TRUE&amp;VAR:ID1=30231G10&amp;VAR:RCODE=COGSFDS&amp;VAR:SDATE=20071299&amp;VAR:FREQ=Y&amp;VAR:RELITEM=RP&amp;VAR:CURRENCY=&amp;VAR:CURRSOURCE=EXSHAR","E&amp;VAR:NATFREQ=ANNUAL&amp;VAR:RFIELD=FINALIZED&amp;VAR:DB_TYPE=&amp;VAR:UNITS=M&amp;window=popup&amp;width=450&amp;height=300&amp;START_MAXIMIZED=FALSE"}</definedName>
    <definedName function="false" hidden="true" name="_1237__FDSAUDITLINK__" vbProcedure="false">{"fdsup://directions/FAT Viewer?action=UPDATE&amp;creator=factset&amp;DYN_ARGS=TRUE&amp;DOC_NAME=FAT:FQL_AUDITING_CLIENT_TEMPLATE.FAT&amp;display_string=Audit&amp;VAR:KEY=JONEZIBOTM&amp;VAR:QUERY=RkZfQ0FQRVgoQU5OLDQwMTQ3LCwsLElDX0NVUlJFTkNZX0lTTygpLE0p&amp;WINDOW=FIRST_POPUP&amp;HEIGHT=45","0&amp;WIDTH=450&amp;START_MAXIMIZED=FALSE&amp;VAR:CALENDAR=US&amp;VAR:SYMBOL=028704&amp;VAR:INDEX=0"}</definedName>
    <definedName function="false" hidden="true" name="_123__FDSAUDITLINK__" vbProcedure="false">{"fdsup://IBCentral/FAT Viewer?action=UPDATE&amp;creator=factset&amp;DOC_NAME=fat:reuters_annual_source_window.fat&amp;display_string=Audit&amp;DYN_ARGS=TRUE&amp;VAR:ID1=30231G10&amp;VAR:RCODE=COGSFDS&amp;VAR:SDATE=20061299&amp;VAR:FREQ=Y&amp;VAR:RELITEM=RP&amp;VAR:CURRENCY=&amp;VAR:CURRSOURCE=EXSHAR","E&amp;VAR:NATFREQ=ANNUAL&amp;VAR:RFIELD=FINALIZED&amp;VAR:DB_TYPE=&amp;VAR:UNITS=M&amp;window=popup&amp;width=450&amp;height=300&amp;START_MAXIMIZED=FALSE"}</definedName>
    <definedName function="false" hidden="true" name="_1247__FDSAUDITLINK__" vbProcedure="false">{"fdsup://Directions/FactSet Auditing Viewer?action=AUDIT_VALUE&amp;DB=129&amp;ID1=63651810&amp;VALUEID=03451&amp;SDATE=201202&amp;PERIODTYPE=QTR_STD&amp;SCFT=3&amp;window=popup_no_bar&amp;width=385&amp;height=120&amp;START_MAXIMIZED=FALSE&amp;creator=factset&amp;display_string=Audit"}</definedName>
    <definedName function="false" hidden="true" name="_124__FDSAUDITLINK__" vbProcedure="false">{"fdsup://IBCentral/FAT Viewer?action=UPDATE&amp;creator=factset&amp;DOC_NAME=fat:reuters_annual_source_window.fat&amp;display_string=Audit&amp;DYN_ARGS=TRUE&amp;VAR:ID1=30231G10&amp;VAR:RCODE=COGSFDS&amp;VAR:SDATE=20051299&amp;VAR:FREQ=Y&amp;VAR:RELITEM=RP&amp;VAR:CURRENCY=&amp;VAR:CURRSOURCE=EXSHAR","E&amp;VAR:NATFREQ=ANNUAL&amp;VAR:RFIELD=FINALIZED&amp;VAR:DB_TYPE=&amp;VAR:UNITS=M&amp;window=popup&amp;width=450&amp;height=300&amp;START_MAXIMIZED=FALSE"}</definedName>
    <definedName function="false" hidden="true" name="_1255__FDSAUDITLINK__" vbProcedure="false">{"fdsup://Directions/FactSet Auditing Viewer?action=AUDIT_VALUE&amp;DB=129&amp;ID1=94184810&amp;VALUEID=04831&amp;SDATE=2011&amp;PERIODTYPE=ANN_STD&amp;SCFT=3&amp;window=popup_no_bar&amp;width=385&amp;height=120&amp;START_MAXIMIZED=FALSE&amp;creator=factset&amp;display_string=Audit"}</definedName>
    <definedName function="false" hidden="true" name="_125__FDSAUDITLINK__" vbProcedure="false">{"fdsup://IBCentral/FAT Viewer?action=UPDATE&amp;creator=factset&amp;DOC_NAME=fat:reuters_annual_source_window.fat&amp;display_string=Audit&amp;DYN_ARGS=TRUE&amp;VAR:ID1=30231G10&amp;VAR:RCODE=COGSFDS&amp;VAR:SDATE=20041299&amp;VAR:FREQ=Y&amp;VAR:RELITEM=RP&amp;VAR:CURRENCY=&amp;VAR:CURRSOURCE=EXSHAR","E&amp;VAR:NATFREQ=ANNUAL&amp;VAR:RFIELD=FINALIZED&amp;VAR:DB_TYPE=&amp;VAR:UNITS=M&amp;window=popup&amp;width=450&amp;height=300&amp;START_MAXIMIZED=FALSE"}</definedName>
    <definedName function="false" hidden="true" name="_1260__FDSAUDITLINK__" vbProcedure="false">{"fdsup://Directions/FactSet Auditing Viewer?action=AUDIT_VALUE&amp;DB=129&amp;ID1=028704&amp;VALUEID=01151&amp;SDATE=2010&amp;PERIODTYPE=ANN_STD&amp;SCFT=3&amp;window=popup_no_bar&amp;width=385&amp;height=120&amp;START_MAXIMIZED=FALSE&amp;creator=factset&amp;display_string=Audit"}</definedName>
    <definedName function="false" hidden="true" name="_1262__FDSAUDITLINK__" vbProcedure="false">{"fdsup://Directions/FactSet Auditing Viewer?action=AUDIT_VALUE&amp;DB=129&amp;ID1=63651810&amp;VALUEID=01151&amp;SDATE=2011&amp;PERIODTYPE=ANN_STD&amp;SCFT=3&amp;window=popup_no_bar&amp;width=385&amp;height=120&amp;START_MAXIMIZED=FALSE&amp;creator=factset&amp;display_string=Audit"}</definedName>
    <definedName function="false" hidden="true" name="_126__FDSAUDITLINK__" vbProcedure="false">{"fdsup://IBCentral/FAT Viewer?action=UPDATE&amp;creator=factset&amp;DOC_NAME=fat:reuters_annual_source_window.fat&amp;display_string=Audit&amp;DYN_ARGS=TRUE&amp;VAR:ID1=30231G10&amp;VAR:RCODE=COGSFDS&amp;VAR:SDATE=20031299&amp;VAR:FREQ=Y&amp;VAR:RELITEM=RP&amp;VAR:CURRENCY=&amp;VAR:CURRSOURCE=EXSHAR","E&amp;VAR:NATFREQ=ANNUAL&amp;VAR:RFIELD=FINALIZED&amp;VAR:DB_TYPE=&amp;VAR:UNITS=M&amp;window=popup&amp;width=450&amp;height=300&amp;START_MAXIMIZED=FALSE"}</definedName>
    <definedName function="false" hidden="true" name="_1271__FDSAUDITLINK__" vbProcedure="false">{"fdsup://Directions/FactSet Auditing Viewer?action=AUDIT_VALUE&amp;DB=129&amp;ID1=94184810&amp;VALUEID=04831&amp;SDATE=2008&amp;PERIODTYPE=ANN_STD&amp;SCFT=3&amp;window=popup_no_bar&amp;width=385&amp;height=120&amp;START_MAXIMIZED=FALSE&amp;creator=factset&amp;display_string=Audit"}</definedName>
    <definedName function="false" hidden="true" name="_1276__FDSAUDITLINK__" vbProcedure="false">{"fdsup://Directions/FactSet Auditing Viewer?action=AUDIT_VALUE&amp;DB=129&amp;ID1=028704&amp;VALUEID=05194&amp;SDATE=2010&amp;PERIODTYPE=ANNR_STD&amp;SCFT=3&amp;window=popup_no_bar&amp;width=385&amp;height=120&amp;START_MAXIMIZED=FALSE&amp;creator=factset&amp;display_string=Audit"}</definedName>
    <definedName function="false" hidden="true" name="_127__FDSAUDITLINK__" vbProcedure="false">{"fdsup://IBCentral/FAT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function="false" hidden="true" name="_128__FDSAUDITLINK__" vbProcedure="false">{"fdsup://IBCentral/FAT Viewer?action=UPDATE&amp;creator=factset&amp;DOC_NAME=fat:reuters_annual_source_window.fat&amp;display_string=Audit&amp;DYN_ARGS=TRUE&amp;VAR:ID1=30231G10&amp;VAR:RCODE=SALES&amp;VAR:SDATE=20061299&amp;VAR:FREQ=Y&amp;VAR:RELITEM=RP&amp;VAR:CURRENCY=&amp;VAR:CURRSOURCE=EXSHARE&amp;","VAR:NATFREQ=ANNUAL&amp;VAR:RFIELD=FINALIZED&amp;VAR:DB_TYPE=&amp;VAR:UNITS=M&amp;window=popup&amp;width=450&amp;height=300&amp;START_MAXIMIZED=FALSE"}</definedName>
    <definedName function="false" hidden="true" name="_129__FDSAUDITLINK__" vbProcedure="false">{"fdsup://IBCentral/FAT Viewer?action=UPDATE&amp;creator=factset&amp;DOC_NAME=fat:reuters_annual_source_window.fat&amp;display_string=Audit&amp;DYN_ARGS=TRUE&amp;VAR:ID1=30231G10&amp;VAR:RCODE=SALES&amp;VAR:SDATE=20051299&amp;VAR:FREQ=Y&amp;VAR:RELITEM=RP&amp;VAR:CURRENCY=&amp;VAR:CURRSOURCE=EXSHARE&amp;","VAR:NATFREQ=ANNUAL&amp;VAR:RFIELD=FINALIZED&amp;VAR:DB_TYPE=&amp;VAR:UNITS=M&amp;window=popup&amp;width=450&amp;height=300&amp;START_MAXIMIZED=FALSE"}</definedName>
    <definedName function="false" hidden="true" name="_12__123Graph_ACHART_3" vbProcedure="false">#REF!</definedName>
    <definedName function="false" hidden="true" name="_12__123Graph_BCHART_14" vbProcedure="false">#REF!</definedName>
    <definedName function="false" hidden="true" name="_12__123Graph_LBL_ACHART_2" vbProcedure="false">#REF!</definedName>
    <definedName function="false" hidden="true" name="_12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2"}</definedName>
    <definedName function="false" hidden="true" name="_12__FDSAUDITLINK___1" vbProcedure="false">{"fdsup://IBCentral/FAT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function="false" hidden="true" name="_12__FDSAUDITLINK___2" vbProcedure="false">{"fdsup://IBCentral/FAT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function="false" hidden="true" name="_130__FDSAUDITLINK__" vbProcedure="false">{"fdsup://IBCentral/FAT Viewer?action=UPDATE&amp;creator=factset&amp;DOC_NAME=fat:reuters_annual_source_window.fat&amp;display_string=Audit&amp;DYN_ARGS=TRUE&amp;VAR:ID1=30231G10&amp;VAR:RCODE=SALES&amp;VAR:SDATE=20041299&amp;VAR:FREQ=Y&amp;VAR:RELITEM=RP&amp;VAR:CURRENCY=&amp;VAR:CURRSOURCE=EXSHARE&amp;","VAR:NATFREQ=ANNUAL&amp;VAR:RFIELD=FINALIZED&amp;VAR:DB_TYPE=&amp;VAR:UNITS=M&amp;window=popup&amp;width=450&amp;height=300&amp;START_MAXIMIZED=FALSE"}</definedName>
    <definedName function="false" hidden="true" name="_131__FDSAUDITLINK__" vbProcedure="false">{"fdsup://IBCentral/FAT Viewer?action=UPDATE&amp;creator=factset&amp;DOC_NAME=fat:reuters_annual_source_window.fat&amp;display_string=Audit&amp;DYN_ARGS=TRUE&amp;VAR:ID1=30231G10&amp;VAR:RCODE=SALES&amp;VAR:SDATE=20031299&amp;VAR:FREQ=Y&amp;VAR:RELITEM=RP&amp;VAR:CURRENCY=&amp;VAR:CURRSOURCE=EXSHARE&amp;","VAR:NATFREQ=ANNUAL&amp;VAR:RFIELD=FINALIZED&amp;VAR:DB_TYPE=&amp;VAR:UNITS=M&amp;window=popup&amp;width=450&amp;height=300&amp;START_MAXIMIZED=FALSE"}</definedName>
    <definedName function="false" hidden="true" name="_132__FDSAUDITLINK__" vbProcedure="false">{"fdsup://IBCentral/FAT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function="false" hidden="true" name="_133__FDSAUDITLINK__" vbProcedure="false">{"fdsup://IBCentral/FAT Viewer?action=UPDATE&amp;creator=factset&amp;DOC_NAME=fat:reuters_annual_source_window.fat&amp;display_string=Audit&amp;DYN_ARGS=TRUE&amp;VAR:ID1=30231G10&amp;VAR:RCODE=COGSFDS&amp;VAR:SDATE=19981299&amp;VAR:FREQ=Y&amp;VAR:RELITEM=RP&amp;VAR:CURRENCY=&amp;VAR:CURRSOURCE=EXSHAR","E&amp;VAR:NATFREQ=ANNUAL&amp;VAR:RFIELD=FINALIZED&amp;VAR:DB_TYPE=&amp;VAR:UNITS=M&amp;window=popup&amp;width=450&amp;height=300&amp;START_MAXIMIZED=FALSE"}</definedName>
    <definedName function="false" hidden="true" name="_134__FDSAUDITLINK__" vbProcedure="false">{"fdsup://IBCentral/FAT Viewer?action=UPDATE&amp;creator=factset&amp;DOC_NAME=fat:reuters_annual_source_window.fat&amp;display_string=Audit&amp;DYN_ARGS=TRUE&amp;VAR:ID1=30231G10&amp;VAR:RCODE=COGSFDS&amp;VAR:SDATE=19991299&amp;VAR:FREQ=Y&amp;VAR:RELITEM=RP&amp;VAR:CURRENCY=&amp;VAR:CURRSOURCE=EXSHAR","E&amp;VAR:NATFREQ=ANNUAL&amp;VAR:RFIELD=FINALIZED&amp;VAR:DB_TYPE=&amp;VAR:UNITS=M&amp;window=popup&amp;width=450&amp;height=300&amp;START_MAXIMIZED=FALSE"}</definedName>
    <definedName function="false" hidden="true" name="_135__FDSAUDITLINK__" vbProcedure="false">{"fdsup://IBCentral/FAT Viewer?action=UPDATE&amp;creator=factset&amp;DOC_NAME=fat:reuters_annual_source_window.fat&amp;display_string=Audit&amp;DYN_ARGS=TRUE&amp;VAR:ID1=30231G10&amp;VAR:RCODE=COGSFDS&amp;VAR:SDATE=20001299&amp;VAR:FREQ=Y&amp;VAR:RELITEM=RP&amp;VAR:CURRENCY=&amp;VAR:CURRSOURCE=EXSHAR","E&amp;VAR:NATFREQ=ANNUAL&amp;VAR:RFIELD=FINALIZED&amp;VAR:DB_TYPE=&amp;VAR:UNITS=M&amp;window=popup&amp;width=450&amp;height=300&amp;START_MAXIMIZED=FALSE"}</definedName>
    <definedName function="false" hidden="true" name="_136__FDSAUDITLINK__" vbProcedure="false">{"fdsup://IBCentral/FAT Viewer?action=UPDATE&amp;creator=factset&amp;DOC_NAME=fat:reuters_annual_source_window.fat&amp;display_string=Audit&amp;DYN_ARGS=TRUE&amp;VAR:ID1=30231G10&amp;VAR:RCODE=COGSFDS&amp;VAR:SDATE=20011299&amp;VAR:FREQ=Y&amp;VAR:RELITEM=RP&amp;VAR:CURRENCY=&amp;VAR:CURRSOURCE=EXSHAR","E&amp;VAR:NATFREQ=ANNUAL&amp;VAR:RFIELD=FINALIZED&amp;VAR:DB_TYPE=&amp;VAR:UNITS=M&amp;window=popup&amp;width=450&amp;height=300&amp;START_MAXIMIZED=FALSE"}</definedName>
    <definedName function="false" hidden="true" name="_137__FDSAUDITLINK__" vbProcedure="false">{"fdsup://IBCentral/FAT Viewer?action=UPDATE&amp;creator=factset&amp;DOC_NAME=fat:reuters_annual_source_window.fat&amp;display_string=Audit&amp;DYN_ARGS=TRUE&amp;VAR:ID1=30231G10&amp;VAR:RCODE=COGSFDS&amp;VAR:SDATE=20021299&amp;VAR:FREQ=Y&amp;VAR:RELITEM=RP&amp;VAR:CURRENCY=&amp;VAR:CURRSOURCE=EXSHAR","E&amp;VAR:NATFREQ=ANNUAL&amp;VAR:RFIELD=FINALIZED&amp;VAR:DB_TYPE=&amp;VAR:UNITS=M&amp;window=popup&amp;width=450&amp;height=300&amp;START_MAXIMIZED=FALSE"}</definedName>
    <definedName function="false" hidden="true" name="_138__FDSAUDITLINK__" vbProcedure="false">{"fdsup://IBCentral/FAT Viewer?action=UPDATE&amp;creator=factset&amp;DOC_NAME=fat:reuters_annual_source_window.fat&amp;display_string=Audit&amp;DYN_ARGS=TRUE&amp;VAR:ID1=30231G10&amp;VAR:RCODE=COGSFDS&amp;VAR:SDATE=20031299&amp;VAR:FREQ=Y&amp;VAR:RELITEM=RP&amp;VAR:CURRENCY=&amp;VAR:CURRSOURCE=EXSHAR","E&amp;VAR:NATFREQ=ANNUAL&amp;VAR:RFIELD=FINALIZED&amp;VAR:DB_TYPE=&amp;VAR:UNITS=M&amp;window=popup&amp;width=450&amp;height=300&amp;START_MAXIMIZED=FALSE"}</definedName>
    <definedName function="false" hidden="true" name="_139__FDSAUDITLINK__" vbProcedure="false">{"fdsup://IBCentral/FAT Viewer?action=UPDATE&amp;creator=factset&amp;DOC_NAME=fat:reuters_annual_source_window.fat&amp;display_string=Audit&amp;DYN_ARGS=TRUE&amp;VAR:ID1=30231G10&amp;VAR:RCODE=COGSFDS&amp;VAR:SDATE=20041299&amp;VAR:FREQ=Y&amp;VAR:RELITEM=RP&amp;VAR:CURRENCY=&amp;VAR:CURRSOURCE=EXSHAR","E&amp;VAR:NATFREQ=ANNUAL&amp;VAR:RFIELD=FINALIZED&amp;VAR:DB_TYPE=&amp;VAR:UNITS=M&amp;window=popup&amp;width=450&amp;height=300&amp;START_MAXIMIZED=FALSE"}</definedName>
    <definedName function="false" hidden="true" name="_13__123Graph_ACHART_30" vbProcedure="false">#REF!</definedName>
    <definedName function="false" hidden="true" name="_13__123Graph_BCHART_2" vbProcedure="false">#REF!</definedName>
    <definedName function="false" hidden="true" name="_13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definedName>
    <definedName function="false" hidden="true" name="_13__FDSAUDITLINK___1" vbProcedure="false">{"fdsup://IBCentral/FAT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function="false" hidden="true" name="_13__FDSAUDITLINK___2" vbProcedure="false">{"fdsup://IBCentral/FAT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function="false" hidden="true" name="_140__FDSAUDITLINK__" vbProcedure="false">{"fdsup://IBCentral/FAT Viewer?action=UPDATE&amp;creator=factset&amp;DOC_NAME=fat:reuters_annual_source_window.fat&amp;display_string=Audit&amp;DYN_ARGS=TRUE&amp;VAR:ID1=30231G10&amp;VAR:RCODE=COGSFDS&amp;VAR:SDATE=20051299&amp;VAR:FREQ=Y&amp;VAR:RELITEM=RP&amp;VAR:CURRENCY=&amp;VAR:CURRSOURCE=EXSHAR","E&amp;VAR:NATFREQ=ANNUAL&amp;VAR:RFIELD=FINALIZED&amp;VAR:DB_TYPE=&amp;VAR:UNITS=M&amp;window=popup&amp;width=450&amp;height=300&amp;START_MAXIMIZED=FALSE"}</definedName>
    <definedName function="false" hidden="true" name="_141__FDSAUDITLINK__" vbProcedure="false">{"fdsup://IBCentral/FAT Viewer?action=UPDATE&amp;creator=factset&amp;DOC_NAME=fat:reuters_annual_source_window.fat&amp;display_string=Audit&amp;DYN_ARGS=TRUE&amp;VAR:ID1=30231G10&amp;VAR:RCODE=COGSFDS&amp;VAR:SDATE=20061299&amp;VAR:FREQ=Y&amp;VAR:RELITEM=RP&amp;VAR:CURRENCY=&amp;VAR:CURRSOURCE=EXSHAR","E&amp;VAR:NATFREQ=ANNUAL&amp;VAR:RFIELD=FINALIZED&amp;VAR:DB_TYPE=&amp;VAR:UNITS=M&amp;window=popup&amp;width=450&amp;height=300&amp;START_MAXIMIZED=FALSE"}</definedName>
    <definedName function="false" hidden="true" name="_142__FDSAUDITLINK__" vbProcedure="false">{"fdsup://IBCentral/FAT Viewer?action=UPDATE&amp;creator=factset&amp;DOC_NAME=fat:reuters_annual_source_window.fat&amp;display_string=Audit&amp;DYN_ARGS=TRUE&amp;VAR:ID1=30231G10&amp;VAR:RCODE=COGSFDS&amp;VAR:SDATE=20071299&amp;VAR:FREQ=Y&amp;VAR:RELITEM=RP&amp;VAR:CURRENCY=&amp;VAR:CURRSOURCE=EXSHAR","E&amp;VAR:NATFREQ=ANNUAL&amp;VAR:RFIELD=FINALIZED&amp;VAR:DB_TYPE=&amp;VAR:UNITS=M&amp;window=popup&amp;width=450&amp;height=300&amp;START_MAXIMIZED=FALSE"}</definedName>
    <definedName function="false" hidden="true" name="_143__FDSAUDITLINK__" vbProcedure="false">{"fdsup://IBCentral/FAT Viewer?action=UPDATE&amp;creator=factset&amp;DOC_NAME=fat:reuters_annual_source_window.fat&amp;display_string=Audit&amp;DYN_ARGS=TRUE&amp;VAR:ID1=30231G10&amp;VAR:RCODE=SALES&amp;VAR:SDATE=19981299&amp;VAR:FREQ=Y&amp;VAR:RELITEM=RP&amp;VAR:CURRENCY=&amp;VAR:CURRSOURCE=EXSHARE&amp;","VAR:NATFREQ=ANNUAL&amp;VAR:RFIELD=FINALIZED&amp;VAR:DB_TYPE=&amp;VAR:UNITS=M&amp;window=popup&amp;width=450&amp;height=300&amp;START_MAXIMIZED=FALSE"}</definedName>
    <definedName function="false" hidden="true" name="_144__FDSAUDITLINK__" vbProcedure="false">{"fdsup://IBCentral/FAT Viewer?action=UPDATE&amp;creator=factset&amp;DOC_NAME=fat:reuters_annual_source_window.fat&amp;display_string=Audit&amp;DYN_ARGS=TRUE&amp;VAR:ID1=30231G10&amp;VAR:RCODE=SALES&amp;VAR:SDATE=19991299&amp;VAR:FREQ=Y&amp;VAR:RELITEM=RP&amp;VAR:CURRENCY=&amp;VAR:CURRSOURCE=EXSHARE&amp;","VAR:NATFREQ=ANNUAL&amp;VAR:RFIELD=FINALIZED&amp;VAR:DB_TYPE=&amp;VAR:UNITS=M&amp;window=popup&amp;width=450&amp;height=300&amp;START_MAXIMIZED=FALSE"}</definedName>
    <definedName function="false" hidden="true" name="_145__FDSAUDITLINK__" vbProcedure="false">{"fdsup://IBCentral/FAT Viewer?action=UPDATE&amp;creator=factset&amp;DOC_NAME=fat:reuters_annual_source_window.fat&amp;display_string=Audit&amp;DYN_ARGS=TRUE&amp;VAR:ID1=30231G10&amp;VAR:RCODE=SALES&amp;VAR:SDATE=20001299&amp;VAR:FREQ=Y&amp;VAR:RELITEM=RP&amp;VAR:CURRENCY=&amp;VAR:CURRSOURCE=EXSHARE&amp;","VAR:NATFREQ=ANNUAL&amp;VAR:RFIELD=FINALIZED&amp;VAR:DB_TYPE=&amp;VAR:UNITS=M&amp;window=popup&amp;width=450&amp;height=300&amp;START_MAXIMIZED=FALSE"}</definedName>
    <definedName function="false" hidden="true" name="_146__FDSAUDITLINK__" vbProcedure="false">{"fdsup://IBCentral/FAT Viewer?action=UPDATE&amp;creator=factset&amp;DOC_NAME=fat:reuters_annual_source_window.fat&amp;display_string=Audit&amp;DYN_ARGS=TRUE&amp;VAR:ID1=30231G10&amp;VAR:RCODE=SALES&amp;VAR:SDATE=20011299&amp;VAR:FREQ=Y&amp;VAR:RELITEM=RP&amp;VAR:CURRENCY=&amp;VAR:CURRSOURCE=EXSHARE&amp;","VAR:NATFREQ=ANNUAL&amp;VAR:RFIELD=FINALIZED&amp;VAR:DB_TYPE=&amp;VAR:UNITS=M&amp;window=popup&amp;width=450&amp;height=300&amp;START_MAXIMIZED=FALSE"}</definedName>
    <definedName function="false" hidden="true" name="_147__FDSAUDITLINK__" vbProcedure="false">{"fdsup://IBCentral/FAT Viewer?action=UPDATE&amp;creator=factset&amp;DOC_NAME=fat:reuters_annual_source_window.fat&amp;display_string=Audit&amp;DYN_ARGS=TRUE&amp;VAR:ID1=30231G10&amp;VAR:RCODE=SALES&amp;VAR:SDATE=20021299&amp;VAR:FREQ=Y&amp;VAR:RELITEM=RP&amp;VAR:CURRENCY=&amp;VAR:CURRSOURCE=EXSHARE&amp;","VAR:NATFREQ=ANNUAL&amp;VAR:RFIELD=FINALIZED&amp;VAR:DB_TYPE=&amp;VAR:UNITS=M&amp;window=popup&amp;width=450&amp;height=300&amp;START_MAXIMIZED=FALSE"}</definedName>
    <definedName function="false" hidden="true" name="_148__FDSAUDITLINK__" vbProcedure="false">{"fdsup://IBCentral/FAT Viewer?action=UPDATE&amp;creator=factset&amp;DOC_NAME=fat:reuters_annual_source_window.fat&amp;display_string=Audit&amp;DYN_ARGS=TRUE&amp;VAR:ID1=30231G10&amp;VAR:RCODE=SALES&amp;VAR:SDATE=20031299&amp;VAR:FREQ=Y&amp;VAR:RELITEM=RP&amp;VAR:CURRENCY=&amp;VAR:CURRSOURCE=EXSHARE&amp;","VAR:NATFREQ=ANNUAL&amp;VAR:RFIELD=FINALIZED&amp;VAR:DB_TYPE=&amp;VAR:UNITS=M&amp;window=popup&amp;width=450&amp;height=300&amp;START_MAXIMIZED=FALSE"}</definedName>
    <definedName function="false" hidden="true" name="_149__FDSAUDITLINK__" vbProcedure="false">{"fdsup://IBCentral/FAT Viewer?action=UPDATE&amp;creator=factset&amp;DOC_NAME=fat:reuters_annual_source_window.fat&amp;display_string=Audit&amp;DYN_ARGS=TRUE&amp;VAR:ID1=30231G10&amp;VAR:RCODE=SALES&amp;VAR:SDATE=20041299&amp;VAR:FREQ=Y&amp;VAR:RELITEM=RP&amp;VAR:CURRENCY=&amp;VAR:CURRSOURCE=EXSHARE&amp;","VAR:NATFREQ=ANNUAL&amp;VAR:RFIELD=FINALIZED&amp;VAR:DB_TYPE=&amp;VAR:UNITS=M&amp;window=popup&amp;width=450&amp;height=300&amp;START_MAXIMIZED=FALSE"}</definedName>
    <definedName function="false" hidden="true" name="_14__123Graph_BCHART_3" vbProcedure="false">#REF!</definedName>
    <definedName function="false" hidden="true" name="_14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9"}</definedName>
    <definedName function="false" hidden="true" name="_14__FDSAUDITLINK___1" vbProcedure="false">{"fdsup://IBCentral/FAT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function="false" hidden="true" name="_14__FDSAUDITLINK___2" vbProcedure="false">{"fdsup://IBCentral/FAT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function="false" hidden="true" name="_150__FDSAUDITLINK__" vbProcedure="false">{"fdsup://IBCentral/FAT Viewer?action=UPDATE&amp;creator=factset&amp;DOC_NAME=fat:reuters_annual_source_window.fat&amp;display_string=Audit&amp;DYN_ARGS=TRUE&amp;VAR:ID1=30231G10&amp;VAR:RCODE=SALES&amp;VAR:SDATE=20051299&amp;VAR:FREQ=Y&amp;VAR:RELITEM=RP&amp;VAR:CURRENCY=&amp;VAR:CURRSOURCE=EXSHARE&amp;","VAR:NATFREQ=ANNUAL&amp;VAR:RFIELD=FINALIZED&amp;VAR:DB_TYPE=&amp;VAR:UNITS=M&amp;window=popup&amp;width=450&amp;height=300&amp;START_MAXIMIZED=FALSE"}</definedName>
    <definedName function="false" hidden="true" name="_151__FDSAUDITLINK__" vbProcedure="false">{"fdsup://IBCentral/FAT Viewer?action=UPDATE&amp;creator=factset&amp;DOC_NAME=fat:reuters_annual_source_window.fat&amp;display_string=Audit&amp;DYN_ARGS=TRUE&amp;VAR:ID1=30231G10&amp;VAR:RCODE=SALES&amp;VAR:SDATE=20061299&amp;VAR:FREQ=Y&amp;VAR:RELITEM=RP&amp;VAR:CURRENCY=&amp;VAR:CURRSOURCE=EXSHARE&amp;","VAR:NATFREQ=ANNUAL&amp;VAR:RFIELD=FINALIZED&amp;VAR:DB_TYPE=&amp;VAR:UNITS=M&amp;window=popup&amp;width=450&amp;height=300&amp;START_MAXIMIZED=FALSE"}</definedName>
    <definedName function="false" hidden="true" name="_152__FDSAUDITLINK__" vbProcedure="false">{"fdsup://IBCentral/FAT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function="false" hidden="true" name="_153__FDSAUDITLINK__" vbProcedure="false">{"fdsup://IBCentral/FAT Viewer?action=UPDATE&amp;creator=factset&amp;DOC_NAME=fat:reuters_annual_source_window.fat&amp;display_string=Audit&amp;DYN_ARGS=TRUE&amp;VAR:ID1=30231G10&amp;VAR:RCODE=COGSFDS&amp;VAR:SDATE=20021299&amp;VAR:FREQ=Y&amp;VAR:RELITEM=RP&amp;VAR:CURRENCY=&amp;VAR:CURRSOURCE=EXSHAR","E&amp;VAR:NATFREQ=ANNUAL&amp;VAR:RFIELD=FINALIZED&amp;VAR:DB_TYPE=&amp;VAR:UNITS=M&amp;window=popup&amp;width=450&amp;height=300&amp;START_MAXIMIZED=FALSE"}</definedName>
    <definedName function="false" hidden="true" name="_154__FDSAUDITLINK__" vbProcedure="false">{"fdsup://IBCentral/FAT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function="false" hidden="true" name="_155__FDSAUDITLINK__" vbProcedure="false">{"fdsup://IBCentral/FAT Viewer?action=UPDATE&amp;creator=factset&amp;DOC_NAME=fat:reuters_annual_source_window.fat&amp;display_string=Audit&amp;DYN_ARGS=TRUE&amp;VAR:ID1=71708110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156__FDSAUDITLINK__" vbProcedure="false">{"fdsup://IBCentral/FAT Viewer?action=UPDATE&amp;creator=factset&amp;DOC_NAME=fat:reuters_annual_source_window.fat&amp;display_string=Audit&amp;DYN_ARGS=TRUE&amp;VAR:ID1=03525510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57__FDSAUDITLINK__" vbProcedure="false">{"fdsup://IBCentral/FAT Viewer?action=UPDATE&amp;creator=factset&amp;DOC_NAME=fat:reuters_annual_source_window.fat&amp;display_string=Audit&amp;DYN_ARGS=TRUE&amp;VAR:ID1=09065G10&amp;VAR:RCODE=SALES&amp;VAR:SDATE=20080699&amp;VAR:FREQ=FISCAL_YEARLY&amp;VAR:RELITEM=NOAUDIT&amp;VAR:CURRENCY=&amp;VAR:CU","RRSOURCE=EXSHARE&amp;VAR:NATFREQ=ANNUAL&amp;VAR:RFIELD=FINALIZED&amp;VAR:DB_TYPE=&amp;VAR:UNITS=M&amp;window=popup&amp;width=450&amp;height=300&amp;START_MAXIMIZED=FALSE"}</definedName>
    <definedName function="false" hidden="true" name="_158__FDSAUDITLINK__" vbProcedure="false">{"fdsup://IBCentral/FAT Viewer?action=UPDATE&amp;creator=factset&amp;DOC_NAME=fat:reuters_annual_source_window.fat&amp;display_string=Audit&amp;DYN_ARGS=TRUE&amp;VAR:ID1=G9825R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59__FDSAUDITLINK__" vbProcedure="false">{"fdsup://IBCentral/FAT Viewer?action=UPDATE&amp;creator=factset&amp;DOC_NAME=fat:reuters_annual_source_window.fat&amp;display_string=Audit&amp;DYN_ARGS=TRUE&amp;VAR:ID1=45031X20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5__123Graph_ACHART_4" vbProcedure="false">#REF!</definedName>
    <definedName function="false" hidden="true" name="_15__123Graph_CCHART_12" vbProcedure="false">#REF!</definedName>
    <definedName function="false" hidden="true" name="_15__123Graph_XCHART_1" vbProcedure="false">#REF!</definedName>
    <definedName function="false" hidden="true" name="_15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5"}</definedName>
    <definedName function="false" hidden="true" name="_15__FDSAUDITLINK___1" vbProcedure="false">{"fdsup://IBCentral/FAT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function="false" hidden="true" name="_15__FDSAUDITLINK___2" vbProcedure="false">{"fdsup://IBCentral/FAT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function="false" hidden="true" name="_160__FDSAUDITLINK__" vbProcedure="false">{"fdsup://directions/FAT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function="false" hidden="true" name="_161__FDSAUDITLINK__" vbProcedure="false">{"fdsup://IBCentral/FAT Viewer?action=UPDATE&amp;creator=factset&amp;DOC_NAME=fat:reuters_annual_source_window.fat&amp;display_string=Audit&amp;DYN_ARGS=TRUE&amp;VAR:ID1=80862K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2__FDSAUDITLINK__" vbProcedure="false">{"fdsup://IBCentral/FAT Viewer?action=UPDATE&amp;creator=factset&amp;DOC_NAME=fat:reuters_annual_source_window.fat&amp;display_string=Audit&amp;DYN_ARGS=TRUE&amp;VAR:ID1=19777910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3__FDSAUDITLINK__" vbProcedure="false">{"fdsup://IBCentral/FAT Viewer?action=UPDATE&amp;creator=factset&amp;DOC_NAME=fat:reuters_annual_source_window.fat&amp;display_string=Audit&amp;DYN_ARGS=TRUE&amp;VAR:ID1=80281730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4__FDSAUDITLINK__" vbProcedure="false">{"fdsup://IBCentral/FAT Viewer?action=UPDATE&amp;creator=factset&amp;DOC_NAME=fat:reuters_annual_source_window.fat&amp;display_string=Audit&amp;DYN_ARGS=TRUE&amp;VAR:ID1=00724X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5__FDSAUDITLINK__" vbProcedure="false">{"fdsup://IBCentral/FAT Viewer?action=UPDATE&amp;creator=factset&amp;DOC_NAME=fat:reuters_annual_source_window.fat&amp;display_string=Audit&amp;DYN_ARGS=TRUE&amp;VAR:ID1=00972810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6__FDSAUDITLINK__" vbProcedure="false">{"fdsup://IBCentral/FAT Viewer?action=UPDATE&amp;creator=factset&amp;DOC_NAME=fat:reuters_annual_source_window.fat&amp;display_string=Audit&amp;DYN_ARGS=TRUE&amp;VAR:ID1=24990810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7__FDSAUDITLINK__" vbProcedure="false">{"fdsup://IBCentral/FAT Viewer?action=UPDATE&amp;creator=factset&amp;DOC_NAME=fat:reuters_annual_source_window.fat&amp;display_string=Audit&amp;DYN_ARGS=TRUE&amp;VAR:ID1=14075T10&amp;VAR:RCODE=SALES&amp;VAR:SDATE=20080399&amp;VAR:FREQ=FISCAL_YEARLY&amp;VAR:RELITEM=NOAUDIT&amp;VAR:CURRENCY=&amp;VAR:CU","RRSOURCE=EXSHARE&amp;VAR:NATFREQ=ANNUAL&amp;VAR:RFIELD=FINALIZED&amp;VAR:DB_TYPE=&amp;VAR:UNITS=M&amp;window=popup&amp;width=450&amp;height=300&amp;START_MAXIMIZED=FALSE"}</definedName>
    <definedName function="false" hidden="true" name="_168__FDSAUDITLINK__" vbProcedure="false">{"fdsup://IBCentral/FAT Viewer?action=UPDATE&amp;creator=factset&amp;DOC_NAME=fat:reuters_annual_source_window.fat&amp;display_string=Audit&amp;DYN_ARGS=TRUE&amp;VAR:ID1=62936P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9__FDSAUDITLINK__" vbProcedure="false">{"fdsup://IBCentral/FAT Viewer?action=UPDATE&amp;creator=factset&amp;DOC_NAME=fat:reuters_annual_source_window.fat&amp;display_string=Audit&amp;DYN_ARGS=TRUE&amp;VAR:ID1=73941U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6__123Graph_CCHART_13" vbProcedure="false">#REF!</definedName>
    <definedName function="false" hidden="true" name="_16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4"}</definedName>
    <definedName function="false" hidden="true" name="_16__FDSAUDITLINK___1" vbProcedure="false">{"fdsup://IBCentral/FAT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function="false" hidden="true" name="_16__FDSAUDITLINK___2" vbProcedure="false">{"fdsup://IBCentral/FAT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function="false" hidden="true" name="_170__FDSAUDITLINK__" vbProcedure="false">{"fdsup://IBCentral/FAT Viewer?action=UPDATE&amp;creator=factset&amp;DOC_NAME=fat:reuters_annual_source_window.fat&amp;display_string=Audit&amp;DYN_ARGS=TRUE&amp;VAR:ID1=74318710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1__FDSAUDITLINK__" vbProcedure="false">{"fdsup://IBCentral/FAT Viewer?action=UPDATE&amp;creator=factset&amp;DOC_NAME=fat:reuters_annual_source_window.fat&amp;display_string=Audit&amp;DYN_ARGS=TRUE&amp;VAR:ID1=29390410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2__FDSAUDITLINK__" vbProcedure="false">{"fdsup://IBCentral/FAT Viewer?action=UPDATE&amp;creator=factset&amp;DOC_NAME=fat:reuters_annual_source_window.fat&amp;display_string=Audit&amp;DYN_ARGS=TRUE&amp;VAR:ID1=67000910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3__FDSAUDITLINK__" vbProcedure="false">{"fdsup://IBCentral/FAT Viewer?action=UPDATE&amp;creator=factset&amp;DOC_NAME=fat:reuters_annual_source_window.fat&amp;display_string=Audit&amp;DYN_ARGS=TRUE&amp;VAR:ID1=45773310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4__FDSAUDITLINK__" vbProcedure="false">{"fdsup://IBCentral/FAT Viewer?action=UPDATE&amp;creator=factset&amp;DOC_NAME=fat:reuters_annual_source_window.fat&amp;display_string=Audit&amp;DYN_ARGS=TRUE&amp;VAR:ID1=98985T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5__FDSAUDITLINK__" vbProcedure="false">{"fdsup://IBCentral/FAT Viewer?action=UPDATE&amp;creator=factset&amp;DOC_NAME=fat:reuters_annual_source_window.fat&amp;display_string=Audit&amp;DYN_ARGS=TRUE&amp;VAR:ID1=45256B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6__FDSAUDITLINK__" vbProcedure="false">{"fdsup://IBCentral/FAT Viewer?action=UPDATE&amp;creator=factset&amp;DOC_NAME=fat:reuters_annual_source_window.fat&amp;display_string=Audit&amp;DYN_ARGS=TRUE&amp;VAR:ID1=86490910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7__FDSAUDITLINK__" vbProcedure="false">{"fdsup://IBCentral/FAT Viewer?action=UPDATE&amp;creator=factset&amp;DOC_NAME=fat:reuters_annual_source_window.fat&amp;display_string=Audit&amp;DYN_ARGS=TRUE&amp;VAR:ID1=74835Y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8__FDSAUDITLINK__" vbProcedure="false">{"fdsup://IBCentral/FAT Viewer?action=UPDATE&amp;creator=factset&amp;DOC_NAME=fat:reuters_annual_source_window.fat&amp;display_string=Audit&amp;DYN_ARGS=TRUE&amp;VAR:ID1=29089Q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9__FDSAUDITLINK__" vbProcedure="false">{"fdsup://IBCentral/FAT Viewer?action=UPDATE&amp;creator=factset&amp;DOC_NAME=fat:reuters_annual_source_window.fat&amp;display_string=Audit&amp;DYN_ARGS=TRUE&amp;VAR:ID1=69888P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7__123Graph_BCHART_1" vbProcedure="false">#REF!</definedName>
    <definedName function="false" hidden="true" name="_17__123Graph_CCHART_14" vbProcedure="false">#REF!</definedName>
    <definedName function="false" hidden="true" name="_17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3"}</definedName>
    <definedName function="false" hidden="true" name="_17__FDSAUDITLINK___1" vbProcedure="false">{"fdsup://IBCentral/FAT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function="false" hidden="true" name="_17__FDSAUDITLINK___2" vbProcedure="false">{"fdsup://IBCentral/FAT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function="false" hidden="true" name="_180__FDSAUDITLINK__" vbProcedure="false">{"fdsup://IBCentral/FAT Viewer?action=UPDATE&amp;creator=factset&amp;DOC_NAME=fat:reuters_annual_source_window.fat&amp;display_string=Audit&amp;DYN_ARGS=TRUE&amp;VAR:ID1=92824110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1__FDSAUDITLINK__" vbProcedure="false">{"fdsup://IBCentral/FAT Viewer?action=UPDATE&amp;creator=factset&amp;DOC_NAME=fat:reuters_annual_source_window.fat&amp;display_string=Audit&amp;DYN_ARGS=TRUE&amp;VAR:ID1=64026810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2__FDSAUDITLINK__" vbProcedure="false">{"fdsup://IBCentral/FAT Viewer?action=UPDATE&amp;creator=factset&amp;DOC_NAME=fat:reuters_annual_source_window.fat&amp;display_string=Audit&amp;DYN_ARGS=TRUE&amp;VAR:ID1=79543510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3__FDSAUDITLINK__" vbProcedure="false">{"fdsup://IBCentral/FAT Viewer?action=UPDATE&amp;creator=factset&amp;DOC_NAME=fat:reuters_annual_source_window.fat&amp;display_string=Audit&amp;DYN_ARGS=TRUE&amp;VAR:ID1=58468810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4__FDSAUDITLINK__" vbProcedure="false">{"fdsup://IBCentral/FAT Viewer?action=UPDATE&amp;creator=factset&amp;DOC_NAME=fat:reuters_annual_source_window.fat&amp;display_string=Audit&amp;DYN_ARGS=TRUE&amp;VAR:ID1=45884X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5__FDSAUDITLINK__" vbProcedure="false">{"fdsup://IBCentral/FAT Viewer?action=UPDATE&amp;creator=factset&amp;DOC_NAME=fat:reuters_annual_source_window.fat&amp;display_string=Audit&amp;DYN_ARGS=TRUE&amp;VAR:ID1=00484M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6__FDSAUDITLINK__" vbProcedure="false">{"fdsup://IBCentral/FAT Viewer?action=UPDATE&amp;creator=factset&amp;DOC_NAME=fat:reuters_annual_source_window.fat&amp;display_string=Audit&amp;DYN_ARGS=TRUE&amp;VAR:ID1=58469030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7__FDSAUDITLINK__" vbProcedure="false">{"fdsup://IBCentral/FAT Viewer?action=UPDATE&amp;creator=factset&amp;DOC_NAME=fat:reuters_annual_source_window.fat&amp;display_string=Audit&amp;DYN_ARGS=TRUE&amp;VAR:ID1=01642T10&amp;VAR:RCODE=SALES&amp;VAR:SDATE=20080399&amp;VAR:FREQ=FISCAL_YEARLY&amp;VAR:RELITEM=NOAUDIT&amp;VAR:CURRENCY=&amp;VAR:CU","RRSOURCE=EXSHARE&amp;VAR:NATFREQ=ANNUAL&amp;VAR:RFIELD=FINALIZED&amp;VAR:DB_TYPE=&amp;VAR:UNITS=M&amp;window=popup&amp;width=450&amp;height=300&amp;START_MAXIMIZED=FALSE"}</definedName>
    <definedName function="false" hidden="true" name="_188__FDSAUDITLINK__" vbProcedure="false">{"fdsup://IBCentral/FAT Viewer?action=UPDATE&amp;creator=factset&amp;DOC_NAME=fat:reuters_annual_source_window.fat&amp;display_string=Audit&amp;DYN_ARGS=TRUE&amp;VAR:ID1=69329Y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9__FDSAUDITLINK__" vbProcedure="false">{"fdsup://IBCentral/FAT Viewer?action=UPDATE&amp;creator=factset&amp;DOC_NAME=fat:reuters_annual_source_window.fat&amp;display_string=Audit&amp;DYN_ARGS=TRUE&amp;VAR:ID1=05334D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8__123Graph_BCHART_2" vbProcedure="false">#REF!</definedName>
    <definedName function="false" hidden="true" name="_18__123Graph_CCHART_2" vbProcedure="false">#REF!</definedName>
    <definedName function="false" hidden="true" name="_18__123Graph_XCHART_2" vbProcedure="false">#REF!</definedName>
    <definedName function="false" hidden="true" name="_18__FDSAUDITLINK__" vbProcedure="false">{"fdsup://Directions/FactSet Auditing Viewer?action=AUDIT_VALUE&amp;DB=129&amp;ID1=088470&amp;VALUEID=01001&amp;SDATE=2007&amp;PERIODTYPE=ANN_STD&amp;window=popup_no_bar&amp;width=385&amp;height=120&amp;START_MAXIMIZED=FALSE&amp;creator=factset&amp;display_string=Audit"}</definedName>
    <definedName function="false" hidden="true" name="_18__FDSAUDITLINK___1" vbProcedure="false">{"fdsup://IBCentral/FAT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function="false" hidden="true" name="_18__FDSAUDITLINK___2" vbProcedure="false">{"fdsup://IBCentral/FAT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function="false" hidden="true" name="_190__FDSAUDITLINK__" vbProcedure="false">{"fdsup://IBCentral/FAT Viewer?action=UPDATE&amp;creator=factset&amp;DOC_NAME=fat:reuters_annual_source_window.fat&amp;display_string=Audit&amp;DYN_ARGS=TRUE&amp;VAR:ID1=22967810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1__FDSAUDITLINK__" vbProcedure="false">{"fdsup://IBCentral/FAT Viewer?action=UPDATE&amp;creator=factset&amp;DOC_NAME=fat:reuters_annual_source_window.fat&amp;display_string=Audit&amp;DYN_ARGS=TRUE&amp;VAR:ID1=75886F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2__FDSAUDITLINK__" vbProcedure="false">{"fdsup://IBCentral/FAT Viewer?action=UPDATE&amp;creator=factset&amp;DOC_NAME=fat:reuters_annual_source_window.fat&amp;display_string=Audit&amp;DYN_ARGS=TRUE&amp;VAR:ID1=12666710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3__FDSAUDITLINK__" vbProcedure="false">{"fdsup://IBCentral/FAT Viewer?action=UPDATE&amp;creator=factset&amp;DOC_NAME=fat:reuters_annual_source_window.fat&amp;display_string=Audit&amp;DYN_ARGS=TRUE&amp;VAR:ID1=09061G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4__FDSAUDITLINK__" vbProcedure="false">{"fdsup://IBCentral/FAT Viewer?action=UPDATE&amp;creator=factset&amp;DOC_NAME=fat:reuters_annual_source_window.fat&amp;display_string=Audit&amp;DYN_ARGS=TRUE&amp;VAR:ID1=03234610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5__FDSAUDITLINK__" vbProcedure="false">{"fdsup://IBCentral/FAT Viewer?action=UPDATE&amp;creator=factset&amp;DOC_NAME=fat:reuters_annual_source_window.fat&amp;display_string=Audit&amp;DYN_ARGS=TRUE&amp;VAR:ID1=91911X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6__FDSAUDITLINK__" vbProcedure="false">{"fdsup://IBCentral/FAT Viewer?action=UPDATE&amp;creator=factset&amp;DOC_NAME=fat:reuters_annual_source_window.fat&amp;display_string=Audit&amp;DYN_ARGS=TRUE&amp;VAR:ID1=46433010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7__FDSAUDITLINK__" vbProcedure="false">{"fdsup://IBCentral/FAT Viewer?action=UPDATE&amp;creator=factset&amp;DOC_NAME=fat:reuters_annual_source_window.fat&amp;display_string=Audit&amp;DYN_ARGS=TRUE&amp;VAR:ID1=68339910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8__FDSAUDITLINK__" vbProcedure="false">{"fdsup://IBCentral/FAT Viewer?action=UPDATE&amp;creator=factset&amp;DOC_NAME=fat:reuters_annual_source_window.fat&amp;display_string=Audit&amp;DYN_ARGS=TRUE&amp;VAR:ID1=81731510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9__FDSAUDITLINK__" vbProcedure="false">{"fdsup://IBCentral/FAT Viewer?action=UPDATE&amp;creator=factset&amp;DOC_NAME=fat:reuters_annual_source_window.fat&amp;display_string=Audit&amp;DYN_ARGS=TRUE&amp;VAR:ID1=91307C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19__123Graph_ACHART_1" vbProcedure="false">#N/A</definedName>
    <definedName function="false" hidden="true" name="_19__123Graph_DCHART_1" vbProcedure="false">#REF!</definedName>
    <definedName function="false" hidden="true" name="_19__FDSAUDITLINK__" vbProcedure="false">{"fdsup://Directions/FactSet Auditing Viewer?action=AUDIT_VALUE&amp;DB=129&amp;ID1=088470&amp;VALUEID=01001&amp;SDATE=2008&amp;PERIODTYPE=ANN_STD&amp;window=popup_no_bar&amp;width=385&amp;height=120&amp;START_MAXIMIZED=FALSE&amp;creator=factset&amp;display_string=Audit"}</definedName>
    <definedName function="false" hidden="true" name="_19__FDSAUDITLINK___1" vbProcedure="false">{"fdsup://IBCentral/FAT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function="false" hidden="true" name="_19__FDSAUDITLINK___2" vbProcedure="false">{"fdsup://IBCentral/FAT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function="false" hidden="true" name="_1_0_0_K" vbProcedure="false">#REF!</definedName>
    <definedName function="false" hidden="true" name="_1__123Graph_ACHART_1" vbProcedure="false">#REF!</definedName>
    <definedName function="false" hidden="true" name="_1__123Graph_CCHART_1" vbProcedure="false">#REF!</definedName>
    <definedName function="false" hidden="true" name="_1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4"}</definedName>
    <definedName function="false" hidden="true" name="_1__FDSAUDITLINK___1" vbProcedure="false">{"fdsup://directions/FAT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function="false" hidden="true" name="_1__FDSAUDITLINK___2" vbProcedure="false">{"fdsup://directions/FAT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function="false" hidden="true" name="_200__FDSAUDITLINK__" vbProcedure="false">{"fdsup://IBCentral/FAT Viewer?action=UPDATE&amp;creator=factset&amp;DOC_NAME=fat:reuters_annual_source_window.fat&amp;display_string=Audit&amp;DYN_ARGS=TRUE&amp;VAR:ID1=00383Y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1__FDSAUDITLINK__" vbProcedure="false">{"fdsup://IBCentral/FAT Viewer?action=UPDATE&amp;creator=factset&amp;DOC_NAME=fat:reuters_annual_source_window.fat&amp;display_string=Audit&amp;DYN_ARGS=TRUE&amp;VAR:ID1=49558210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2__FDSAUDITLINK__" vbProcedure="false">{"fdsup://IBCentral/FAT Viewer?action=UPDATE&amp;creator=factset&amp;DOC_NAME=fat:reuters_annual_source_window.fat&amp;display_string=Audit&amp;DYN_ARGS=TRUE&amp;VAR:ID1=67104010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3__FDSAUDITLINK__" vbProcedure="false">{"fdsup://IBCentral/FAT Viewer?action=UPDATE&amp;creator=factset&amp;DOC_NAME=fat:reuters_annual_source_window.fat&amp;display_string=Audit&amp;DYN_ARGS=TRUE&amp;VAR:ID1=29264F20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4__FDSAUDITLINK__" vbProcedure="false">{"fdsup://IBCentral/FAT Viewer?action=UPDATE&amp;creator=factset&amp;DOC_NAME=fat:reuters_annual_source_window.fat&amp;display_string=Audit&amp;DYN_ARGS=TRUE&amp;VAR:ID1=71429010&amp;VAR:RCODE=SALES&amp;VAR:SDATE=20080699&amp;VAR:FREQ=FISCAL_YEARLY&amp;VAR:RELITEM=NOAUDIT&amp;VAR:CURRENCY=&amp;VAR:CU","RRSOURCE=EXSHARE&amp;VAR:NATFREQ=ANNUAL&amp;VAR:RFIELD=FINALIZED&amp;VAR:DB_TYPE=&amp;VAR:UNITS=M&amp;window=popup&amp;width=450&amp;height=300&amp;START_MAXIMIZED=FALSE"}</definedName>
    <definedName function="false" hidden="true" name="_205__FDSAUDITLINK__" vbProcedure="false">{"fdsup://IBCentral/FAT Viewer?action=UPDATE&amp;creator=factset&amp;DOC_NAME=fat:reuters_annual_source_window.fat&amp;display_string=Audit&amp;DYN_ARGS=TRUE&amp;VAR:ID1=G9435N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6__FDSAUDITLINK__" vbProcedure="false">{"fdsup://directions/FAT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function="false" hidden="true" name="_207__FDSAUDITLINK__" vbProcedure="false">{"fdsup://IBCentral/FAT Viewer?action=UPDATE&amp;creator=factset&amp;DOC_NAME=fat:reuters_annual_source_window.fat&amp;display_string=Audit&amp;DYN_ARGS=TRUE&amp;VAR:ID1=94268310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8__FDSAUDITLINK__" vbProcedure="false">{"fdsup://IBCentral/FAT Viewer?action=UPDATE&amp;creator=factset&amp;DOC_NAME=fat:reuters_annual_source_window.fat&amp;display_string=Audit&amp;DYN_ARGS=TRUE&amp;VAR:ID1=62853010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9__FDSAUDITLINK__" vbProcedure="false">{"fdsup://IBCentral/FAT Viewer?action=UPDATE&amp;creator=factset&amp;DOC_NAME=fat:reuters_annual_source_window.fat&amp;display_string=Audit&amp;DYN_ARGS=TRUE&amp;VAR:ID1=15670810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0__123Graph_ACHART_2" vbProcedure="false">#REF!</definedName>
    <definedName function="false" hidden="true" name="_20__123Graph_BCHART_3" vbProcedure="false">#REF!</definedName>
    <definedName function="false" hidden="true" name="_20__123Graph_LBL_ACHART_1" vbProcedure="false">#REF!</definedName>
    <definedName function="false" hidden="true" name="_20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8"}</definedName>
    <definedName function="false" hidden="true" name="_20__FDSAUDITLINK___1" vbProcedure="false">{"fdsup://IBCentral/FAT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function="false" hidden="true" name="_20__FDSAUDITLINK___2" vbProcedure="false">{"fdsup://IBCentral/FAT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function="false" hidden="true" name="_210__FDSAUDITLINK__" vbProcedure="false">{"fdsup://IBCentral/FAT Viewer?action=UPDATE&amp;creator=factset&amp;DOC_NAME=fat:reuters_annual_source_window.fat&amp;display_string=Audit&amp;DYN_ARGS=TRUE&amp;VAR:ID1=92532F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1__FDSAUDITLINK__" vbProcedure="false">{"fdsup://IBCentral/FAT Viewer?action=UPDATE&amp;creator=factset&amp;DOC_NAME=fat:reuters_annual_source_window.fat&amp;display_string=Audit&amp;DYN_ARGS=TRUE&amp;VAR:ID1=34583810&amp;VAR:RCODE=SALES&amp;VAR:SDATE=20080399&amp;VAR:FREQ=FISCAL_YEARLY&amp;VAR:RELITEM=NOAUDIT&amp;VAR:CURRENCY=&amp;VAR:CU","RRSOURCE=EXSHARE&amp;VAR:NATFREQ=ANNUAL&amp;VAR:RFIELD=FINALIZED&amp;VAR:DB_TYPE=&amp;VAR:UNITS=M&amp;window=popup&amp;width=450&amp;height=300&amp;START_MAXIMIZED=FALSE"}</definedName>
    <definedName function="false" hidden="true" name="_212__FDSAUDITLINK__" vbProcedure="false">{"fdsup://IBCentral/FAT Viewer?action=UPDATE&amp;creator=factset&amp;DOC_NAME=fat:reuters_annual_source_window.fat&amp;display_string=Audit&amp;DYN_ARGS=TRUE&amp;VAR:ID1=01849010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3__FDSAUDITLINK__" vbProcedure="false">{"fdsup://IBCentral/FAT Viewer?action=UPDATE&amp;creator=factset&amp;DOC_NAME=fat:reuters_annual_source_window.fat&amp;display_string=Audit&amp;DYN_ARGS=TRUE&amp;VAR:ID1=37291710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4__FDSAUDITLINK__" vbProcedure="false">{"fdsup://IBCentral/FAT Viewer?action=UPDATE&amp;creator=factset&amp;DOC_NAME=fat:reuters_annual_source_window.fat&amp;display_string=Audit&amp;DYN_ARGS=TRUE&amp;VAR:ID1=09062X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5__FDSAUDITLINK__" vbProcedure="false">{"fdsup://IBCentral/FAT Viewer?action=UPDATE&amp;creator=factset&amp;DOC_NAME=fat:reuters_annual_source_window.fat&amp;display_string=Audit&amp;DYN_ARGS=TRUE&amp;VAR:ID1=15102010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6__FDSAUDITLINK__" vbProcedure="false">{"fdsup://IBCentral/FAT Viewer?action=UPDATE&amp;creator=factset&amp;DOC_NAME=fat:reuters_annual_source_window.fat&amp;display_string=Audit&amp;DYN_ARGS=TRUE&amp;VAR:ID1=37555810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7__FDSAUDITLINK__" vbProcedure="false">{"fdsup://IBCentral/FAT Viewer?action=UPDATE&amp;creator=factset&amp;DOC_NAME=fat:reuters_annual_source_window.fat&amp;display_string=Audit&amp;DYN_ARGS=TRUE&amp;VAR:ID1=03116210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8__FDSAUDITLINK__" vbProcedure="false">{"fdsup://IBCentral/FAT Viewer?action=UPDATE&amp;creator=factset&amp;DOC_NAME=fat:reuters_annual_source_window.fat&amp;display_string=Audit&amp;DYN_ARGS=TRUE&amp;VAR:ID1=00282410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9__FDSAUDITLINK__" vbProcedure="false">{"fdsup://IBCentral/FAT Viewer?action=UPDATE&amp;creator=factset&amp;DOC_NAME=fat:reuters_annual_source_window.fat&amp;display_string=Audit&amp;DYN_ARGS=TRUE&amp;VAR:ID1=71708110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1__123Graph_LBL_ACHART_3" vbProcedure="false">#REF!</definedName>
    <definedName function="false" hidden="true" name="_21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8"}</definedName>
    <definedName function="false" hidden="true" name="_21__FDSAUDITLINK___1" vbProcedure="false">{"fdsup://IBCentral/FAT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function="false" hidden="true" name="_21__FDSAUDITLINK___2" vbProcedure="false">{"fdsup://IBCentral/FAT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function="false" hidden="true" name="_220__FDSAUDITLINK__" vbProcedure="false">{"fdsup://IBCentral/FAT Viewer?action=UPDATE&amp;creator=factset&amp;DOC_NAME=fat:reuters_annual_source_window.fat&amp;display_string=Audit&amp;DYN_ARGS=TRUE&amp;VAR:ID1=03525510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1__FDSAUDITLINK__" vbProcedure="false">{"fdsup://IBCentral/FAT Viewer?action=UPDATE&amp;creator=factset&amp;DOC_NAME=fat:reuters_annual_source_window.fat&amp;display_string=Audit&amp;DYN_ARGS=TRUE&amp;VAR:ID1=42840B10&amp;VAR:RCODE=SCSI&amp;VAR:SDATE=20080499&amp;VAR:FREQ=FISCAL_YEARLY&amp;VAR:RELITEM=NOAUDIT&amp;VAR:CURRENCY=&amp;VAR:CUR","RSOURCE=EXSHARE&amp;VAR:NATFREQ=ANNUAL&amp;VAR:RFIELD=FINALIZED&amp;VAR:DB_TYPE=&amp;VAR:UNITS=M&amp;window=popup&amp;width=450&amp;height=300&amp;START_MAXIMIZED=FALSE"}</definedName>
    <definedName function="false" hidden="true" name="_222__FDSAUDITLINK__" vbProcedure="false">{"fdsup://IBCentral/FAT Viewer?action=UPDATE&amp;creator=factset&amp;DOC_NAME=fat:reuters_annual_source_window.fat&amp;display_string=Audit&amp;DYN_ARGS=TRUE&amp;VAR:ID1=74835Y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3__FDSAUDITLINK__" vbProcedure="false">{"fdsup://IBCentral/FAT Viewer?action=UPDATE&amp;creator=factset&amp;DOC_NAME=fat:reuters_annual_source_window.fat&amp;display_string=Audit&amp;DYN_ARGS=TRUE&amp;VAR:ID1=67000910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4__FDSAUDITLINK__" vbProcedure="false">{"fdsup://IBCentral/FAT Viewer?action=UPDATE&amp;creator=factset&amp;DOC_NAME=fat:reuters_annual_source_window.fat&amp;display_string=Audit&amp;DYN_ARGS=TRUE&amp;VAR:ID1=86490910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5__FDSAUDITLINK__" vbProcedure="false">{"fdsup://IBCentral/FAT Viewer?action=UPDATE&amp;creator=factset&amp;DOC_NAME=fat:reuters_annual_source_window.fat&amp;display_string=Audit&amp;DYN_ARGS=TRUE&amp;VAR:ID1=29089Q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6__FDSAUDITLINK__" vbProcedure="false">{"fdsup://IBCentral/FAT Viewer?action=UPDATE&amp;creator=factset&amp;DOC_NAME=fat:reuters_annual_source_window.fat&amp;display_string=Audit&amp;DYN_ARGS=TRUE&amp;VAR:ID1=68339910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7__FDSAUDITLINK__" vbProcedure="false">{"fdsup://IBCentral/FAT Viewer?action=UPDATE&amp;creator=factset&amp;DOC_NAME=fat:reuters_annual_source_window.fat&amp;display_string=Audit&amp;DYN_ARGS=TRUE&amp;VAR:ID1=45256B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8__FDSAUDITLINK__" vbProcedure="false">{"fdsup://IBCentral/FAT Viewer?action=UPDATE&amp;creator=factset&amp;DOC_NAME=fat:reuters_annual_source_window.fat&amp;display_string=Audit&amp;DYN_ARGS=TRUE&amp;VAR:ID1=92824110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29__FDSAUDITLINK__" vbProcedure="false">{"fdsup://IBCentral/FAT Viewer?action=UPDATE&amp;creator=factset&amp;DOC_NAME=fat:reuters_annual_source_window.fat&amp;display_string=Audit&amp;DYN_ARGS=TRUE&amp;VAR:ID1=01642T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22__123Graph_BCHART_1" vbProcedure="false">#N/A</definedName>
    <definedName function="false" hidden="true" name="_22__123Graph_BCHART_4" vbProcedure="false">#REF!</definedName>
    <definedName function="false" hidden="true" name="_22__123Graph_LBL_DCHART_1" vbProcedure="false">#REF!</definedName>
    <definedName function="false" hidden="true" name="_22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7"}</definedName>
    <definedName function="false" hidden="true" name="_22__FDSAUDITLINK___1" vbProcedure="false">{"fdsup://IBCentral/FAT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function="false" hidden="true" name="_22__FDSAUDITLINK___2" vbProcedure="false">{"fdsup://IBCentral/FAT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function="false" hidden="true" name="_230__FDSAUDITLINK__" vbProcedure="false">{"fdsup://IBCentral/FAT Viewer?action=UPDATE&amp;creator=factset&amp;DOC_NAME=fat:reuters_annual_source_window.fat&amp;display_string=Audit&amp;DYN_ARGS=TRUE&amp;VAR:ID1=01535110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1__FDSAUDITLINK__" vbProcedure="false">{"fdsup://IBCentral/FAT Viewer?action=UPDATE&amp;creator=factset&amp;DOC_NAME=fat:reuters_annual_source_window.fat&amp;display_string=Audit&amp;DYN_ARGS=TRUE&amp;VAR:ID1=09061G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2__FDSAUDITLINK__" vbProcedure="false">{"fdsup://IBCentral/FAT Viewer?action=UPDATE&amp;creator=factset&amp;DOC_NAME=fat:reuters_annual_source_window.fat&amp;display_string=Audit&amp;DYN_ARGS=TRUE&amp;VAR:ID1=69329Y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3__FDSAUDITLINK__" vbProcedure="false">{"fdsup://IBCentral/FAT Viewer?action=UPDATE&amp;creator=factset&amp;DOC_NAME=fat:reuters_annual_source_window.fat&amp;display_string=Audit&amp;DYN_ARGS=TRUE&amp;VAR:ID1=67104010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4__FDSAUDITLINK__" vbProcedure="false">{"fdsup://IBCentral/FAT Viewer?action=UPDATE&amp;creator=factset&amp;DOC_NAME=fat:reuters_annual_source_window.fat&amp;display_string=Audit&amp;DYN_ARGS=TRUE&amp;VAR:ID1=14075T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235__FDSAUDITLINK__" vbProcedure="false">{"fdsup://IBCentral/FAT Viewer?action=UPDATE&amp;creator=factset&amp;DOC_NAME=fat:reuters_annual_source_window.fat&amp;display_string=Audit&amp;DYN_ARGS=TRUE&amp;VAR:ID1=22967810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6__FDSAUDITLINK__" vbProcedure="false">{"fdsup://IBCentral/FAT Viewer?action=UPDATE&amp;creator=factset&amp;DOC_NAME=fat:reuters_annual_source_window.fat&amp;display_string=Audit&amp;DYN_ARGS=TRUE&amp;VAR:ID1=58469030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7__FDSAUDITLINK__" vbProcedure="false">{"fdsup://IBCentral/FAT Viewer?action=UPDATE&amp;creator=factset&amp;DOC_NAME=fat:reuters_annual_source_window.fat&amp;display_string=Audit&amp;DYN_ARGS=TRUE&amp;VAR:ID1=29264F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8__FDSAUDITLINK__" vbProcedure="false">{"fdsup://IBCentral/FAT Viewer?action=UPDATE&amp;creator=factset&amp;DOC_NAME=fat:reuters_annual_source_window.fat&amp;display_string=Audit&amp;DYN_ARGS=TRUE&amp;VAR:ID1=81731510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39__FDSAUDITLINK__" vbProcedure="false">{"fdsup://IBCentral/FAT Viewer?action=UPDATE&amp;creator=factset&amp;DOC_NAME=fat:reuters_annual_source_window.fat&amp;display_string=Audit&amp;DYN_ARGS=TRUE&amp;VAR:ID1=71429010&amp;VAR:RCODE=SCSI&amp;VAR:SDATE=20080699&amp;VAR:FREQ=FISCAL_YEARLY&amp;VAR:RELITEM=NOAUDIT&amp;VAR:CURRENCY=&amp;VAR:CUR","RSOURCE=EXSHARE&amp;VAR:NATFREQ=ANNUAL&amp;VAR:RFIELD=FINALIZED&amp;VAR:DB_TYPE=&amp;VAR:UNITS=M&amp;window=popup&amp;width=450&amp;height=300&amp;START_MAXIMIZED=FALSE"}</definedName>
    <definedName function="false" hidden="true" name="_23__123Graph_BCHART_2" vbProcedure="false">#REF!</definedName>
    <definedName function="false" hidden="true" name="_23__123Graph_CCHART_2" vbProcedure="false">#REF!</definedName>
    <definedName function="false" hidden="true" name="_23__123Graph_XCHART_1" vbProcedure="false">#REF!</definedName>
    <definedName function="false" hidden="true" name="_23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6"}</definedName>
    <definedName function="false" hidden="true" name="_23__FDSAUDITLINK___1" vbProcedure="false">{"fdsup://IBCentral/FAT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3__FDSAUDITLINK___2" vbProcedure="false">{"fdsup://IBCentral/FAT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40__FDSAUDITLINK__" vbProcedure="false">{"fdsup://IBCentral/FAT Viewer?action=UPDATE&amp;creator=factset&amp;DOC_NAME=fat:reuters_annual_source_window.fat&amp;display_string=Audit&amp;DYN_ARGS=TRUE&amp;VAR:ID1=15670810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1__FDSAUDITLINK__" vbProcedure="false">{"fdsup://IBCentral/FAT Viewer?action=UPDATE&amp;creator=factset&amp;DOC_NAME=fat:reuters_annual_source_window.fat&amp;display_string=Audit&amp;DYN_ARGS=TRUE&amp;VAR:ID1=94268310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2__FDSAUDITLINK__" vbProcedure="false">{"fdsup://IBCentral/FAT Viewer?action=UPDATE&amp;creator=factset&amp;DOC_NAME=fat:reuters_annual_source_window.fat&amp;display_string=Audit&amp;DYN_ARGS=TRUE&amp;VAR:ID1=34583810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243__FDSAUDITLINK__" vbProcedure="false">{"fdsup://IBCentral/FAT Viewer?action=UPDATE&amp;creator=factset&amp;DOC_NAME=fat:reuters_annual_source_window.fat&amp;display_string=Audit&amp;DYN_ARGS=TRUE&amp;VAR:ID1=09062X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4__FDSAUDITLINK__" vbProcedure="false">{"fdsup://IBCentral/FAT Viewer?action=UPDATE&amp;creator=factset&amp;DOC_NAME=fat:reuters_annual_source_window.fat&amp;display_string=Audit&amp;DYN_ARGS=TRUE&amp;VAR:ID1=01849010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5__FDSAUDITLINK__" vbProcedure="false">{"fdsup://IBCentral/FAT Viewer?action=UPDATE&amp;creator=factset&amp;DOC_NAME=fat:reuters_annual_source_window.fat&amp;display_string=Audit&amp;DYN_ARGS=TRUE&amp;VAR:ID1=37291710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6__FDSAUDITLINK__" vbProcedure="false">{"fdsup://IBCentral/FAT Viewer?action=UPDATE&amp;creator=factset&amp;DOC_NAME=fat:reuters_annual_source_window.fat&amp;display_string=Audit&amp;DYN_ARGS=TRUE&amp;VAR:ID1=37555810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7__FDSAUDITLINK__" vbProcedure="false">{"fdsup://IBCentral/FAT Viewer?action=UPDATE&amp;creator=factset&amp;DOC_NAME=fat:reuters_annual_source_window.fat&amp;display_string=Audit&amp;DYN_ARGS=TRUE&amp;VAR:ID1=03116210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8__FDSAUDITLINK__" vbProcedure="false">{"fdsup://IBCentral/FAT Viewer?action=UPDATE&amp;creator=factset&amp;DOC_NAME=fat:reuters_annual_source_window.fat&amp;display_string=Audit&amp;DYN_ARGS=TRUE&amp;VAR:ID1=24990810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9__FDSAUDITLINK__" vbProcedure="false">{"fdsup://IBCentral/FAT Viewer?action=UPDATE&amp;creator=factset&amp;DOC_NAME=fat:reuters_annual_source_window.fat&amp;display_string=Audit&amp;DYN_ARGS=TRUE&amp;VAR:ID1=19777910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4__123Graph_XCHART_12" vbProcedure="false">#REF!</definedName>
    <definedName function="false" hidden="true" name="_24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0"}</definedName>
    <definedName function="false" hidden="true" name="_24__FDSAUDITLINK___1" vbProcedure="false">{"fdsup://IBCentral/FAT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4__FDSAUDITLINK___2" vbProcedure="false">{"fdsup://IBCentral/FAT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50__FDSAUDITLINK__" vbProcedure="false">{"fdsup://IBCentral/FAT Viewer?action=UPDATE&amp;creator=factset&amp;DOC_NAME=fat:reuters_annual_source_window.fat&amp;display_string=Audit&amp;DYN_ARGS=TRUE&amp;VAR:ID1=00484M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1__FDSAUDITLINK__" vbProcedure="false">{"fdsup://IBCentral/FAT Viewer?action=UPDATE&amp;creator=factset&amp;DOC_NAME=fat:reuters_annual_source_window.fat&amp;display_string=Audit&amp;DYN_ARGS=TRUE&amp;VAR:ID1=45884X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2__FDSAUDITLINK__" vbProcedure="false">{"fdsup://IBCentral/FAT Viewer?action=UPDATE&amp;creator=factset&amp;DOC_NAME=fat:reuters_annual_source_window.fat&amp;display_string=Audit&amp;DYN_ARGS=TRUE&amp;VAR:ID1=00724X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3__FDSAUDITLINK__" vbProcedure="false">{"fdsup://IBCentral/FAT Viewer?action=UPDATE&amp;creator=factset&amp;DOC_NAME=fat:reuters_annual_source_window.fat&amp;display_string=Audit&amp;DYN_ARGS=TRUE&amp;VAR:ID1=80862K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4__FDSAUDITLINK__" vbProcedure="false">{"fdsup://IBCentral/FAT Viewer?action=UPDATE&amp;creator=factset&amp;DOC_NAME=fat:reuters_annual_source_window.fat&amp;display_string=Audit&amp;DYN_ARGS=TRUE&amp;VAR:ID1=73941U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5__FDSAUDITLINK__" vbProcedure="false">{"fdsup://IBCentral/FAT Viewer?action=UPDATE&amp;creator=factset&amp;DOC_NAME=fat:reuters_annual_source_window.fat&amp;display_string=Audit&amp;DYN_ARGS=TRUE&amp;VAR:ID1=09065G10&amp;VAR:RCODE=SCSI&amp;VAR:SDATE=20080699&amp;VAR:FREQ=FISCAL_YEARLY&amp;VAR:RELITEM=NOAUDIT&amp;VAR:CURRENCY=&amp;VAR:CUR","RSOURCE=EXSHARE&amp;VAR:NATFREQ=ANNUAL&amp;VAR:RFIELD=FINALIZED&amp;VAR:DB_TYPE=&amp;VAR:UNITS=M&amp;window=popup&amp;width=450&amp;height=300&amp;START_MAXIMIZED=FALSE"}</definedName>
    <definedName function="false" hidden="true" name="_256__FDSAUDITLINK__" vbProcedure="false">{"fdsup://IBCentral/FAT Viewer?action=UPDATE&amp;creator=factset&amp;DOC_NAME=fat:reuters_annual_source_window.fat&amp;display_string=Audit&amp;DYN_ARGS=TRUE&amp;VAR:ID1=74318710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7__FDSAUDITLINK__" vbProcedure="false">{"fdsup://IBCentral/FAT Viewer?action=UPDATE&amp;creator=factset&amp;DOC_NAME=fat:reuters_annual_source_window.fat&amp;display_string=Audit&amp;DYN_ARGS=TRUE&amp;VAR:ID1=G9825R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8__FDSAUDITLINK__" vbProcedure="false">{"fdsup://IBCentral/FAT Viewer?action=UPDATE&amp;creator=factset&amp;DOC_NAME=fat:reuters_annual_source_window.fat&amp;display_string=Audit&amp;DYN_ARGS=TRUE&amp;VAR:ID1=45773310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9__FDSAUDITLINK__" vbProcedure="false">{"fdsup://IBCentral/FAT Viewer?action=UPDATE&amp;creator=factset&amp;DOC_NAME=fat:reuters_annual_source_window.fat&amp;display_string=Audit&amp;DYN_ARGS=TRUE&amp;VAR:ID1=98985T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5__123Graph_CCHART_3" vbProcedure="false">#REF!</definedName>
    <definedName function="false" hidden="true" name="_25__123Graph_DCHART_1" vbProcedure="false">#N/A</definedName>
    <definedName function="false" hidden="true" name="_25__123Graph_XCHART_13" vbProcedure="false">#REF!</definedName>
    <definedName function="false" hidden="true" name="_25__FDSAUDITLINK__" vbProcedure="false">{"fdsup://IBCentral/FAT Viewer?action=UPDATE&amp;creator=factset&amp;DOC_NAME=fat:reuters_annual_source_window.fat&amp;display_string=Audit&amp;DYN_ARGS=TRUE&amp;VAR:ID1=30231G10&amp;VAR:RCODE=QTLE&amp;VAR:SDATE=20041299&amp;VAR:FREQ=Y&amp;VAR:RELITEM=RP&amp;VAR:CURRENCY=&amp;VAR:CURRSOURCE=EXSHARE&amp;V","AR:NATFREQ=ANNUAL&amp;VAR:RFIELD=FINALIZED&amp;VAR:DB_TYPE=&amp;VAR:UNITS=M&amp;window=popup&amp;width=450&amp;height=300&amp;START_MAXIMIZED=FALSE"}</definedName>
    <definedName function="false" hidden="true" name="_25__FDSAUDITLINK___1" vbProcedure="false">{"fdsup://IBCentral/FAT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5__FDSAUDITLINK___2" vbProcedure="false">{"fdsup://IBCentral/FAT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60__FDSAUDITLINK__" vbProcedure="false">{"fdsup://IBCentral/FAT Viewer?action=UPDATE&amp;creator=factset&amp;DOC_NAME=fat:reuters_annual_source_window.fat&amp;display_string=Audit&amp;DYN_ARGS=TRUE&amp;VAR:ID1=45031X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1__FDSAUDITLINK__" vbProcedure="false">{"fdsup://IBCentral/FAT Viewer?action=UPDATE&amp;creator=factset&amp;DOC_NAME=fat:reuters_annual_source_window.fat&amp;display_string=Audit&amp;DYN_ARGS=TRUE&amp;VAR:ID1=64026810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2__FDSAUDITLINK__" vbProcedure="false">{"fdsup://IBCentral/FAT Viewer?action=UPDATE&amp;creator=factset&amp;DOC_NAME=fat:reuters_annual_source_window.fat&amp;display_string=Audit&amp;DYN_ARGS=TRUE&amp;VAR:ID1=00972810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3__FDSAUDITLINK__" vbProcedure="false">{"fdsup://IBCentral/FAT Viewer?action=UPDATE&amp;creator=factset&amp;DOC_NAME=fat:reuters_annual_source_window.fat&amp;display_string=Audit&amp;DYN_ARGS=TRUE&amp;VAR:ID1=62936P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4__FDSAUDITLINK__" vbProcedure="false">{"fdsup://IBCentral/FAT Viewer?action=UPDATE&amp;creator=factset&amp;DOC_NAME=fat:reuters_annual_source_window.fat&amp;display_string=Audit&amp;DYN_ARGS=TRUE&amp;VAR:ID1=46433010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5__FDSAUDITLINK__" vbProcedure="false">{"fdsup://IBCentral/FAT Viewer?action=UPDATE&amp;creator=factset&amp;DOC_NAME=fat:reuters_annual_source_window.fat&amp;display_string=Audit&amp;DYN_ARGS=TRUE&amp;VAR:ID1=05334D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6__FDSAUDITLINK__" vbProcedure="false">{"fdsup://IBCentral/FAT Viewer?action=UPDATE&amp;creator=factset&amp;DOC_NAME=fat:reuters_annual_source_window.fat&amp;display_string=Audit&amp;DYN_ARGS=TRUE&amp;VAR:ID1=80281730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7__FDSAUDITLINK__" vbProcedure="false">{"fdsup://IBCentral/FAT Viewer?action=UPDATE&amp;creator=factset&amp;DOC_NAME=fat:reuters_annual_source_window.fat&amp;display_string=Audit&amp;DYN_ARGS=TRUE&amp;VAR:ID1=12666710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8__FDSAUDITLINK__" vbProcedure="false">{"fdsup://IBCentral/FAT Viewer?action=UPDATE&amp;creator=factset&amp;DOC_NAME=fat:reuters_annual_source_window.fat&amp;display_string=Audit&amp;DYN_ARGS=TRUE&amp;VAR:ID1=92532F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9__FDSAUDITLINK__" vbProcedure="false">{"fdsup://IBCentral/FAT Viewer?action=UPDATE&amp;creator=factset&amp;DOC_NAME=fat:reuters_annual_source_window.fat&amp;display_string=Audit&amp;DYN_ARGS=TRUE&amp;VAR:ID1=79543510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6__123Graph_DCHART_2" vbProcedure="false">#REF!</definedName>
    <definedName function="false" hidden="true" name="_26__123Graph_XCHART_14" vbProcedure="false">#REF!</definedName>
    <definedName function="false" hidden="true" name="_26__FDSAUDITLINK__" vbProcedure="false">{"fdsup://IBCentral/FAT Viewer?action=UPDATE&amp;creator=factset&amp;DOC_NAME=fat:reuters_annual_source_window.fat&amp;display_string=Audit&amp;DYN_ARGS=TRUE&amp;VAR:ID1=30231G10&amp;VAR:RCODE=QTLE&amp;VAR:SDATE=20031299&amp;VAR:FREQ=Y&amp;VAR:RELITEM=RP&amp;VAR:CURRENCY=&amp;VAR:CURRSOURCE=EXSHARE&amp;V","AR:NATFREQ=ANNUAL&amp;VAR:RFIELD=FINALIZED&amp;VAR:DB_TYPE=&amp;VAR:UNITS=M&amp;window=popup&amp;width=450&amp;height=300&amp;START_MAXIMIZED=FALSE"}</definedName>
    <definedName function="false" hidden="true" name="_26__FDSAUDITLINK___1" vbProcedure="false">{"fdsup://IBCentral/FAT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6__FDSAUDITLINK___2" vbProcedure="false">{"fdsup://IBCentral/FAT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70__FDSAUDITLINK__" vbProcedure="false">{"fdsup://IBCentral/FAT Viewer?action=UPDATE&amp;creator=factset&amp;DOC_NAME=fat:reuters_annual_source_window.fat&amp;display_string=Audit&amp;DYN_ARGS=TRUE&amp;VAR:ID1=29390410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1__FDSAUDITLINK__" vbProcedure="false">{"fdsup://IBCentral/FAT Viewer?action=UPDATE&amp;creator=factset&amp;DOC_NAME=fat:reuters_annual_source_window.fat&amp;display_string=Audit&amp;DYN_ARGS=TRUE&amp;VAR:ID1=75886F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2__FDSAUDITLINK__" vbProcedure="false">{"fdsup://IBCentral/FAT Viewer?action=UPDATE&amp;creator=factset&amp;DOC_NAME=fat:reuters_annual_source_window.fat&amp;display_string=Audit&amp;DYN_ARGS=TRUE&amp;VAR:ID1=91307C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3__FDSAUDITLINK__" vbProcedure="false">{"fdsup://IBCentral/FAT Viewer?action=UPDATE&amp;creator=factset&amp;DOC_NAME=fat:reuters_annual_source_window.fat&amp;display_string=Audit&amp;DYN_ARGS=TRUE&amp;VAR:ID1=00383Y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4__FDSAUDITLINK__" vbProcedure="false">{"fdsup://IBCentral/FAT Viewer?action=UPDATE&amp;creator=factset&amp;DOC_NAME=fat:reuters_annual_source_window.fat&amp;display_string=Audit&amp;DYN_ARGS=TRUE&amp;VAR:ID1=58468810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5__FDSAUDITLINK__" vbProcedure="false">{"fdsup://IBCentral/FAT Viewer?action=UPDATE&amp;creator=factset&amp;DOC_NAME=fat:reuters_annual_source_window.fat&amp;display_string=Audit&amp;DYN_ARGS=TRUE&amp;VAR:ID1=69888P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6__FDSAUDITLINK__" vbProcedure="false">{"fdsup://IBCentral/FAT Viewer?action=UPDATE&amp;creator=factset&amp;DOC_NAME=fat:reuters_annual_source_window.fat&amp;display_string=Audit&amp;DYN_ARGS=TRUE&amp;VAR:ID1=91911X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7__FDSAUDITLINK__" vbProcedure="false">{"fdsup://IBCentral/FAT Viewer?action=UPDATE&amp;creator=factset&amp;DOC_NAME=fat:reuters_annual_source_window.fat&amp;display_string=Audit&amp;DYN_ARGS=TRUE&amp;VAR:ID1=03234610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8__FDSAUDITLINK__" vbProcedure="false">{"fdsup://IBCentral/FAT Viewer?action=UPDATE&amp;creator=factset&amp;DOC_NAME=fat:reuters_annual_source_window.fat&amp;display_string=Audit&amp;DYN_ARGS=TRUE&amp;VAR:ID1=G9435N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9__FDSAUDITLINK__" vbProcedure="false">{"fdsup://IBCentral/FAT Viewer?action=UPDATE&amp;creator=factset&amp;DOC_NAME=fat:reuters_annual_source_window.fat&amp;display_string=Audit&amp;DYN_ARGS=TRUE&amp;VAR:ID1=49558210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7__123Graph_DCHART_3" vbProcedure="false">#REF!</definedName>
    <definedName function="false" hidden="true" name="_27__123Graph_LBL_ACHART_1" vbProcedure="false">#N/A</definedName>
    <definedName function="false" hidden="true" name="_27__123Graph_XCHART_2" vbProcedure="false">#REF!</definedName>
    <definedName function="false" hidden="true" name="_27__FDSAUDITLINK__" vbProcedure="false">{"fdsup://IBCentral/FAT Viewer?action=UPDATE&amp;creator=factset&amp;DOC_NAME=fat:reuters_annual_source_window.fat&amp;display_string=Audit&amp;DYN_ARGS=TRUE&amp;VAR:ID1=30231G10&amp;VAR:RCODE=FDSPFDSTKTOTAL&amp;VAR:SDATE=20071299&amp;VAR:FREQ=Y&amp;VAR:RELITEM=RP&amp;VAR:CURRENCY=&amp;VAR:CURRSOURCE","=EXSHARE&amp;VAR:NATFREQ=ANNUAL&amp;VAR:RFIELD=FINALIZED&amp;VAR:DB_TYPE=&amp;VAR:UNITS=M&amp;window=popup&amp;width=450&amp;height=300&amp;START_MAXIMIZED=FALSE"}</definedName>
    <definedName function="false" hidden="true" name="_27__FDSAUDITLINK___1" vbProcedure="false">{"fdsup://IBCentral/FAT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7__FDSAUDITLINK___2" vbProcedure="false">{"fdsup://IBCentral/FAT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280__FDSAUDITLINK__" vbProcedure="false">{"fdsup://IBCentral/FAT Viewer?action=UPDATE&amp;creator=factset&amp;DOC_NAME=fat:reuters_annual_source_window.fat&amp;display_string=Audit&amp;DYN_ARGS=TRUE&amp;VAR:ID1=15102010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1__FDSAUDITLINK__" vbProcedure="false">{"fdsup://IBCentral/FAT Viewer?action=UPDATE&amp;creator=factset&amp;DOC_NAME=fat:reuters_annual_source_window.fat&amp;display_string=Audit&amp;DYN_ARGS=TRUE&amp;VAR:ID1=62853010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2__FDSAUDITLINK__" vbProcedure="false">{"fdsup://IBCentral/FAT Viewer?action=UPDATE&amp;creator=factset&amp;DOC_NAME=fat:reuters_annual_source_window.fat&amp;display_string=Audit&amp;DYN_ARGS=TRUE&amp;VAR:ID1=82481R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3__FDSAUDITLINK__" vbProcedure="false">{"fdsup://IBCentral/FAT Viewer?action=UPDATE&amp;creator=factset&amp;DOC_NAME=fat:reuters_annual_source_window.fat&amp;display_string=Audit&amp;DYN_ARGS=TRUE&amp;VAR:ID1=77119510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4__FDSAUDITLINK__" vbProcedure="false">{"fdsup://IBCentral/FAT Viewer?action=UPDATE&amp;creator=factset&amp;DOC_NAME=fat:reuters_annual_source_window.fat&amp;display_string=Audit&amp;DYN_ARGS=TRUE&amp;VAR:ID1=66987V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5__FDSAUDITLINK__" vbProcedure="false">{"fdsup://IBCentral/FAT Viewer?action=UPDATE&amp;creator=factset&amp;DOC_NAME=fat:reuters_annual_source_window.fat&amp;display_string=Audit&amp;DYN_ARGS=TRUE&amp;VAR:ID1=67010020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6__FDSAUDITLINK__" vbProcedure="false">{"fdsup://IBCentral/FAT Viewer?action=UPDATE&amp;creator=factset&amp;DOC_NAME=fat:reuters_annual_source_window.fat&amp;display_string=Audit&amp;DYN_ARGS=TRUE&amp;VAR:ID1=37733W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7__FDSAUDITLINK__" vbProcedure="false">{"fdsup://IBCentral/FAT Viewer?action=UPDATE&amp;creator=factset&amp;DOC_NAME=fat:reuters_annual_source_window.fat&amp;display_string=Audit&amp;DYN_ARGS=TRUE&amp;VAR:ID1=04635310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8__FDSAUDITLINK__" vbProcedure="false">{"fdsup://IBCentral/FAT Viewer?action=UPDATE&amp;creator=factset&amp;DOC_NAME=fat:reuters_annual_source_window.fat&amp;display_string=Audit&amp;DYN_ARGS=TRUE&amp;VAR:ID1=69888P10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9__FDSAUDITLINK__" vbProcedure="false">{"fdsup://IBCentral/FAT Viewer?action=UPDATE&amp;creator=factset&amp;DOC_NAME=fat:reuters_annual_source_window.fat&amp;display_string=Audit&amp;DYN_ARGS=TRUE&amp;VAR:ID1=58469030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8__123Graph_LBL_ACHART_2" vbProcedure="false">#REF!</definedName>
    <definedName function="false" hidden="true" name="_28__FDSAUDITLINK__" vbProcedure="false">{"fdsup://IBCentral/FAT Viewer?action=UPDATE&amp;creator=factset&amp;DOC_NAME=fat:reuters_annual_source_window.fat&amp;display_string=Audit&amp;DYN_ARGS=TRUE&amp;VAR:ID1=30231G10&amp;VAR:RCODE=FDSPFDSTKTOTAL&amp;VAR:SDATE=20061299&amp;VAR:FREQ=Y&amp;VAR:RELITEM=RP&amp;VAR:CURRENCY=&amp;VAR:CURRSOURCE","=EXSHARE&amp;VAR:NATFREQ=ANNUAL&amp;VAR:RFIELD=FINALIZED&amp;VAR:DB_TYPE=&amp;VAR:UNITS=M&amp;window=popup&amp;width=450&amp;height=300&amp;START_MAXIMIZED=FALSE"}</definedName>
    <definedName function="false" hidden="true" name="_28__FDSAUDITLINK___1" vbProcedure="false">{"fdsup://IBCentral/FAT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function="false" hidden="true" name="_28__FDSAUDITLINK___2" vbProcedure="false">{"fdsup://IBCentral/FAT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function="false" hidden="true" name="_290__FDSAUDITLINK__" vbProcedure="false">{"fdsup://IBCentral/FAT Viewer?action=UPDATE&amp;creator=factset&amp;DOC_NAME=fat:reuters_annual_source_window.fat&amp;display_string=Audit&amp;DYN_ARGS=TRUE&amp;VAR:ID1=88162420&amp;VAR:RCODE=SALES&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1__FDSAUDITLINK__" vbProcedure="false">{"fdsup://IBCentral/FAT Viewer?action=UPDATE&amp;creator=factset&amp;DOC_NAME=fat:reuters_annual_source_window.fat&amp;display_string=Audit&amp;DYN_ARGS=TRUE&amp;VAR:ID1=25613520&amp;VAR:RCODE=SALES&amp;VAR:SDATE=20080399&amp;VAR:FREQ=FISCAL_YEARLY&amp;VAR:RELITEM=NOAUDIT&amp;VAR:CURRENCY=&amp;VAR:CU","RRSOURCE=EXSHARE&amp;VAR:NATFREQ=ANNUAL&amp;VAR:RFIELD=FINALIZED&amp;VAR:DB_TYPE=&amp;VAR:UNITS=M&amp;window=popup&amp;width=450&amp;height=300&amp;START_MAXIMIZED=FALSE"}</definedName>
    <definedName function="false" hidden="true" name="_292__FDSAUDITLINK__" vbProcedure="false">{"fdsup://IBCentral/FAT Viewer?action=UPDATE&amp;creator=factset&amp;DOC_NAME=fat:reuters_annual_source_window.fat&amp;display_string=Audit&amp;DYN_ARGS=TRUE&amp;VAR:ID1=24990810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3__FDSAUDITLINK__" vbProcedure="false">{"fdsup://IBCentral/FAT Viewer?action=UPDATE&amp;creator=factset&amp;DOC_NAME=fat:reuters_annual_source_window.fat&amp;display_string=Audit&amp;DYN_ARGS=TRUE&amp;VAR:ID1=19777910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4__FDSAUDITLINK__" vbProcedure="false">{"fdsup://IBCentral/FAT Viewer?action=UPDATE&amp;creator=factset&amp;DOC_NAME=fat:reuters_annual_source_window.fat&amp;display_string=Audit&amp;DYN_ARGS=TRUE&amp;VAR:ID1=42840B10&amp;VAR:RCODE=SCSI&amp;VAR:SDATE=20080499&amp;VAR:FREQ=FISCAL_YEARLY&amp;VAR:RELITEM=NOAUDIT&amp;VAR:CURRENCY=&amp;VAR:CUR","RSOURCE=EXSHARE&amp;VAR:NATFREQ=ANNUAL&amp;VAR:RFIELD=FINALIZED&amp;VAR:DB_TYPE=&amp;VAR:UNITS=M&amp;window=popup&amp;width=450&amp;height=300&amp;START_MAXIMIZED=FALSE"}</definedName>
    <definedName function="false" hidden="true" name="_295__FDSAUDITLINK__" vbProcedure="false">{"fdsup://IBCentral/FAT Viewer?action=UPDATE&amp;creator=factset&amp;DOC_NAME=fat:reuters_annual_source_window.fat&amp;display_string=Audit&amp;DYN_ARGS=TRUE&amp;VAR:ID1=09065G10&amp;VAR:RCODE=SCSI&amp;VAR:SDATE=20080699&amp;VAR:FREQ=FISCAL_YEARLY&amp;VAR:RELITEM=NOAUDIT&amp;VAR:CURRENCY=&amp;VAR:CUR","RSOURCE=EXSHARE&amp;VAR:NATFREQ=ANNUAL&amp;VAR:RFIELD=FINALIZED&amp;VAR:DB_TYPE=&amp;VAR:UNITS=M&amp;window=popup&amp;width=450&amp;height=300&amp;START_MAXIMIZED=FALSE"}</definedName>
    <definedName function="false" hidden="true" name="_296__FDSAUDITLINK__" vbProcedure="false">{"fdsup://IBCentral/FAT Viewer?action=UPDATE&amp;creator=factset&amp;DOC_NAME=fat:reuters_annual_source_window.fat&amp;display_string=Audit&amp;DYN_ARGS=TRUE&amp;VAR:ID1=45031X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7__FDSAUDITLINK__" vbProcedure="false">{"fdsup://IBCentral/FAT Viewer?action=UPDATE&amp;creator=factset&amp;DOC_NAME=fat:reuters_annual_source_window.fat&amp;display_string=Audit&amp;DYN_ARGS=TRUE&amp;VAR:ID1=64026810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8__FDSAUDITLINK__" vbProcedure="false">{"fdsup://IBCentral/FAT Viewer?action=UPDATE&amp;creator=factset&amp;DOC_NAME=fat:reuters_annual_source_window.fat&amp;display_string=Audit&amp;DYN_ARGS=TRUE&amp;VAR:ID1=00972810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9__FDSAUDITLINK__" vbProcedure="false">{"fdsup://IBCentral/FAT Viewer?action=UPDATE&amp;creator=factset&amp;DOC_NAME=fat:reuters_annual_source_window.fat&amp;display_string=Audit&amp;DYN_ARGS=TRUE&amp;VAR:ID1=67000910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29__123Graph_DCHART_4" vbProcedure="false">#REF!</definedName>
    <definedName function="false" hidden="true" name="_29__FDSAUDITLINK__" vbProcedure="false">{"fdsup://IBCentral/FAT Viewer?action=UPDATE&amp;creator=factset&amp;DOC_NAME=fat:reuters_annual_source_window.fat&amp;display_string=Audit&amp;DYN_ARGS=TRUE&amp;VAR:ID1=30231G10&amp;VAR:RCODE=FDSPFDSTKTOTAL&amp;VAR:SDATE=20051299&amp;VAR:FREQ=Y&amp;VAR:RELITEM=RP&amp;VAR:CURRENCY=&amp;VAR:CURRSOURCE","=EXSHARE&amp;VAR:NATFREQ=ANNUAL&amp;VAR:RFIELD=FINALIZED&amp;VAR:DB_TYPE=&amp;VAR:UNITS=M&amp;window=popup&amp;width=450&amp;height=300&amp;START_MAXIMIZED=FALSE"}</definedName>
    <definedName function="false" hidden="true" name="_29__FDSAUDITLINK___1" vbProcedure="false">{"fdsup://IBCentral/FAT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29__FDSAUDITLINK___2" vbProcedure="false">{"fdsup://IBCentral/FAT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2_0_0_S" vbProcedure="false">#REF!</definedName>
    <definedName function="false" hidden="true" name="_2__123Graph_ACHART_18" vbProcedure="false">#REF!</definedName>
    <definedName function="false" hidden="true" name="_2__123Graph_ACHART_2" vbProcedure="false">#REF!</definedName>
    <definedName function="false" hidden="true" name="_2__123Graph_DCHART_1" vbProcedure="false">#REF!</definedName>
    <definedName function="false" hidden="true" name="_2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3"}</definedName>
    <definedName function="false" hidden="true" name="_2__FDSAUDITLINK___1" vbProcedure="false">{"fdsup://directions/FAT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function="false" hidden="true" name="_2__FDSAUDITLINK___2" vbProcedure="false">{"fdsup://directions/FAT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function="false" hidden="true" name="_300__FDSAUDITLINK__" vbProcedure="false">{"fdsup://IBCentral/FAT Viewer?action=UPDATE&amp;creator=factset&amp;DOC_NAME=fat:reuters_annual_source_window.fat&amp;display_string=Audit&amp;DYN_ARGS=TRUE&amp;VAR:ID1=86490910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1__FDSAUDITLINK__" vbProcedure="false">{"fdsup://IBCentral/FAT Viewer?action=UPDATE&amp;creator=factset&amp;DOC_NAME=fat:reuters_annual_source_window.fat&amp;display_string=Audit&amp;DYN_ARGS=TRUE&amp;VAR:ID1=80281730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2__FDSAUDITLINK__" vbProcedure="false">{"fdsup://IBCentral/FAT Viewer?action=UPDATE&amp;creator=factset&amp;DOC_NAME=fat:reuters_annual_source_window.fat&amp;display_string=Audit&amp;DYN_ARGS=TRUE&amp;VAR:ID1=79543510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3__FDSAUDITLINK__" vbProcedure="false">{"fdsup://IBCentral/FAT Viewer?action=UPDATE&amp;creator=factset&amp;DOC_NAME=fat:reuters_annual_source_window.fat&amp;display_string=Audit&amp;DYN_ARGS=TRUE&amp;VAR:ID1=45256B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4__FDSAUDITLINK__" vbProcedure="false">{"fdsup://IBCentral/FAT Viewer?action=UPDATE&amp;creator=factset&amp;DOC_NAME=fat:reuters_annual_source_window.fat&amp;display_string=Audit&amp;DYN_ARGS=TRUE&amp;VAR:ID1=92824110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5__FDSAUDITLINK__" vbProcedure="false">{"fdsup://IBCentral/FAT Viewer?action=UPDATE&amp;creator=factset&amp;DOC_NAME=fat:reuters_annual_source_window.fat&amp;display_string=Audit&amp;DYN_ARGS=TRUE&amp;VAR:ID1=69329Y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6__FDSAUDITLINK__" vbProcedure="false">{"fdsup://IBCentral/FAT Viewer?action=UPDATE&amp;creator=factset&amp;DOC_NAME=fat:reuters_annual_source_window.fat&amp;display_string=Audit&amp;DYN_ARGS=TRUE&amp;VAR:ID1=14075T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307__FDSAUDITLINK__" vbProcedure="false">{"fdsup://IBCentral/FAT Viewer?action=UPDATE&amp;creator=factset&amp;DOC_NAME=fat:reuters_annual_source_window.fat&amp;display_string=Audit&amp;DYN_ARGS=TRUE&amp;VAR:ID1=01642T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308__FDSAUDITLINK__" vbProcedure="false">{"fdsup://IBCentral/FAT Viewer?action=UPDATE&amp;creator=factset&amp;DOC_NAME=fat:reuters_annual_source_window.fat&amp;display_string=Audit&amp;DYN_ARGS=TRUE&amp;VAR:ID1=15670810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9__FDSAUDITLINK__" vbProcedure="false">{"fdsup://IBCentral/FAT Viewer?action=UPDATE&amp;creator=factset&amp;DOC_NAME=fat:reuters_annual_source_window.fat&amp;display_string=Audit&amp;DYN_ARGS=TRUE&amp;VAR:ID1=69888P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0__123Graph_LBL_DCHART_1" vbProcedure="false">#N/A</definedName>
    <definedName function="false" hidden="true" name="_30__FDSAUDITLINK__" vbProcedure="false">{"fdsup://IBCentral/FAT Viewer?action=UPDATE&amp;creator=factset&amp;DOC_NAME=fat:reuters_annual_source_window.fat&amp;display_string=Audit&amp;DYN_ARGS=TRUE&amp;VAR:ID1=30231G10&amp;VAR:RCODE=FDSPFDSTKTOTAL&amp;VAR:SDATE=20041299&amp;VAR:FREQ=Y&amp;VAR:RELITEM=RP&amp;VAR:CURRENCY=&amp;VAR:CURRSOURCE","=EXSHARE&amp;VAR:NATFREQ=ANNUAL&amp;VAR:RFIELD=FINALIZED&amp;VAR:DB_TYPE=&amp;VAR:UNITS=M&amp;window=popup&amp;width=450&amp;height=300&amp;START_MAXIMIZED=FALSE"}</definedName>
    <definedName function="false" hidden="true" name="_30__FDSAUDITLINK___1" vbProcedure="false">{"fdsup://IBCentral/FAT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0__FDSAUDITLINK___2" vbProcedure="false">{"fdsup://IBCentral/FAT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10__FDSAUDITLINK__" vbProcedure="false">{"fdsup://IBCentral/FAT Viewer?action=UPDATE&amp;creator=factset&amp;DOC_NAME=fat:reuters_annual_source_window.fat&amp;display_string=Audit&amp;DYN_ARGS=TRUE&amp;VAR:ID1=58469030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1__FDSAUDITLINK__" vbProcedure="false">{"fdsup://IBCentral/FAT Viewer?action=UPDATE&amp;creator=factset&amp;DOC_NAME=fat:reuters_annual_source_window.fat&amp;display_string=Audit&amp;DYN_ARGS=TRUE&amp;VAR:ID1=91911X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2__FDSAUDITLINK__" vbProcedure="false">{"fdsup://IBCentral/FAT Viewer?action=UPDATE&amp;creator=factset&amp;DOC_NAME=fat:reuters_annual_source_window.fat&amp;display_string=Audit&amp;DYN_ARGS=TRUE&amp;VAR:ID1=G9435N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3__FDSAUDITLINK__" vbProcedure="false">{"fdsup://IBCentral/FAT Viewer?action=UPDATE&amp;creator=factset&amp;DOC_NAME=fat:reuters_annual_source_window.fat&amp;display_string=Audit&amp;DYN_ARGS=TRUE&amp;VAR:ID1=29264F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4__FDSAUDITLINK__" vbProcedure="false">{"fdsup://IBCentral/FAT Viewer?action=UPDATE&amp;creator=factset&amp;DOC_NAME=fat:reuters_annual_source_window.fat&amp;display_string=Audit&amp;DYN_ARGS=TRUE&amp;VAR:ID1=81731510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5__FDSAUDITLINK__" vbProcedure="false">{"fdsup://IBCentral/FAT Viewer?action=UPDATE&amp;creator=factset&amp;DOC_NAME=fat:reuters_annual_source_window.fat&amp;display_string=Audit&amp;DYN_ARGS=TRUE&amp;VAR:ID1=49558210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6__FDSAUDITLINK__" vbProcedure="false">{"fdsup://IBCentral/FAT Viewer?action=UPDATE&amp;creator=factset&amp;DOC_NAME=fat:reuters_annual_source_window.fat&amp;display_string=Audit&amp;DYN_ARGS=TRUE&amp;VAR:ID1=71429010&amp;VAR:RCODE=SCSI&amp;VAR:SDATE=20080699&amp;VAR:FREQ=FISCAL_YEARLY&amp;VAR:RELITEM=NOAUDIT&amp;VAR:CURRENCY=&amp;VAR:CUR","RSOURCE=EXSHARE&amp;VAR:NATFREQ=ANNUAL&amp;VAR:RFIELD=FINALIZED&amp;VAR:DB_TYPE=&amp;VAR:UNITS=M&amp;window=popup&amp;width=450&amp;height=300&amp;START_MAXIMIZED=FALSE"}</definedName>
    <definedName function="false" hidden="true" name="_317__FDSAUDITLINK__" vbProcedure="false">{"fdsup://IBCentral/FAT Viewer?action=UPDATE&amp;creator=factset&amp;DOC_NAME=fat:reuters_annual_source_window.fat&amp;display_string=Audit&amp;DYN_ARGS=TRUE&amp;VAR:ID1=94268310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8__FDSAUDITLINK__" vbProcedure="false">{"fdsup://IBCentral/FAT Viewer?action=UPDATE&amp;creator=factset&amp;DOC_NAME=fat:reuters_annual_source_window.fat&amp;display_string=Audit&amp;DYN_ARGS=TRUE&amp;VAR:ID1=34583810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319__FDSAUDITLINK__" vbProcedure="false">{"fdsup://IBCentral/FAT Viewer?action=UPDATE&amp;creator=factset&amp;DOC_NAME=fat:reuters_annual_source_window.fat&amp;display_string=Audit&amp;DYN_ARGS=TRUE&amp;VAR:ID1=01849010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1__123Graph_ECHART_3" vbProcedure="false">#REF!</definedName>
    <definedName function="false" hidden="true" name="_31__123Graph_LBL_DCHART_2" vbProcedure="false">#REF!</definedName>
    <definedName function="false" hidden="true" name="_31__FDSAUDITLINK__" vbProcedure="false">{"fdsup://IBCentral/FAT Viewer?action=UPDATE&amp;creator=factset&amp;DOC_NAME=fat:reuters_annual_source_window.fat&amp;display_string=Audit&amp;DYN_ARGS=TRUE&amp;VAR:ID1=30231G10&amp;VAR:RCODE=FDSPFDSTKTOTAL&amp;VAR:SDATE=20031299&amp;VAR:FREQ=Y&amp;VAR:RELITEM=RP&amp;VAR:CURRENCY=&amp;VAR:CURRSOURCE","=EXSHARE&amp;VAR:NATFREQ=ANNUAL&amp;VAR:RFIELD=FINALIZED&amp;VAR:DB_TYPE=&amp;VAR:UNITS=M&amp;window=popup&amp;width=450&amp;height=300&amp;START_MAXIMIZED=FALSE"}</definedName>
    <definedName function="false" hidden="true" name="_31__FDSAUDITLINK___1" vbProcedure="false">{"fdsup://IBCentral/FAT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1__FDSAUDITLINK___2" vbProcedure="false">{"fdsup://IBCentral/FAT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20__FDSAUDITLINK__" vbProcedure="false">{"fdsup://IBCentral/FAT Viewer?action=UPDATE&amp;creator=factset&amp;DOC_NAME=fat:reuters_annual_source_window.fat&amp;display_string=Audit&amp;DYN_ARGS=TRUE&amp;VAR:ID1=62853010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1__FDSAUDITLINK__" vbProcedure="false">{"fdsup://IBCentral/FAT Viewer?action=UPDATE&amp;creator=factset&amp;DOC_NAME=fat:reuters_annual_source_window.fat&amp;display_string=Audit&amp;DYN_ARGS=TRUE&amp;VAR:ID1=53245710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2__FDSAUDITLINK__" vbProcedure="false">{"fdsup://IBCentral/FAT Viewer?action=UPDATE&amp;creator=factset&amp;DOC_NAME=fat:reuters_annual_source_window.fat&amp;display_string=Audit&amp;DYN_ARGS=TRUE&amp;VAR:ID1=11012210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3__FDSAUDITLINK__" vbProcedure="false">{"fdsup://IBCentral/FAT Viewer?action=UPDATE&amp;creator=factset&amp;DOC_NAME=fat:reuters_annual_source_window.fat&amp;display_string=Audit&amp;DYN_ARGS=TRUE&amp;VAR:ID1=58933110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4__FDSAUDITLINK__" vbProcedure="false">{"fdsup://IBCentral/FAT Viewer?action=UPDATE&amp;creator=factset&amp;DOC_NAME=fat:reuters_annual_source_window.fat&amp;display_string=Audit&amp;DYN_ARGS=TRUE&amp;VAR:ID1=00282410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5__FDSAUDITLINK__" vbProcedure="false">{"fdsup://IBCentral/FAT Viewer?action=UPDATE&amp;creator=factset&amp;DOC_NAME=fat:reuters_annual_source_window.fat&amp;display_string=Audit&amp;DYN_ARGS=TRUE&amp;VAR:ID1=71708110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6__FDSAUDITLINK__" vbProcedure="false">{"fdsup://IBCentral/FAT Viewer?action=UPDATE&amp;creator=factset&amp;DOC_NAME=fat:reuters_annual_source_window.fat&amp;display_string=Audit&amp;DYN_ARGS=TRUE&amp;VAR:ID1=88162420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7__FDSAUDITLINK__" vbProcedure="false">{"fdsup://IBCentral/FAT Viewer?action=UPDATE&amp;creator=factset&amp;DOC_NAME=fat:reuters_annual_source_window.fat&amp;display_string=Audit&amp;DYN_ARGS=TRUE&amp;VAR:ID1=25613520&amp;VAR:RCODE=SCSI&amp;VAR:SDATE=20080399&amp;VAR:FREQ=FISCAL_YEARLY&amp;VAR:RELITEM=NOAUDIT&amp;VAR:CURRENCY=&amp;VAR:CUR","RSOURCE=EXSHARE&amp;VAR:NATFREQ=ANNUAL&amp;VAR:RFIELD=FINALIZED&amp;VAR:DB_TYPE=&amp;VAR:UNITS=M&amp;window=popup&amp;width=450&amp;height=300&amp;START_MAXIMIZED=FALSE"}</definedName>
    <definedName function="false" hidden="true" name="_328__FDSAUDITLINK__" vbProcedure="false">{"fdsup://IBCentral/FAT Viewer?action=UPDATE&amp;creator=factset&amp;DOC_NAME=fat:reuters_annual_source_window.fat&amp;display_string=Audit&amp;DYN_ARGS=TRUE&amp;VAR:ID1=34583810&amp;VAR:RCODE=SCSI&amp;VAR:SDATE=20090399&amp;VAR:FREQ=FISCAL_YEARLY&amp;VAR:RELITEM=NOAUDIT&amp;VAR:CURRENCY=&amp;VAR:CUR","RSOURCE=EXSHARE&amp;VAR:NATFREQ=ANNUAL&amp;VAR:RFIELD=FINALIZED&amp;VAR:DB_TYPE=&amp;VAR:UNITS=M&amp;window=popup&amp;width=450&amp;height=300&amp;START_MAXIMIZED=FALSE"}</definedName>
    <definedName function="false" hidden="true" name="_329__FDSAUDITLINK__" vbProcedure="false">{"fdsup://IBCentral/FAT Viewer?action=UPDATE&amp;creator=factset&amp;DOC_NAME=fat:reuters_annual_source_window.fat&amp;display_string=Audit&amp;DYN_ARGS=TRUE&amp;VAR:ID1=82481R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2__123Graph_XCHART_2" vbProcedure="false">#REF!</definedName>
    <definedName function="false" hidden="true" name="_32__FDSAUDITLINK__" vbProcedure="false">{"fdsup://IBCentral/FAT Viewer?action=UPDATE&amp;creator=factset&amp;DOC_NAME=fat:reuters_annual_source_window.fat&amp;display_string=Audit&amp;DYN_ARGS=TRUE&amp;VAR:ID1=30231G10&amp;VAR:RCODE=LTLL&amp;VAR:SDATE=20071299&amp;VAR:FREQ=Y&amp;VAR:RELITEM=RP&amp;VAR:CURRENCY=&amp;VAR:CURRSOURCE=EXSHARE&amp;V","AR:NATFREQ=ANNUAL&amp;VAR:RFIELD=FINALIZED&amp;VAR:DB_TYPE=&amp;VAR:UNITS=M&amp;window=popup&amp;width=450&amp;height=300&amp;START_MAXIMIZED=FALSE"}</definedName>
    <definedName function="false" hidden="true" name="_32__FDSAUDITLINK___1" vbProcedure="false">{"fdsup://IBCentral/FAT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2__FDSAUDITLINK___2" vbProcedure="false">{"fdsup://IBCentral/FAT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30__FDSAUDITLINK__" vbProcedure="false">{"fdsup://IBCentral/FAT Viewer?action=UPDATE&amp;creator=factset&amp;DOC_NAME=fat:reuters_annual_source_window.fat&amp;display_string=Audit&amp;DYN_ARGS=TRUE&amp;VAR:ID1=77119510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31__FDSAUDITLINK__" vbProcedure="false">{"fdsup://IBCentral/FAT Viewer?action=UPDATE&amp;creator=factset&amp;DOC_NAME=fat:reuters_annual_source_window.fat&amp;display_string=Audit&amp;DYN_ARGS=TRUE&amp;VAR:ID1=66987V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32__FDSAUDITLINK__" vbProcedure="false">{"fdsup://IBCentral/FAT Viewer?action=UPDATE&amp;creator=factset&amp;DOC_NAME=fat:reuters_annual_source_window.fat&amp;display_string=Audit&amp;DYN_ARGS=TRUE&amp;VAR:ID1=67010020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33__FDSAUDITLINK__" vbProcedure="false">{"fdsup://IBCentral/FAT Viewer?action=UPDATE&amp;creator=factset&amp;DOC_NAME=fat:reuters_annual_source_window.fat&amp;display_string=Audit&amp;DYN_ARGS=TRUE&amp;VAR:ID1=37733W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34__FDSAUDITLINK__" vbProcedure="false">{"fdsup://IBCentral/FAT Viewer?action=UPDATE&amp;creator=factset&amp;DOC_NAME=fat:reuters_annual_source_window.fat&amp;display_string=Audit&amp;DYN_ARGS=TRUE&amp;VAR:ID1=04635310&amp;VAR:RCODE=SCSI&amp;VAR:SDATE=20081299&amp;VAR:FREQ=FISCAL_YEARLY&amp;VAR:RELITEM=NOAUDIT&amp;VAR:CURRENCY=&amp;VAR:CUR","RSOURCE=EXSHARE&amp;VAR:NATFREQ=ANNUAL&amp;VAR:RFIELD=FINALIZED&amp;VAR:DB_TYPE=&amp;VAR:UNITS=M&amp;window=popup&amp;width=450&amp;height=300&amp;START_MAXIMIZED=FALSE"}</definedName>
    <definedName function="false" hidden="true" name="_335__FDSAUDITLINK__" vbProcedure="false">{"fdsup://directions/FAT Viewer?action=UPDATE&amp;creator=factset&amp;DYN_ARGS=TRUE&amp;DOC_NAME=FAT:FQL_AUDITING_CLIENT_TEMPLATE.FAT&amp;display_string=Audit&amp;VAR:KEY=JCFQZGVGTG&amp;VAR:QUERY=RkZfRUJJVF9PUEVSKExUTVMsMCwsLCxJQ19DVVJSRU5DWV9JU08oKSk=&amp;WINDOW=FIRST_POPUP&amp;HEIGHT=45","0&amp;WIDTH=450&amp;START_MAXIMIZED=FALSE&amp;VAR:CALENDAR=US&amp;VAR:SYMBOL=38259P50&amp;VAR:INDEX=0"}</definedName>
    <definedName function="false" hidden="true" name="_336__FDSAUDITLINK__" vbProcedure="false">{"fdsup://directions/FAT Viewer?action=UPDATE&amp;creator=factset&amp;DYN_ARGS=TRUE&amp;DOC_NAME=FAT:FQL_AUDITING_CLIENT_TEMPLATE.FAT&amp;display_string=Audit&amp;VAR:KEY=DUBAJOBUXG&amp;VAR:QUERY=RkZfRUJJVERBX09QRVIoTFRNUywwLCwsLElDX0NVUlJFTkNZX0lTTygpKQ==&amp;WINDOW=FIRST_POPUP&amp;HEIGH","T=450&amp;WIDTH=450&amp;START_MAXIMIZED=FALSE&amp;VAR:CALENDAR=US&amp;VAR:SYMBOL=38259P50&amp;VAR:INDEX=0"}</definedName>
    <definedName function="false" hidden="true" name="_337__FDSAUDITLINK__" vbProcedure="false">{"fdsup://Directions/FactSet Auditing Viewer?action=AUDIT_VALUE&amp;DB=129&amp;ID1=38259P50&amp;VALUEID=01250&amp;SDATE=2009&amp;PERIODTYPE=ANN_STD&amp;window=popup_no_bar&amp;width=385&amp;height=120&amp;START_MAXIMIZED=FALSE&amp;creator=factset&amp;display_string=Audit"}</definedName>
    <definedName function="false" hidden="true" name="_338__FDSAUDITLINK__" vbProcedure="false">{"fdsup://directions/FAT Viewer?action=UPDATE&amp;creator=factset&amp;DYN_ARGS=TRUE&amp;DOC_NAME=FAT:FQL_AUDITING_CLIENT_TEMPLATE.FAT&amp;display_string=Audit&amp;VAR:KEY=FSZUNEFKVC&amp;VAR:QUERY=RkZfRUJJVF9PUEVSKEFOTiwyMDA5LCwsLElDX0NVUlJFTkNZX0lTTygpLE0p&amp;WINDOW=FIRST_POPUP&amp;HEIGH","T=450&amp;WIDTH=450&amp;START_MAXIMIZED=FALSE&amp;VAR:CALENDAR=US&amp;VAR:SYMBOL=38259P50&amp;VAR:INDEX=0"}</definedName>
    <definedName function="false" hidden="true" name="_339__FDSAUDITLINK__" vbProcedure="false">{"fdsup://Directions/FactSet Auditing Viewer?action=AUDIT_VALUE&amp;DB=129&amp;ID1=38259P50&amp;VALUEID=01151&amp;SDATE=2009&amp;PERIODTYPE=ANN_STD&amp;window=popup_no_bar&amp;width=385&amp;height=120&amp;START_MAXIMIZED=FALSE&amp;creator=factset&amp;display_string=Audit"}</definedName>
    <definedName function="false" hidden="true" name="_33__123Graph_ECHART_4" vbProcedure="false">#REF!</definedName>
    <definedName function="false" hidden="true" name="_33__FDSAUDITLINK__" vbProcedure="false">{"fdsup://IBCentral/FAT Viewer?action=UPDATE&amp;creator=factset&amp;DOC_NAME=fat:reuters_annual_source_window.fat&amp;display_string=Audit&amp;DYN_ARGS=TRUE&amp;VAR:ID1=30231G10&amp;VAR:RCODE=LTLL&amp;VAR:SDATE=20061299&amp;VAR:FREQ=Y&amp;VAR:RELITEM=RP&amp;VAR:CURRENCY=&amp;VAR:CURRSOURCE=EXSHARE&amp;V","AR:NATFREQ=ANNUAL&amp;VAR:RFIELD=FINALIZED&amp;VAR:DB_TYPE=&amp;VAR:UNITS=M&amp;window=popup&amp;width=450&amp;height=300&amp;START_MAXIMIZED=FALSE"}</definedName>
    <definedName function="false" hidden="true" name="_33__FDSAUDITLINK___1" vbProcedure="false">{"fdsup://IBCentral/FAT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33__FDSAUDITLINK___2" vbProcedure="false">{"fdsup://IBCentral/FAT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340__FDSAUDITLINK__" vbProcedure="false">{"fdsup://directions/FAT Viewer?action=UPDATE&amp;creator=factset&amp;DYN_ARGS=TRUE&amp;DOC_NAME=FAT:FQL_AUDITING_CLIENT_TEMPLATE.FAT&amp;display_string=Audit&amp;VAR:KEY=XGLMTWTIZG&amp;VAR:QUERY=RkZfRUJJVERBX09QRVIoQU5OLDIwMDksLCwsSUNfQ1VSUkVOQ1lfSVNPKCksTSk=&amp;WINDOW=FIRST_POPUP&amp;H","EIGHT=450&amp;WIDTH=450&amp;START_MAXIMIZED=FALSE&amp;VAR:CALENDAR=US&amp;VAR:SYMBOL=38259P50&amp;VAR:INDEX=0"}</definedName>
    <definedName function="false" hidden="true" name="_341__FDSAUDITLINK__" vbProcedure="false">{"fdsup://Directions/FactSet Auditing Viewer?action=AUDIT_VALUE&amp;DB=129&amp;ID1=38259P50&amp;VALUEID=01001&amp;SDATE=2009&amp;PERIODTYPE=ANN_STD&amp;window=popup_no_bar&amp;width=385&amp;height=120&amp;START_MAXIMIZED=FALSE&amp;creator=factset&amp;display_string=Audit"}</definedName>
    <definedName function="false" hidden="true" name="_342__FDSAUDITLINK__" vbProcedure="false">{"fdsup://Directions/FactSet Auditing Viewer?action=AUDIT_VALUE&amp;DB=129&amp;ID1=95980210&amp;VALUEID=02001&amp;SDATE=201004&amp;PERIODTYPE=QTR_STD&amp;window=popup_no_bar&amp;width=385&amp;height=120&amp;START_MAXIMIZED=FALSE&amp;creator=factset&amp;display_string=Audit"}</definedName>
    <definedName function="false" hidden="true" name="_343__FDSAUDITLINK__" vbProcedure="false">{"fdsup://directions/FAT Viewer?action=UPDATE&amp;creator=factset&amp;DYN_ARGS=TRUE&amp;DOC_NAME=FAT:FQL_AUDITING_CLIENT_TEMPLATE.FAT&amp;display_string=Audit&amp;VAR:KEY=BORMBINWBA&amp;VAR:QUERY=KChGRl9ERUJUX0xUKFFUUiw0MDU4MywsLCxJQ19DVVJSRU5DWV9JU08oKSlARkZfREVCVF9MVChTRU1JLDQwN","TgzLCwsLElDX0NVUlJFTkNZX0lTTygpKSlARkZfREVCVF9MVChBTk4sNDA1ODMsLCwsSUNfQ1VSUkVOQ1lfSVNPKCkpKQ==&amp;WINDOW=FIRST_POPUP&amp;HEIGHT=450&amp;WIDTH=450&amp;START_MAXIMIZED=FALSE&amp;VAR:CALENDAR=US&amp;VAR:SYMBOL=95980210&amp;VAR:INDEX=0"}</definedName>
    <definedName function="false" hidden="true" name="_344__FDSAUDITLINK__" vbProcedure="false">{"fdsup://Directions/FactSet Auditing Viewer?action=AUDIT_VALUE&amp;DB=129&amp;ID1=95980210&amp;VALUEID=01001&amp;SDATE=2010&amp;PERIODTYPE=ANN_STD&amp;window=popup_no_bar&amp;width=385&amp;height=120&amp;START_MAXIMIZED=FALSE&amp;creator=factset&amp;display_string=Audit"}</definedName>
    <definedName function="false" hidden="true" name="_345__FDSAUDITLINK__" vbProcedure="false">{"fdsup://directions/FAT Viewer?action=UPDATE&amp;creator=factset&amp;DYN_ARGS=TRUE&amp;DOC_NAME=FAT:FQL_AUDITING_CLIENT_TEMPLATE.FAT&amp;display_string=Audit&amp;VAR:KEY=JKLURQTYTI&amp;VAR:QUERY=RkZfRUJJVERBX09QRVIoQU5OLDIwMTAsLCwsSUNfQ1VSUkVOQ1lfSVNPKCksTSk=&amp;WINDOW=FIRST_POPUP&amp;H","EIGHT=450&amp;WIDTH=450&amp;START_MAXIMIZED=FALSE&amp;VAR:CALENDAR=US&amp;VAR:SYMBOL=95980210&amp;VAR:INDEX=0"}</definedName>
    <definedName function="false" hidden="true" name="_346__FDSAUDITLINK__" vbProcedure="false">{"fdsup://Directions/FactSet Auditing Viewer?action=AUDIT_VALUE&amp;DB=129&amp;ID1=95980210&amp;VALUEID=01151&amp;SDATE=2010&amp;PERIODTYPE=ANN_STD&amp;window=popup_no_bar&amp;width=385&amp;height=120&amp;START_MAXIMIZED=FALSE&amp;creator=factset&amp;display_string=Audit"}</definedName>
    <definedName function="false" hidden="true" name="_347__FDSAUDITLINK__" vbProcedure="false">{"fdsup://IBCentral/FAT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348__FDSAUDITLINK__" vbProcedure="false">{"fdsup://IBCentral/FAT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49__FDSAUDITLINK__" vbProcedure="false">{"fdsup://directions/FAT Viewer?action=UPDATE&amp;creator=factset&amp;DYN_ARGS=TRUE&amp;DOC_NAME=FAT:FQL_AUDITING_CLIENT_TEMPLATE.FAT&amp;display_string=Audit&amp;VAR:KEY=TKPOHARCPO&amp;VAR:QUERY=RkZfRVBTX0RJTChBTk4sMjAxMCwsLCxJQ19DVVJSRU5DWV9JU08oKSk=&amp;WINDOW=FIRST_POPUP&amp;HEIGHT=45","0&amp;WIDTH=450&amp;START_MAXIMIZED=FALSE&amp;VAR:CALENDAR=US&amp;VAR:SYMBOL=95980210&amp;VAR:INDEX=0"}</definedName>
    <definedName function="false" hidden="true" name="_34__123Graph_LBL_ACHART_28" vbProcedure="false">#REF!</definedName>
    <definedName function="false" hidden="true" name="_34__FDSAUDITLINK__" vbProcedure="false">{"fdsup://IBCentral/FAT Viewer?action=UPDATE&amp;creator=factset&amp;DOC_NAME=fat:reuters_annual_source_window.fat&amp;display_string=Audit&amp;DYN_ARGS=TRUE&amp;VAR:ID1=30231G10&amp;VAR:RCODE=LTLL&amp;VAR:SDATE=20051299&amp;VAR:FREQ=Y&amp;VAR:RELITEM=RP&amp;VAR:CURRENCY=&amp;VAR:CURRSOURCE=EXSHARE&amp;V","AR:NATFREQ=ANNUAL&amp;VAR:RFIELD=FINALIZED&amp;VAR:DB_TYPE=&amp;VAR:UNITS=M&amp;window=popup&amp;width=450&amp;height=300&amp;START_MAXIMIZED=FALSE"}</definedName>
    <definedName function="false" hidden="true" name="_34__FDSAUDITLINK___1" vbProcedure="false">{"fdsup://IBCentral/FAT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34__FDSAUDITLINK___2" vbProcedure="false">{"fdsup://IBCentral/FAT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350__FDSAUDITLINK__" vbProcedure="false">{"fdsup://IBCentral/FAT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51__FDSAUDITLINK__" vbProcedure="false">{"fdsup://IBCentral/FAT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352__FDSAUDITLINK__" vbProcedure="false">{"fdsup://IBCentral/FAT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53__FDSAUDITLINK__" vbProcedure="false">{"fdsup://directions/FAT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function="false" hidden="true" name="_354__FDSAUDITLINK__" vbProcedure="false">{"fdsup://IBCentral/FAT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55__FDSAUDITLINK__" vbProcedure="false">{"fdsup://IBCentral/FAT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56__FDSAUDITLINK__" vbProcedure="false">{"fdsup://IBCentral/FAT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function="false" hidden="true" name="_357__FDSAUDITLINK__" vbProcedure="false">{"fdsup://IBCentral/FAT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58__FDSAUDITLINK__" vbProcedure="false">{"fdsup://IBCentral/FAT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359__FDSAUDITLINK__" vbProcedure="false">{"fdsup://IBCentral/FAT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5__123Graph_LBL_ACHART_30" vbProcedure="false">#REF!</definedName>
    <definedName function="false" hidden="true" name="_35__FDSAUDITLINK__" vbProcedure="false">{"fdsup://IBCentral/FAT Viewer?action=UPDATE&amp;creator=factset&amp;DOC_NAME=fat:reuters_annual_source_window.fat&amp;display_string=Audit&amp;DYN_ARGS=TRUE&amp;VAR:ID1=30231G10&amp;VAR:RCODE=LTLL&amp;VAR:SDATE=20041299&amp;VAR:FREQ=Y&amp;VAR:RELITEM=RP&amp;VAR:CURRENCY=&amp;VAR:CURRSOURCE=EXSHARE&amp;V","AR:NATFREQ=ANNUAL&amp;VAR:RFIELD=FINALIZED&amp;VAR:DB_TYPE=&amp;VAR:UNITS=M&amp;window=popup&amp;width=450&amp;height=300&amp;START_MAXIMIZED=FALSE"}</definedName>
    <definedName function="false" hidden="true" name="_35__FDSAUDITLINK___1" vbProcedure="false">{"fdsup://IBCentral/FAT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function="false" hidden="true" name="_35__FDSAUDITLINK___2" vbProcedure="false">{"fdsup://IBCentral/FAT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function="false" hidden="true" name="_360__FDSAUDITLINK__" vbProcedure="false">{"fdsup://IBCentral/FAT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361__FDSAUDITLINK__" vbProcedure="false">{"fdsup://directions/FAT Viewer?action=UPDATE&amp;creator=factset&amp;DYN_ARGS=TRUE&amp;DOC_NAME=FAT:FQL_AUDITING_CLIENT_TEMPLATE.FAT&amp;display_string=Audit&amp;VAR:KEY=VYXAZYNQRY&amp;VAR:QUERY=RkZfQ0FQRVgoQU5OLDIwMDksLCwsSUNfQ1VSUkVOQ1lfSVNPKCksTSk=&amp;WINDOW=FIRST_POPUP&amp;HEIGHT=45","0&amp;WIDTH=450&amp;START_MAXIMIZED=FALSE&amp;VAR:CALENDAR=US&amp;VAR:SYMBOL=95980210&amp;VAR:INDEX=0"}</definedName>
    <definedName function="false" hidden="true" name="_362__FDSAUDITLINK__" vbProcedure="false">{"fdsup://Directions/FactSet Auditing Viewer?action=AUDIT_VALUE&amp;DB=129&amp;ID1=95980210&amp;VALUEID=05194&amp;SDATE=2009&amp;PERIODTYPE=ANNR_STD&amp;window=popup_no_bar&amp;width=385&amp;height=120&amp;START_MAXIMIZED=FALSE&amp;creator=factset&amp;display_string=Audit"}</definedName>
    <definedName function="false" hidden="true" name="_363__FDSAUDITLINK__" vbProcedure="false">{"fdsup://directions/FAT Viewer?action=UPDATE&amp;creator=factset&amp;DYN_ARGS=TRUE&amp;DOC_NAME=FAT:FQL_AUDITING_CLIENT_TEMPLATE.FAT&amp;display_string=Audit&amp;VAR:KEY=TWZIFSNOXM&amp;VAR:QUERY=RkZfRVBTX0RJTChBTk4sMjAwOSwsLCxJQ19DVVJSRU5DWV9JU08oKSk=&amp;WINDOW=FIRST_POPUP&amp;HEIGHT=45","0&amp;WIDTH=450&amp;START_MAXIMIZED=FALSE&amp;VAR:CALENDAR=US&amp;VAR:SYMBOL=95980210&amp;VAR:INDEX=0"}</definedName>
    <definedName function="false" hidden="true" name="_364__FDSAUDITLINK__" vbProcedure="false">{"fdsup://directions/FAT Viewer?action=UPDATE&amp;creator=factset&amp;DYN_ARGS=TRUE&amp;DOC_NAME=FAT:FQL_AUDITING_CLIENT_TEMPLATE.FAT&amp;display_string=Audit&amp;VAR:KEY=RQZAPCDCFA&amp;VAR:QUERY=RkZfSU5UX0VYUF9ORVQoTFRNUywwLCwsLElDX0NVUlJFTkNZX0lTTygpKQ==&amp;WINDOW=FIRST_POPUP&amp;HEIGH","T=450&amp;WIDTH=450&amp;START_MAXIMIZED=FALSE&amp;VAR:CALENDAR=US&amp;VAR:SYMBOL=95980210&amp;VAR:INDEX=0"}</definedName>
    <definedName function="false" hidden="true" name="_365__FDSAUDITLINK__" vbProcedure="false">{"fdsup://directions/FAT Viewer?action=UPDATE&amp;creator=factset&amp;DYN_ARGS=TRUE&amp;DOC_NAME=FAT:FQL_AUDITING_CLIENT_TEMPLATE.FAT&amp;display_string=Audit&amp;VAR:KEY=DUHERQPGLW&amp;VAR:QUERY=RkZfTkVUX0lOQyhMVE1TLDAsLCwsSUNfQ1VSUkVOQ1lfSVNPKCkp&amp;WINDOW=FIRST_POPUP&amp;HEIGHT=450&amp;WI","DTH=450&amp;START_MAXIMIZED=FALSE&amp;VAR:CALENDAR=US&amp;VAR:SYMBOL=95980210&amp;VAR:INDEX=0"}</definedName>
    <definedName function="false" hidden="true" name="_366__FDSAUDITLINK__" vbProcedure="false">{"fdsup://IBCentral/FAT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367__FDSAUDITLINK__" vbProcedure="false">{"fdsup://IBCentral/FAT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368__FDSAUDITLINK__" vbProcedure="false">{"fdsup://IBCentral/FAT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369__FDSAUDITLINK__" vbProcedure="false">{"fdsup://IBCentral/FAT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function="false" hidden="true" name="_36__FDSAUDITLINK__" vbProcedure="false">{"fdsup://IBCentral/FAT Viewer?action=UPDATE&amp;creator=factset&amp;DOC_NAME=fat:reuters_annual_source_window.fat&amp;display_string=Audit&amp;DYN_ARGS=TRUE&amp;VAR:ID1=30231G10&amp;VAR:RCODE=LTLL&amp;VAR:SDATE=20031299&amp;VAR:FREQ=Y&amp;VAR:RELITEM=RP&amp;VAR:CURRENCY=&amp;VAR:CURRSOURCE=EXSHARE&amp;V","AR:NATFREQ=ANNUAL&amp;VAR:RFIELD=FINALIZED&amp;VAR:DB_TYPE=&amp;VAR:UNITS=M&amp;window=popup&amp;width=450&amp;height=300&amp;START_MAXIMIZED=FALSE"}</definedName>
    <definedName function="false" hidden="true" name="_36__FDSAUDITLINK___1" vbProcedure="false">{"fdsup://IBCentral/FAT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6__FDSAUDITLINK___2" vbProcedure="false">{"fdsup://IBCentral/FAT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70__FDSAUDITLINK__" vbProcedure="false">{"fdsup://IBCentral/FAT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function="false" hidden="true" name="_371__FDSAUDITLINK__" vbProcedure="false">{"fdsup://directions/FAT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function="false" hidden="true" name="_372__FDSAUDITLINK__" vbProcedure="false">{"fdsup://IBCentral/FAT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73__FDSAUDITLINK__" vbProcedure="false">{"fdsup://IBCentral/FAT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374__FDSAUDITLINK__" vbProcedure="false">{"fdsup://IBCentral/FAT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75__FDSAUDITLINK__" vbProcedure="false">{"fdsup://IBCentral/FAT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376__FDSAUDITLINK__" vbProcedure="false">{"fdsup://IBCentral/FAT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377__FDSAUDITLINK__" vbProcedure="false">{"fdsup://IBCentral/FAT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78__FDSAUDITLINK__" vbProcedure="false">{"fdsup://IBCentral/FAT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379__FDSAUDITLINK__" vbProcedure="false">{"fdsup://IBCentral/FAT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37__123Graph_LBL_DCHART_4" vbProcedure="false">#REF!</definedName>
    <definedName function="false" hidden="true" name="_37__FDSAUDITLINK__" vbProcedure="false">{"fdsup://IBCentral/FAT Viewer?action=UPDATE&amp;creator=factset&amp;DOC_NAME=fat:reuters_annual_source_window.fat&amp;display_string=Audit&amp;DYN_ARGS=TRUE&amp;VAR:ID1=30231G10&amp;VAR:RCODE=LLTD&amp;VAR:SDATE=20071299&amp;VAR:FREQ=Y&amp;VAR:RELITEM=RP&amp;VAR:CURRENCY=&amp;VAR:CURRSOURCE=EXSHARE&amp;V","AR:NATFREQ=ANNUAL&amp;VAR:RFIELD=FINALIZED&amp;VAR:DB_TYPE=&amp;VAR:UNITS=M&amp;window=popup&amp;width=450&amp;height=300&amp;START_MAXIMIZED=FALSE"}</definedName>
    <definedName function="false" hidden="true" name="_37__FDSAUDITLINK___1" vbProcedure="false">{"fdsup://IBCentral/FAT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function="false" hidden="true" name="_37__FDSAUDITLINK___2" vbProcedure="false">{"fdsup://IBCentral/FAT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function="false" hidden="true" name="_380__FDSAUDITLINK__" vbProcedure="false">{"fdsup://IBCentral/FAT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381__FDSAUDITLINK__" vbProcedure="false">{"fdsup://IBCentral/FAT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382__FDSAUDITLINK__" vbProcedure="false">{"fdsup://IBCentral/FAT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383__FDSAUDITLINK__" vbProcedure="false">{"fdsup://IBCentral/FAT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384__FDSAUDITLINK__" vbProcedure="false">{"fdsup://directions/FAT Viewer?action=UPDATE&amp;creator=factset&amp;DYN_ARGS=TRUE&amp;DOC_NAME=FAT:FQL_AUDITING_CLIENT_TEMPLATE.FAT&amp;display_string=Audit&amp;VAR:KEY=ROPSTOXIZW&amp;VAR:QUERY=RkZfQ0FQRVgoQU5OLDIwMTAsLCwsSUNfQ1VSUkVOQ1lfSVNPKCksTSk=&amp;WINDOW=FIRST_POPUP&amp;HEIGHT=45","0&amp;WIDTH=450&amp;START_MAXIMIZED=FALSE&amp;VAR:CALENDAR=US&amp;VAR:SYMBOL=572797&amp;VAR:INDEX=0"}</definedName>
    <definedName function="false" hidden="true" name="_385__FDSAUDITLINK__" vbProcedure="false">{"fdsup://Directions/FactSet Auditing Viewer?action=AUDIT_VALUE&amp;DB=129&amp;ID1=572797&amp;VALUEID=01201&amp;SDATE=2010&amp;PERIODTYPE=ANN_STD&amp;window=popup_no_bar&amp;width=385&amp;height=120&amp;START_MAXIMIZED=FALSE&amp;creator=factset&amp;display_string=Audit"}</definedName>
    <definedName function="false" hidden="true" name="_386__FDSAUDITLINK__" vbProcedure="false">{"fdsup://Directions/FactSet Auditing Viewer?action=AUDIT_VALUE&amp;DB=129&amp;ID1=572797&amp;VALUEID=04831&amp;SDATE=2010&amp;PERIODTYPE=ANN_STD&amp;window=popup_no_bar&amp;width=385&amp;height=120&amp;START_MAXIMIZED=FALSE&amp;creator=factset&amp;display_string=Audit"}</definedName>
    <definedName function="false" hidden="true" name="_387__FDSAUDITLINK__" vbProcedure="false">{"fdsup://Directions/FactSet Auditing Viewer?action=AUDIT_VALUE&amp;DB=129&amp;ID1=572797&amp;VALUEID=01001&amp;SDATE=2008&amp;PERIODTYPE=ANN_STD&amp;window=popup_no_bar&amp;width=385&amp;height=120&amp;START_MAXIMIZED=FALSE&amp;creator=factset&amp;display_string=Audit"}</definedName>
    <definedName function="false" hidden="true" name="_388__FDSAUDITLINK__" vbProcedure="false">{"fdsup://directions/FAT Viewer?action=UPDATE&amp;creator=factset&amp;DYN_ARGS=TRUE&amp;DOC_NAME=FAT:FQL_AUDITING_CLIENT_TEMPLATE.FAT&amp;display_string=Audit&amp;VAR:KEY=VCZCPGTWJW&amp;VAR:QUERY=RkZfRUJJVERBX09QRVIoQU5OLDIwMDgsLCwsSUNfQ1VSUkVOQ1lfSVNPKCksTSk=&amp;WINDOW=FIRST_POPUP&amp;H","EIGHT=450&amp;WIDTH=450&amp;START_MAXIMIZED=FALSE&amp;VAR:CALENDAR=US&amp;VAR:SYMBOL=572797&amp;VAR:INDEX=0"}</definedName>
    <definedName function="false" hidden="true" name="_389__FDSAUDITLINK__" vbProcedure="false">{"fdsup://Directions/FactSet Auditing Viewer?action=AUDIT_VALUE&amp;DB=129&amp;ID1=572797&amp;VALUEID=01151&amp;SDATE=2008&amp;PERIODTYPE=ANN_STD&amp;window=popup_no_bar&amp;width=385&amp;height=120&amp;START_MAXIMIZED=FALSE&amp;creator=factset&amp;display_string=Audit"}</definedName>
    <definedName function="false" hidden="true" name="_38__FDSAUDITLINK__" vbProcedure="false">{"fdsup://IBCentral/FAT Viewer?action=UPDATE&amp;creator=factset&amp;DOC_NAME=fat:reuters_annual_source_window.fat&amp;display_string=Audit&amp;DYN_ARGS=TRUE&amp;VAR:ID1=30231G10&amp;VAR:RCODE=LLTD&amp;VAR:SDATE=20061299&amp;VAR:FREQ=Y&amp;VAR:RELITEM=RP&amp;VAR:CURRENCY=&amp;VAR:CURRSOURCE=EXSHARE&amp;V","AR:NATFREQ=ANNUAL&amp;VAR:RFIELD=FINALIZED&amp;VAR:DB_TYPE=&amp;VAR:UNITS=M&amp;window=popup&amp;width=450&amp;height=300&amp;START_MAXIMIZED=FALSE"}</definedName>
    <definedName function="false" hidden="true" name="_38__FDSAUDITLINK___1" vbProcedure="false">{"fdsup://IBCentral/FAT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8__FDSAUDITLINK___2" vbProcedure="false">{"fdsup://IBCentral/FAT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390__FDSAUDITLINK__" vbProcedure="false">{"fdsup://directions/FAT Viewer?action=UPDATE&amp;creator=factset&amp;DYN_ARGS=TRUE&amp;DOC_NAME=FAT:FQL_AUDITING_CLIENT_TEMPLATE.FAT&amp;display_string=Audit&amp;VAR:KEY=JGVWVIRERK&amp;VAR:QUERY=RkZfRUJJVF9PUEVSKEFOTiwyMDA4LCwsLElDX0NVUlJFTkNZX0lTTygpLE0p&amp;WINDOW=FIRST_POPUP&amp;HEIGH","T=450&amp;WIDTH=450&amp;START_MAXIMIZED=FALSE&amp;VAR:CALENDAR=US&amp;VAR:SYMBOL=572797&amp;VAR:INDEX=0"}</definedName>
    <definedName function="false" hidden="true" name="_391__FDSAUDITLINK__" vbProcedure="false">{"fdsup://Directions/FactSet Auditing Viewer?action=AUDIT_VALUE&amp;DB=129&amp;ID1=572797&amp;VALUEID=01250&amp;SDATE=2008&amp;PERIODTYPE=ANN_STD&amp;window=popup_no_bar&amp;width=385&amp;height=120&amp;START_MAXIMIZED=FALSE&amp;creator=factset&amp;display_string=Audit"}</definedName>
    <definedName function="false" hidden="true" name="_392__FDSAUDITLINK__" vbProcedure="false">{"fdsup://directions/FAT Viewer?action=UPDATE&amp;creator=factset&amp;DYN_ARGS=TRUE&amp;DOC_NAME=FAT:FQL_AUDITING_CLIENT_TEMPLATE.FAT&amp;display_string=Audit&amp;VAR:KEY=ZOHSTKJQZA&amp;VAR:QUERY=RkZfRVBTX0RJTChBTk4sMjAwOCwsLCxJQ19DVVJSRU5DWV9JU08oKSk=&amp;WINDOW=FIRST_POPUP&amp;HEIGHT=45","0&amp;WIDTH=450&amp;START_MAXIMIZED=FALSE&amp;VAR:CALENDAR=US&amp;VAR:SYMBOL=572797&amp;VAR:INDEX=0"}</definedName>
    <definedName function="false" hidden="true" name="_3939__FDSAUDITLINK__" vbProcedure="false">{"fdsup://directions/FAT Viewer?action=UPDATE&amp;creator=factset&amp;DYN_ARGS=TRUE&amp;DOC_NAME=FAT:FQL_AUDITING_CLIENT_TEMPLATE.FAT&amp;display_string=Audit&amp;VAR:KEY=CRSLGZYZMX&amp;VAR:QUERY=RkZfSU5UX0VYUF9ORVQoTFRNUywwLCwsLEZGX0NVUk5fRE9DKCkp&amp;WINDOW=FIRST_POPUP&amp;HEIGHT=450&amp;WI","DTH=450&amp;START_MAXIMIZED=FALSE&amp;VAR:CALENDAR=US&amp;VAR:SYMBOL=023208&amp;VAR:INDEX=0"}</definedName>
    <definedName function="false" hidden="true" name="_393__FDSAUDITLINK__" vbProcedure="false">{"fdsup://directions/FAT Viewer?action=UPDATE&amp;creator=factset&amp;DYN_ARGS=TRUE&amp;DOC_NAME=FAT:FQL_AUDITING_CLIENT_TEMPLATE.FAT&amp;display_string=Audit&amp;VAR:KEY=FKRCLEVYXM&amp;VAR:QUERY=RkZfQ0FQRVgoQU5OLDIwMDgsLCwsSUNfQ1VSUkVOQ1lfSVNPKCksTSk=&amp;WINDOW=FIRST_POPUP&amp;HEIGHT=45","0&amp;WIDTH=450&amp;START_MAXIMIZED=FALSE&amp;VAR:CALENDAR=US&amp;VAR:SYMBOL=572797&amp;VAR:INDEX=0"}</definedName>
    <definedName function="false" hidden="true" name="_394__FDSAUDITLINK__" vbProcedure="false">{"fdsup://Directions/FactSet Auditing Viewer?action=AUDIT_VALUE&amp;DB=129&amp;ID1=572797&amp;VALUEID=01201&amp;SDATE=2008&amp;PERIODTYPE=ANN_STD&amp;window=popup_no_bar&amp;width=385&amp;height=120&amp;START_MAXIMIZED=FALSE&amp;creator=factset&amp;display_string=Audit"}</definedName>
    <definedName function="false" hidden="true" name="_395__FDSAUDITLINK__" vbProcedure="false">{"fdsup://Directions/FactSet Auditing Viewer?action=AUDIT_VALUE&amp;DB=129&amp;ID1=572797&amp;VALUEID=04831&amp;SDATE=2008&amp;PERIODTYPE=ANN_STD&amp;window=popup_no_bar&amp;width=385&amp;height=120&amp;START_MAXIMIZED=FALSE&amp;creator=factset&amp;display_string=Audit"}</definedName>
    <definedName function="false" hidden="true" name="_396__FDSAUDITLINK__" vbProcedure="false">{"fdsup://Directions/FactSet Auditing Viewer?action=AUDIT_VALUE&amp;DB=129&amp;ID1=572797&amp;VALUEID=05194&amp;SDATE=2008&amp;PERIODTYPE=ANNR_STD&amp;window=popup_no_bar&amp;width=385&amp;height=120&amp;START_MAXIMIZED=FALSE&amp;creator=factset&amp;display_string=Audit"}</definedName>
    <definedName function="false" hidden="true" name="_397__FDSAUDITLINK__" vbProcedure="false">{"fdsup://directions/FAT Viewer?action=UPDATE&amp;creator=factset&amp;DYN_ARGS=TRUE&amp;DOC_NAME=FAT:FQL_AUDITING_CLIENT_TEMPLATE.FAT&amp;display_string=Audit&amp;VAR:KEY=ZCVOXIVKHW&amp;VAR:QUERY=RkZfQ0FQRVgoQU5OLDIwMDksLCwsSUNfQ1VSUkVOQ1lfSVNPKCksTSk=&amp;WINDOW=FIRST_POPUP&amp;HEIGHT=45","0&amp;WIDTH=450&amp;START_MAXIMIZED=FALSE&amp;VAR:CALENDAR=US&amp;VAR:SYMBOL=572797&amp;VAR:INDEX=0"}</definedName>
    <definedName function="false" hidden="true" name="_398__FDSAUDITLINK__" vbProcedure="false">{"fdsup://directions/FAT Viewer?action=UPDATE&amp;creator=factset&amp;DYN_ARGS=TRUE&amp;DOC_NAME=FAT:FQL_AUDITING_CLIENT_TEMPLATE.FAT&amp;display_string=Audit&amp;VAR:KEY=DWBMRUJGDI&amp;VAR:QUERY=RkZfRVBTX0RJTChBTk4sMjAwOSwsLCxJQ19DVVJSRU5DWV9JU08oKSk=&amp;WINDOW=FIRST_POPUP&amp;HEIGHT=45","0&amp;WIDTH=450&amp;START_MAXIMIZED=FALSE&amp;VAR:CALENDAR=US&amp;VAR:SYMBOL=572797&amp;VAR:INDEX=0"}</definedName>
    <definedName function="false" hidden="true" name="_399__FDSAUDITLINK__" vbProcedure="false">{"fdsup://directions/FAT Viewer?action=UPDATE&amp;creator=factset&amp;DYN_ARGS=TRUE&amp;DOC_NAME=FAT:FQL_AUDITING_CLIENT_TEMPLATE.FAT&amp;display_string=Audit&amp;VAR:KEY=XKJQTWJANI&amp;VAR:QUERY=RkZfSU5UX0VYUF9ORVQoTFRNUywwLCwsLElDX0NVUlJFTkNZX0lTTygpKQ==&amp;WINDOW=FIRST_POPUP&amp;HEIGH","T=450&amp;WIDTH=450&amp;START_MAXIMIZED=FALSE&amp;VAR:CALENDAR=US&amp;VAR:SYMBOL=572797&amp;VAR:INDEX=0"}</definedName>
    <definedName function="false" hidden="true" name="_39__123Graph_LBL_ECHART_4" vbProcedure="false">#REF!</definedName>
    <definedName function="false" hidden="true" name="_39__FDSAUDITLINK__" vbProcedure="false">{"fdsup://IBCentral/FAT Viewer?action=UPDATE&amp;creator=factset&amp;DOC_NAME=fat:reuters_annual_source_window.fat&amp;display_string=Audit&amp;DYN_ARGS=TRUE&amp;VAR:ID1=30231G10&amp;VAR:RCODE=LLTD&amp;VAR:SDATE=20051299&amp;VAR:FREQ=Y&amp;VAR:RELITEM=RP&amp;VAR:CURRENCY=&amp;VAR:CURRSOURCE=EXSHARE&amp;V","AR:NATFREQ=ANNUAL&amp;VAR:RFIELD=FINALIZED&amp;VAR:DB_TYPE=&amp;VAR:UNITS=M&amp;window=popup&amp;width=450&amp;height=300&amp;START_MAXIMIZED=FALSE"}</definedName>
    <definedName function="false" hidden="true" name="_39__FDSAUDITLINK___1" vbProcedure="false">{"fdsup://IBCentral/FAT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function="false" hidden="true" name="_39__FDSAUDITLINK___2" vbProcedure="false">{"fdsup://IBCentral/FAT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function="false" hidden="true" name="_3__123Graph_ACHART_1" vbProcedure="false">#REF!</definedName>
    <definedName function="false" hidden="true" name="_3__123Graph_ACHART_19" vbProcedure="false">#REF!</definedName>
    <definedName function="false" hidden="true" name="_3__123Graph_BCHART_1" vbProcedure="false">#REF!</definedName>
    <definedName function="false" hidden="true" name="_3__123Graph_XCHART_1" vbProcedure="false">#REF!</definedName>
    <definedName function="false" hidden="true" name="_3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2"}</definedName>
    <definedName function="false" hidden="true" name="_3__FDSAUDITLINK___1" vbProcedure="false">{"fdsup://directions/FAT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function="false" hidden="true" name="_3__FDSAUDITLINK___2" vbProcedure="false">{"fdsup://directions/FAT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function="false" hidden="true" name="_400__FDSAUDITLINK__" vbProcedure="false">{"fdsup://directions/FAT Viewer?action=UPDATE&amp;creator=factset&amp;DYN_ARGS=TRUE&amp;DOC_NAME=FAT:FQL_AUDITING_CLIENT_TEMPLATE.FAT&amp;display_string=Audit&amp;VAR:KEY=BCDAFAZGVW&amp;VAR:QUERY=RkZfTkVUX0lOQyhMVE1TLDAsLCwsSUNfQ1VSUkVOQ1lfSVNPKCkp&amp;WINDOW=FIRST_POPUP&amp;HEIGHT=450&amp;WI","DTH=450&amp;START_MAXIMIZED=FALSE&amp;VAR:CALENDAR=US&amp;VAR:SYMBOL=572797&amp;VAR:INDEX=0"}</definedName>
    <definedName function="false" hidden="true" name="_401__FDSAUDITLINK__" vbProcedure="false">{"fdsup://directions/FAT Viewer?action=UPDATE&amp;creator=factset&amp;DYN_ARGS=TRUE&amp;DOC_NAME=FAT:FQL_AUDITING_CLIENT_TEMPLATE.FAT&amp;display_string=Audit&amp;VAR:KEY=HIHONWTQRM&amp;VAR:QUERY=RkZfRUJJVF9PUEVSKExUTVMsMCwsLCxJQ19DVVJSRU5DWV9JU08oKSk=&amp;WINDOW=FIRST_POPUP&amp;HEIGHT=45","0&amp;WIDTH=450&amp;START_MAXIMIZED=FALSE&amp;VAR:CALENDAR=US&amp;VAR:SYMBOL=572797&amp;VAR:INDEX=0"}</definedName>
    <definedName function="false" hidden="true" name="_402__FDSAUDITLINK__" vbProcedure="false">{"fdsup://directions/FAT Viewer?action=UPDATE&amp;creator=factset&amp;DYN_ARGS=TRUE&amp;DOC_NAME=FAT:FQL_AUDITING_CLIENT_TEMPLATE.FAT&amp;display_string=Audit&amp;VAR:KEY=ZUXQREPOTK&amp;VAR:QUERY=RkZfRUJJVERBX09QRVIoTFRNUywwLCwsLElDX0NVUlJFTkNZX0lTTygpKQ==&amp;WINDOW=FIRST_POPUP&amp;HEIGH","T=450&amp;WIDTH=450&amp;START_MAXIMIZED=FALSE&amp;VAR:CALENDAR=US&amp;VAR:SYMBOL=572797&amp;VAR:INDEX=0"}</definedName>
    <definedName function="false" hidden="true" name="_403__FDSAUDITLINK__" vbProcedure="false">{"fdsup://directions/FAT Viewer?action=UPDATE&amp;creator=factset&amp;DYN_ARGS=TRUE&amp;DOC_NAME=FAT:FQL_AUDITING_CLIENT_TEMPLATE.FAT&amp;display_string=Audit&amp;VAR:KEY=JALAPUBUZC&amp;VAR:QUERY=RkZfRUJJVF9PUEVSKEFOTiwyMDA5LCwsLElDX0NVUlJFTkNZX0lTTygpLE0p&amp;WINDOW=FIRST_POPUP&amp;HEIGH","T=450&amp;WIDTH=450&amp;START_MAXIMIZED=FALSE&amp;VAR:CALENDAR=US&amp;VAR:SYMBOL=572797&amp;VAR:INDEX=0"}</definedName>
    <definedName function="false" hidden="true" name="_404__FDSAUDITLINK__" vbProcedure="false">{"fdsup://directions/FAT Viewer?action=UPDATE&amp;creator=factset&amp;DYN_ARGS=TRUE&amp;DOC_NAME=FAT:FQL_AUDITING_CLIENT_TEMPLATE.FAT&amp;display_string=Audit&amp;VAR:KEY=FUJCTQTAFQ&amp;VAR:QUERY=RkZfRUJJVERBX09QRVIoQU5OLDIwMDksLCwsSUNfQ1VSUkVOQ1lfSVNPKCksTSk=&amp;WINDOW=FIRST_POPUP&amp;H","EIGHT=450&amp;WIDTH=450&amp;START_MAXIMIZED=FALSE&amp;VAR:CALENDAR=US&amp;VAR:SYMBOL=572797&amp;VAR:INDEX=0"}</definedName>
    <definedName function="false" hidden="true" name="_405__FDSAUDITLINK__" vbProcedure="false">{"fdsup://Directions/FactSet Auditing Viewer?action=AUDIT_VALUE&amp;DB=129&amp;ID1=572797&amp;VALUEID=01001&amp;SDATE=2010&amp;PERIODTYPE=ANN_STD&amp;window=popup_no_bar&amp;width=385&amp;height=120&amp;START_MAXIMIZED=FALSE&amp;creator=factset&amp;display_string=Audit"}</definedName>
    <definedName function="false" hidden="true" name="_406__FDSAUDITLINK__" vbProcedure="false">{"fdsup://directions/FAT Viewer?action=UPDATE&amp;creator=factset&amp;DYN_ARGS=TRUE&amp;DOC_NAME=FAT:FQL_AUDITING_CLIENT_TEMPLATE.FAT&amp;display_string=Audit&amp;VAR:KEY=TAVWZCBKPQ&amp;VAR:QUERY=RkZfRUJJVERBX09QRVIoQU5OLDIwMTAsLCwsSUNfQ1VSUkVOQ1lfSVNPKCksTSk=&amp;WINDOW=FIRST_POPUP&amp;H","EIGHT=450&amp;WIDTH=450&amp;START_MAXIMIZED=FALSE&amp;VAR:CALENDAR=US&amp;VAR:SYMBOL=572797&amp;VAR:INDEX=0"}</definedName>
    <definedName function="false" hidden="true" name="_407__FDSAUDITLINK__" vbProcedure="false">{"fdsup://Directions/FactSet Auditing Viewer?action=AUDIT_VALUE&amp;DB=129&amp;ID1=572797&amp;VALUEID=01151&amp;SDATE=2010&amp;PERIODTYPE=ANN_STD&amp;window=popup_no_bar&amp;width=385&amp;height=120&amp;START_MAXIMIZED=FALSE&amp;creator=factset&amp;display_string=Audit"}</definedName>
    <definedName function="false" hidden="true" name="_408__FDSAUDITLINK__" vbProcedure="false">{"fdsup://directions/FAT Viewer?action=UPDATE&amp;creator=factset&amp;DYN_ARGS=TRUE&amp;DOC_NAME=FAT:FQL_AUDITING_CLIENT_TEMPLATE.FAT&amp;display_string=Audit&amp;VAR:KEY=JEBKJIZSJY&amp;VAR:QUERY=RkZfRUJJVF9PUEVSKEFOTiwyMDEwLCwsLElDX0NVUlJFTkNZX0lTTygpLE0p&amp;WINDOW=FIRST_POPUP&amp;HEIGH","T=450&amp;WIDTH=450&amp;START_MAXIMIZED=FALSE&amp;VAR:CALENDAR=US&amp;VAR:SYMBOL=572797&amp;VAR:INDEX=0"}</definedName>
    <definedName function="false" hidden="true" name="_409__FDSAUDITLINK__" vbProcedure="false">{"fdsup://Directions/FactSet Auditing Viewer?action=AUDIT_VALUE&amp;DB=129&amp;ID1=572797&amp;VALUEID=01250&amp;SDATE=2010&amp;PERIODTYPE=ANN_STD&amp;window=popup_no_bar&amp;width=385&amp;height=120&amp;START_MAXIMIZED=FALSE&amp;creator=factset&amp;display_string=Audit"}</definedName>
    <definedName function="false" hidden="true" name="_40__123Graph_XCHART_1" vbProcedure="false">#REF!</definedName>
    <definedName function="false" hidden="true" name="_40__FDSAUDITLINK__" vbProcedure="false">{"fdsup://IBCentral/FAT Viewer?action=UPDATE&amp;creator=factset&amp;DOC_NAME=fat:reuters_annual_source_window.fat&amp;display_string=Audit&amp;DYN_ARGS=TRUE&amp;VAR:ID1=30231G10&amp;VAR:RCODE=LLTD&amp;VAR:SDATE=20041299&amp;VAR:FREQ=Y&amp;VAR:RELITEM=RP&amp;VAR:CURRENCY=&amp;VAR:CURRSOURCE=EXSHARE&amp;V","AR:NATFREQ=ANNUAL&amp;VAR:RFIELD=FINALIZED&amp;VAR:DB_TYPE=&amp;VAR:UNITS=M&amp;window=popup&amp;width=450&amp;height=300&amp;START_MAXIMIZED=FALSE"}</definedName>
    <definedName function="false" hidden="true" name="_40__FDSAUDITLINK___1" vbProcedure="false">{"fdsup://IBCentral/FAT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function="false" hidden="true" name="_40__FDSAUDITLINK___2" vbProcedure="false">{"fdsup://IBCentral/FAT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function="false" hidden="true" name="_410__FDSAUDITLINK__" vbProcedure="false">{"fdsup://directions/FAT Viewer?action=UPDATE&amp;creator=factset&amp;DYN_ARGS=TRUE&amp;DOC_NAME=FAT:FQL_AUDITING_CLIENT_TEMPLATE.FAT&amp;display_string=Audit&amp;VAR:KEY=PIFCPQTURA&amp;VAR:QUERY=RkZfRVBTX0RJTChBTk4sMjAxMCwsLCxJQ19DVVJSRU5DWV9JU08oKSk=&amp;WINDOW=FIRST_POPUP&amp;HEIGHT=45","0&amp;WIDTH=450&amp;START_MAXIMIZED=FALSE&amp;VAR:CALENDAR=US&amp;VAR:SYMBOL=572797&amp;VAR:INDEX=0"}</definedName>
    <definedName function="false" hidden="true" name="_411__FDSAUDITLINK__" vbProcedure="false">{"fdsup://directions/FAT Viewer?action=UPDATE&amp;creator=factset&amp;DYN_ARGS=TRUE&amp;DOC_NAME=FAT:FQL_AUDITING_CLIENT_TEMPLATE.FAT&amp;display_string=Audit&amp;VAR:KEY=ROPSTOXIZW&amp;VAR:QUERY=RkZfQ0FQRVgoQU5OLDIwMTAsLCwsSUNfQ1VSUkVOQ1lfSVNPKCksTSk=&amp;WINDOW=FIRST_POPUP&amp;HEIGHT=45","0&amp;WIDTH=450&amp;START_MAXIMIZED=FALSE&amp;VAR:CALENDAR=US&amp;VAR:SYMBOL=572797&amp;VAR:INDEX=0"}</definedName>
    <definedName function="false" hidden="true" name="_412__FDSAUDITLINK__" vbProcedure="false">{"fdsup://Directions/FactSet Auditing Viewer?action=AUDIT_VALUE&amp;DB=129&amp;ID1=572797&amp;VALUEID=01201&amp;SDATE=2010&amp;PERIODTYPE=ANN_STD&amp;window=popup_no_bar&amp;width=385&amp;height=120&amp;START_MAXIMIZED=FALSE&amp;creator=factset&amp;display_string=Audit"}</definedName>
    <definedName function="false" hidden="true" name="_413__FDSAUDITLINK__" vbProcedure="false">{"fdsup://Directions/FactSet Auditing Viewer?action=AUDIT_VALUE&amp;DB=129&amp;ID1=572797&amp;VALUEID=04831&amp;SDATE=2010&amp;PERIODTYPE=ANN_STD&amp;window=popup_no_bar&amp;width=385&amp;height=120&amp;START_MAXIMIZED=FALSE&amp;creator=factset&amp;display_string=Audit"}</definedName>
    <definedName function="false" hidden="true" name="_414__FDSAUDITLINK__" vbProcedure="false">{"fdsup://Directions/FactSet Auditing Viewer?action=AUDIT_VALUE&amp;DB=129&amp;ID1=572797&amp;VALUEID=01001&amp;SDATE=2008&amp;PERIODTYPE=ANN_STD&amp;window=popup_no_bar&amp;width=385&amp;height=120&amp;START_MAXIMIZED=FALSE&amp;creator=factset&amp;display_string=Audit"}</definedName>
    <definedName function="false" hidden="true" name="_415__FDSAUDITLINK__" vbProcedure="false">{"fdsup://directions/FAT Viewer?action=UPDATE&amp;creator=factset&amp;DYN_ARGS=TRUE&amp;DOC_NAME=FAT:FQL_AUDITING_CLIENT_TEMPLATE.FAT&amp;display_string=Audit&amp;VAR:KEY=VCZCPGTWJW&amp;VAR:QUERY=RkZfRUJJVERBX09QRVIoQU5OLDIwMDgsLCwsSUNfQ1VSUkVOQ1lfSVNPKCksTSk=&amp;WINDOW=FIRST_POPUP&amp;H","EIGHT=450&amp;WIDTH=450&amp;START_MAXIMIZED=FALSE&amp;VAR:CALENDAR=US&amp;VAR:SYMBOL=572797&amp;VAR:INDEX=0"}</definedName>
    <definedName function="false" hidden="true" name="_416__FDSAUDITLINK__" vbProcedure="false">{"fdsup://Directions/FactSet Auditing Viewer?action=AUDIT_VALUE&amp;DB=129&amp;ID1=572797&amp;VALUEID=01151&amp;SDATE=2008&amp;PERIODTYPE=ANN_STD&amp;window=popup_no_bar&amp;width=385&amp;height=120&amp;START_MAXIMIZED=FALSE&amp;creator=factset&amp;display_string=Audit"}</definedName>
    <definedName function="false" hidden="true" name="_417__FDSAUDITLINK__" vbProcedure="false">{"fdsup://directions/FAT Viewer?action=UPDATE&amp;creator=factset&amp;DYN_ARGS=TRUE&amp;DOC_NAME=FAT:FQL_AUDITING_CLIENT_TEMPLATE.FAT&amp;display_string=Audit&amp;VAR:KEY=JGVWVIRERK&amp;VAR:QUERY=RkZfRUJJVF9PUEVSKEFOTiwyMDA4LCwsLElDX0NVUlJFTkNZX0lTTygpLE0p&amp;WINDOW=FIRST_POPUP&amp;HEIGH","T=450&amp;WIDTH=450&amp;START_MAXIMIZED=FALSE&amp;VAR:CALENDAR=US&amp;VAR:SYMBOL=572797&amp;VAR:INDEX=0"}</definedName>
    <definedName function="false" hidden="true" name="_418__FDSAUDITLINK__" vbProcedure="false">{"fdsup://Directions/FactSet Auditing Viewer?action=AUDIT_VALUE&amp;DB=129&amp;ID1=572797&amp;VALUEID=01250&amp;SDATE=2008&amp;PERIODTYPE=ANN_STD&amp;window=popup_no_bar&amp;width=385&amp;height=120&amp;START_MAXIMIZED=FALSE&amp;creator=factset&amp;display_string=Audit"}</definedName>
    <definedName function="false" hidden="true" name="_419__FDSAUDITLINK__" vbProcedure="false">{"fdsup://directions/FAT Viewer?action=UPDATE&amp;creator=factset&amp;DYN_ARGS=TRUE&amp;DOC_NAME=FAT:FQL_AUDITING_CLIENT_TEMPLATE.FAT&amp;display_string=Audit&amp;VAR:KEY=ZOHSTKJQZA&amp;VAR:QUERY=RkZfRVBTX0RJTChBTk4sMjAwOCwsLCxJQ19DVVJSRU5DWV9JU08oKSk=&amp;WINDOW=FIRST_POPUP&amp;HEIGHT=45","0&amp;WIDTH=450&amp;START_MAXIMIZED=FALSE&amp;VAR:CALENDAR=US&amp;VAR:SYMBOL=572797&amp;VAR:INDEX=0"}</definedName>
    <definedName function="false" hidden="true" name="_41__123Graph_XCHART_19" vbProcedure="false">#REF!</definedName>
    <definedName function="false" hidden="true" name="_41__FDSAUDITLINK__" vbProcedure="false">{"fdsup://IBCentral/FAT Viewer?action=UPDATE&amp;creator=factset&amp;DOC_NAME=fat:reuters_annual_source_window.fat&amp;display_string=Audit&amp;DYN_ARGS=TRUE&amp;VAR:ID1=30231G10&amp;VAR:RCODE=LLTD&amp;VAR:SDATE=20031299&amp;VAR:FREQ=Y&amp;VAR:RELITEM=RP&amp;VAR:CURRENCY=&amp;VAR:CURRSOURCE=EXSHARE&amp;V","AR:NATFREQ=ANNUAL&amp;VAR:RFIELD=FINALIZED&amp;VAR:DB_TYPE=&amp;VAR:UNITS=M&amp;window=popup&amp;width=450&amp;height=300&amp;START_MAXIMIZED=FALSE"}</definedName>
    <definedName function="false" hidden="true" name="_41__FDSAUDITLINK___1" vbProcedure="false">{"fdsup://IBCentral/FAT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41__FDSAUDITLINK___2" vbProcedure="false">{"fdsup://IBCentral/FAT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function="false" hidden="true" name="_420__FDSAUDITLINK__" vbProcedure="false">{"fdsup://directions/FAT Viewer?action=UPDATE&amp;creator=factset&amp;DYN_ARGS=TRUE&amp;DOC_NAME=FAT:FQL_AUDITING_CLIENT_TEMPLATE.FAT&amp;display_string=Audit&amp;VAR:KEY=FKRCLEVYXM&amp;VAR:QUERY=RkZfQ0FQRVgoQU5OLDIwMDgsLCwsSUNfQ1VSUkVOQ1lfSVNPKCksTSk=&amp;WINDOW=FIRST_POPUP&amp;HEIGHT=45","0&amp;WIDTH=450&amp;START_MAXIMIZED=FALSE&amp;VAR:CALENDAR=US&amp;VAR:SYMBOL=572797&amp;VAR:INDEX=0"}</definedName>
    <definedName function="false" hidden="true" name="_421__FDSAUDITLINK__" vbProcedure="false">{"fdsup://Directions/FactSet Auditing Viewer?action=AUDIT_VALUE&amp;DB=129&amp;ID1=572797&amp;VALUEID=01201&amp;SDATE=2008&amp;PERIODTYPE=ANN_STD&amp;window=popup_no_bar&amp;width=385&amp;height=120&amp;START_MAXIMIZED=FALSE&amp;creator=factset&amp;display_string=Audit"}</definedName>
    <definedName function="false" hidden="true" name="_422__FDSAUDITLINK__" vbProcedure="false">{"fdsup://Directions/FactSet Auditing Viewer?action=AUDIT_VALUE&amp;DB=129&amp;ID1=572797&amp;VALUEID=04831&amp;SDATE=2008&amp;PERIODTYPE=ANN_STD&amp;window=popup_no_bar&amp;width=385&amp;height=120&amp;START_MAXIMIZED=FALSE&amp;creator=factset&amp;display_string=Audit"}</definedName>
    <definedName function="false" hidden="true" name="_423__FDSAUDITLINK__" vbProcedure="false">{"fdsup://Directions/FactSet Auditing Viewer?action=AUDIT_VALUE&amp;DB=129&amp;ID1=572797&amp;VALUEID=05194&amp;SDATE=2008&amp;PERIODTYPE=ANNR_STD&amp;window=popup_no_bar&amp;width=385&amp;height=120&amp;START_MAXIMIZED=FALSE&amp;creator=factset&amp;display_string=Audit"}</definedName>
    <definedName function="false" hidden="true" name="_424__FDSAUDITLINK__" vbProcedure="false">{"fdsup://directions/FAT Viewer?action=UPDATE&amp;creator=factset&amp;DYN_ARGS=TRUE&amp;DOC_NAME=FAT:FQL_AUDITING_CLIENT_TEMPLATE.FAT&amp;display_string=Audit&amp;VAR:KEY=ZCVOXIVKHW&amp;VAR:QUERY=RkZfQ0FQRVgoQU5OLDIwMDksLCwsSUNfQ1VSUkVOQ1lfSVNPKCksTSk=&amp;WINDOW=FIRST_POPUP&amp;HEIGHT=45","0&amp;WIDTH=450&amp;START_MAXIMIZED=FALSE&amp;VAR:CALENDAR=US&amp;VAR:SYMBOL=572797&amp;VAR:INDEX=0"}</definedName>
    <definedName function="false" hidden="true" name="_425__FDSAUDITLINK__" vbProcedure="false">{"fdsup://directions/FAT Viewer?action=UPDATE&amp;creator=factset&amp;DYN_ARGS=TRUE&amp;DOC_NAME=FAT:FQL_AUDITING_CLIENT_TEMPLATE.FAT&amp;display_string=Audit&amp;VAR:KEY=DWBMRUJGDI&amp;VAR:QUERY=RkZfRVBTX0RJTChBTk4sMjAwOSwsLCxJQ19DVVJSRU5DWV9JU08oKSk=&amp;WINDOW=FIRST_POPUP&amp;HEIGHT=45","0&amp;WIDTH=450&amp;START_MAXIMIZED=FALSE&amp;VAR:CALENDAR=US&amp;VAR:SYMBOL=572797&amp;VAR:INDEX=0"}</definedName>
    <definedName function="false" hidden="true" name="_426__FDSAUDITLINK__" vbProcedure="false">{"fdsup://directions/FAT Viewer?action=UPDATE&amp;creator=factset&amp;DYN_ARGS=TRUE&amp;DOC_NAME=FAT:FQL_AUDITING_CLIENT_TEMPLATE.FAT&amp;display_string=Audit&amp;VAR:KEY=JALAPUBUZC&amp;VAR:QUERY=RkZfRUJJVF9PUEVSKEFOTiwyMDA5LCwsLElDX0NVUlJFTkNZX0lTTygpLE0p&amp;WINDOW=FIRST_POPUP&amp;HEIGH","T=450&amp;WIDTH=450&amp;START_MAXIMIZED=FALSE&amp;VAR:CALENDAR=US&amp;VAR:SYMBOL=572797&amp;VAR:INDEX=0"}</definedName>
    <definedName function="false" hidden="true" name="_427__FDSAUDITLINK__" vbProcedure="false">{"fdsup://directions/FAT Viewer?action=UPDATE&amp;creator=factset&amp;DYN_ARGS=TRUE&amp;DOC_NAME=FAT:FQL_AUDITING_CLIENT_TEMPLATE.FAT&amp;display_string=Audit&amp;VAR:KEY=FUJCTQTAFQ&amp;VAR:QUERY=RkZfRUJJVERBX09QRVIoQU5OLDIwMDksLCwsSUNfQ1VSUkVOQ1lfSVNPKCksTSk=&amp;WINDOW=FIRST_POPUP&amp;H","EIGHT=450&amp;WIDTH=450&amp;START_MAXIMIZED=FALSE&amp;VAR:CALENDAR=US&amp;VAR:SYMBOL=572797&amp;VAR:INDEX=0"}</definedName>
    <definedName function="false" hidden="true" name="_428__FDSAUDITLINK__" vbProcedure="false">{"fdsup://Directions/FactSet Auditing Viewer?action=AUDIT_VALUE&amp;DB=129&amp;ID1=09057220&amp;VALUEID=01201&amp;SDATE=2009&amp;PERIODTYPE=ANN_STD&amp;window=popup_no_bar&amp;width=385&amp;height=120&amp;START_MAXIMIZED=FALSE&amp;creator=factset&amp;display_string=Audit"}</definedName>
    <definedName function="false" hidden="true" name="_429__FDSAUDITLINK__" vbProcedure="false">{"fdsup://Directions/FactSet Auditing Viewer?action=AUDIT_VALUE&amp;DB=129&amp;ID1=573282&amp;VALUEID=02001&amp;SDATE=201004&amp;PERIODTYPE=QTR_STD&amp;window=popup_no_bar&amp;width=385&amp;height=120&amp;START_MAXIMIZED=FALSE&amp;creator=factset&amp;display_string=Audit"}</definedName>
    <definedName function="false" hidden="true" name="_42wrn.²Ä1­Ó¤ë1_Ü20¤H." vbProcedure="false">{#N/A,#N/A,FALSE,"²Ä1­Ó¤ë"}</definedName>
    <definedName function="false" hidden="true" name="_42__123Graph_XCHART_2" vbProcedure="false">#REF!</definedName>
    <definedName function="false" hidden="true" name="_42__FDSAUDITLINK__" vbProcedure="false">{"fdsup://IBCentral/FAT Viewer?action=UPDATE&amp;creator=factset&amp;DOC_NAME=fat:reuters_annual_source_window.fat&amp;display_string=Audit&amp;DYN_ARGS=TRUE&amp;VAR:ID1=30231G10&amp;VAR:RCODE=LTCL&amp;VAR:SDATE=20071299&amp;VAR:FREQ=Y&amp;VAR:RELITEM=RP&amp;VAR:CURRENCY=&amp;VAR:CURRSOURCE=EXSHARE&amp;V","AR:NATFREQ=ANNUAL&amp;VAR:RFIELD=FINALIZED&amp;VAR:DB_TYPE=&amp;VAR:UNITS=M&amp;window=popup&amp;width=450&amp;height=300&amp;START_MAXIMIZED=FALSE"}</definedName>
    <definedName function="false" hidden="true" name="_42__FDSAUDITLINK___1" vbProcedure="false">{"fdsup://IBCentral/FAT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2__FDSAUDITLINK___2" vbProcedure="false">{"fdsup://IBCentral/FAT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30__FDSAUDITLINK__" vbProcedure="false">{"fdsup://Directions/FactSet Auditing Viewer?action=AUDIT_VALUE&amp;DB=129&amp;ID1=573282&amp;VALUEID=01001&amp;SDATE=2010&amp;PERIODTYPE=ANN_STD&amp;window=popup_no_bar&amp;width=385&amp;height=120&amp;START_MAXIMIZED=FALSE&amp;creator=factset&amp;display_string=Audit"}</definedName>
    <definedName function="false" hidden="true" name="_431__FDSAUDITLINK__" vbProcedure="false">{"fdsup://directions/FAT Viewer?action=UPDATE&amp;creator=factset&amp;DYN_ARGS=TRUE&amp;DOC_NAME=FAT:FQL_AUDITING_CLIENT_TEMPLATE.FAT&amp;display_string=Audit&amp;VAR:KEY=PCZWDEPONM&amp;VAR:QUERY=RkZfRUJJVERBX09QRVIoQU5OLDIwMTAsLCwsSUNfQ1VSUkVOQ1lfSVNPKCksTSk=&amp;WINDOW=FIRST_POPUP&amp;H","EIGHT=450&amp;WIDTH=450&amp;START_MAXIMIZED=FALSE&amp;VAR:CALENDAR=US&amp;VAR:SYMBOL=573282&amp;VAR:INDEX=0"}</definedName>
    <definedName function="false" hidden="true" name="_432__FDSAUDITLINK__" vbProcedure="false">{"fdsup://directions/FAT Viewer?action=UPDATE&amp;creator=factset&amp;DYN_ARGS=TRUE&amp;DOC_NAME=FAT:FQL_AUDITING_CLIENT_TEMPLATE.FAT&amp;display_string=Audit&amp;VAR:KEY=BKBOTGDMXU&amp;VAR:QUERY=RkZfRUJJVF9PUEVSKEFOTiwyMDA4LCwsLElDX0NVUlJFTkNZX0lTTygpLE0p&amp;WINDOW=FIRST_POPUP&amp;HEIGH","T=450&amp;WIDTH=450&amp;START_MAXIMIZED=FALSE&amp;VAR:CALENDAR=US&amp;VAR:SYMBOL=09057220&amp;VAR:INDEX=0"}</definedName>
    <definedName function="false" hidden="true" name="_433__FDSAUDITLINK__" vbProcedure="false">{"fdsup://Directions/FactSet Auditing Viewer?action=AUDIT_VALUE&amp;DB=129&amp;ID1=573282&amp;VALUEID=01151&amp;SDATE=2010&amp;PERIODTYPE=ANN_STD&amp;window=popup_no_bar&amp;width=385&amp;height=120&amp;START_MAXIMIZED=FALSE&amp;creator=factset&amp;display_string=Audit"}</definedName>
    <definedName function="false" hidden="true" name="_434__FDSAUDITLINK__" vbProcedure="false">{"fdsup://Directions/FactSet Auditing Viewer?action=AUDIT_VALUE&amp;DB=129&amp;ID1=573282&amp;VALUEID=01250&amp;SDATE=2010&amp;PERIODTYPE=ANN_STD&amp;window=popup_no_bar&amp;width=385&amp;height=120&amp;START_MAXIMIZED=FALSE&amp;creator=factset&amp;display_string=Audit"}</definedName>
    <definedName function="false" hidden="true" name="_435__FDSAUDITLINK__" vbProcedure="false">{"fdsup://Directions/FactSet Auditing Viewer?action=AUDIT_VALUE&amp;DB=129&amp;ID1=573282&amp;VALUEID=01250&amp;SDATE=2010&amp;PERIODTYPE=ANN_STD&amp;window=popup_no_bar&amp;width=385&amp;height=120&amp;START_MAXIMIZED=FALSE&amp;creator=factset&amp;display_string=Audit"}</definedName>
    <definedName function="false" hidden="true" name="_436__FDSAUDITLINK__" vbProcedure="false">{"fdsup://directions/FAT Viewer?action=UPDATE&amp;creator=factset&amp;DYN_ARGS=TRUE&amp;DOC_NAME=FAT:FQL_AUDITING_CLIENT_TEMPLATE.FAT&amp;display_string=Audit&amp;VAR:KEY=VGZOVODYLK&amp;VAR:QUERY=RkZfRVBTX0RJTChBTk4sMjAxMCwsLCxJQ19DVVJSRU5DWV9JU08oKSk=&amp;WINDOW=FIRST_POPUP&amp;HEIGHT=45","0&amp;WIDTH=450&amp;START_MAXIMIZED=FALSE&amp;VAR:CALENDAR=US&amp;VAR:SYMBOL=573282&amp;VAR:INDEX=0"}</definedName>
    <definedName function="false" hidden="true" name="_437__FDSAUDITLINK__" vbProcedure="false">{"fdsup://directions/FAT Viewer?action=UPDATE&amp;creator=factset&amp;DYN_ARGS=TRUE&amp;DOC_NAME=FAT:FQL_AUDITING_CLIENT_TEMPLATE.FAT&amp;display_string=Audit&amp;VAR:KEY=DOPCRYLOVS&amp;VAR:QUERY=RkZfQ0FQRVgoQU5OLDIwMTAsLCwsSUNfQ1VSUkVOQ1lfSVNPKCksTSk=&amp;WINDOW=FIRST_POPUP&amp;HEIGHT=45","0&amp;WIDTH=450&amp;START_MAXIMIZED=FALSE&amp;VAR:CALENDAR=US&amp;VAR:SYMBOL=573282&amp;VAR:INDEX=0"}</definedName>
    <definedName function="false" hidden="true" name="_438__FDSAUDITLINK__" vbProcedure="false">{"fdsup://Directions/FactSet Auditing Viewer?action=AUDIT_VALUE&amp;DB=129&amp;ID1=573282&amp;VALUEID=01001&amp;SDATE=2008&amp;PERIODTYPE=ANN_STD&amp;window=popup_no_bar&amp;width=385&amp;height=120&amp;START_MAXIMIZED=FALSE&amp;creator=factset&amp;display_string=Audit"}</definedName>
    <definedName function="false" hidden="true" name="_439__FDSAUDITLINK__" vbProcedure="false">{"fdsup://directions/FAT Viewer?action=UPDATE&amp;creator=factset&amp;DYN_ARGS=TRUE&amp;DOC_NAME=FAT:FQL_AUDITING_CLIENT_TEMPLATE.FAT&amp;display_string=Audit&amp;VAR:KEY=LCPEJIDQVO&amp;VAR:QUERY=RkZfRUJJVERBX09QRVIoQU5OLDIwMDgsLCwsSUNfQ1VSUkVOQ1lfSVNPKCksTSk=&amp;WINDOW=FIRST_POPUP&amp;H","EIGHT=450&amp;WIDTH=450&amp;START_MAXIMIZED=FALSE&amp;VAR:CALENDAR=US&amp;VAR:SYMBOL=573282&amp;VAR:INDEX=0"}</definedName>
    <definedName function="false" hidden="true" name="_43__123Graph_XCHART_20" vbProcedure="false">#REF!</definedName>
    <definedName function="false" hidden="true" name="_43__FDSAUDITLINK__" vbProcedure="false">{"fdsup://IBCentral/FAT Viewer?action=UPDATE&amp;creator=factset&amp;DOC_NAME=fat:reuters_annual_source_window.fat&amp;display_string=Audit&amp;DYN_ARGS=TRUE&amp;VAR:ID1=30231G10&amp;VAR:RCODE=LTCL&amp;VAR:SDATE=20061299&amp;VAR:FREQ=Y&amp;VAR:RELITEM=RP&amp;VAR:CURRENCY=&amp;VAR:CURRSOURCE=EXSHARE&amp;V","AR:NATFREQ=ANNUAL&amp;VAR:RFIELD=FINALIZED&amp;VAR:DB_TYPE=&amp;VAR:UNITS=M&amp;window=popup&amp;width=450&amp;height=300&amp;START_MAXIMIZED=FALSE"}</definedName>
    <definedName function="false" hidden="true" name="_43__FDSAUDITLINK___1" vbProcedure="false">{"fdsup://IBCentral/FAT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3__FDSAUDITLINK___2" vbProcedure="false">{"fdsup://IBCentral/FAT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40__FDSAUDITLINK__" vbProcedure="false">{"fdsup://directions/FAT Viewer?action=UPDATE&amp;creator=factset&amp;DYN_ARGS=TRUE&amp;DOC_NAME=FAT:FQL_AUDITING_CLIENT_TEMPLATE.FAT&amp;display_string=Audit&amp;VAR:KEY=FOPUROXKRA&amp;VAR:QUERY=RkZfTkVUX0lOQyhMVE1TLDAsLCwsSUNfQ1VSUkVOQ1lfSVNPKCkp&amp;WINDOW=FIRST_POPUP&amp;HEIGHT=450&amp;WI","DTH=450&amp;START_MAXIMIZED=FALSE&amp;VAR:CALENDAR=US&amp;VAR:SYMBOL=09057220&amp;VAR:INDEX=0"}</definedName>
    <definedName function="false" hidden="true" name="_441__FDSAUDITLINK__" vbProcedure="false">{"fdsup://Directions/FactSet Auditing Viewer?action=AUDIT_VALUE&amp;DB=129&amp;ID1=573282&amp;VALUEID=01151&amp;SDATE=2008&amp;PERIODTYPE=ANN_STD&amp;window=popup_no_bar&amp;width=385&amp;height=120&amp;START_MAXIMIZED=FALSE&amp;creator=factset&amp;display_string=Audit"}</definedName>
    <definedName function="false" hidden="true" name="_442__FDSAUDITLINK__" vbProcedure="false">{"fdsup://directions/FAT Viewer?action=UPDATE&amp;creator=factset&amp;DYN_ARGS=TRUE&amp;DOC_NAME=FAT:FQL_AUDITING_CLIENT_TEMPLATE.FAT&amp;display_string=Audit&amp;VAR:KEY=ZUBCTCXMFE&amp;VAR:QUERY=RkZfRUJJVF9PUEVSKEFOTiwyMDA4LCwsLElDX0NVUlJFTkNZX0lTTygpLE0p&amp;WINDOW=FIRST_POPUP&amp;HEIGH","T=450&amp;WIDTH=450&amp;START_MAXIMIZED=FALSE&amp;VAR:CALENDAR=US&amp;VAR:SYMBOL=573282&amp;VAR:INDEX=0"}</definedName>
    <definedName function="false" hidden="true" name="_443__FDSAUDITLINK__" vbProcedure="false">{"fdsup://Directions/FactSet Auditing Viewer?action=AUDIT_VALUE&amp;DB=129&amp;ID1=573282&amp;VALUEID=01250&amp;SDATE=2008&amp;PERIODTYPE=ANN_STD&amp;window=popup_no_bar&amp;width=385&amp;height=120&amp;START_MAXIMIZED=FALSE&amp;creator=factset&amp;display_string=Audit"}</definedName>
    <definedName function="false" hidden="true" name="_444__FDSAUDITLINK__" vbProcedure="false">{"fdsup://directions/FAT Viewer?action=UPDATE&amp;creator=factset&amp;DYN_ARGS=TRUE&amp;DOC_NAME=FAT:FQL_AUDITING_CLIENT_TEMPLATE.FAT&amp;display_string=Audit&amp;VAR:KEY=VUTMNOVKFM&amp;VAR:QUERY=RkZfRUJJVF9PUEVSKEFOTiwyMDA5LCwsLElDX0NVUlJFTkNZX0lTTygpLE0p&amp;WINDOW=FIRST_POPUP&amp;HEIGH","T=450&amp;WIDTH=450&amp;START_MAXIMIZED=FALSE&amp;VAR:CALENDAR=US&amp;VAR:SYMBOL=09057220&amp;VAR:INDEX=0"}</definedName>
    <definedName function="false" hidden="true" name="_445__FDSAUDITLINK__" vbProcedure="false">{"fdsup://directions/FAT Viewer?action=UPDATE&amp;creator=factset&amp;DYN_ARGS=TRUE&amp;DOC_NAME=FAT:FQL_AUDITING_CLIENT_TEMPLATE.FAT&amp;display_string=Audit&amp;VAR:KEY=XMTCJQZGLS&amp;VAR:QUERY=RkZfQ0FQRVgoQU5OLDIwMDgsLCwsSUNfQ1VSUkVOQ1lfSVNPKCksTSk=&amp;WINDOW=FIRST_POPUP&amp;HEIGHT=45","0&amp;WIDTH=450&amp;START_MAXIMIZED=FALSE&amp;VAR:CALENDAR=US&amp;VAR:SYMBOL=573282&amp;VAR:INDEX=0"}</definedName>
    <definedName function="false" hidden="true" name="_446__FDSAUDITLINK__" vbProcedure="false">{"fdsup://directions/FAT Viewer?action=UPDATE&amp;creator=factset&amp;DYN_ARGS=TRUE&amp;DOC_NAME=FAT:FQL_AUDITING_CLIENT_TEMPLATE.FAT&amp;display_string=Audit&amp;VAR:KEY=HSPGVMPQVU&amp;VAR:QUERY=RkZfRUJJVERBX09QRVIoQU5OLDIwMDksLCwsSUNfQ1VSUkVOQ1lfSVNPKCksTSk=&amp;WINDOW=FIRST_POPUP&amp;H","EIGHT=450&amp;WIDTH=450&amp;START_MAXIMIZED=FALSE&amp;VAR:CALENDAR=US&amp;VAR:SYMBOL=09057220&amp;VAR:INDEX=0"}</definedName>
    <definedName function="false" hidden="true" name="_447__FDSAUDITLINK__" vbProcedure="false">{"fdsup://Directions/FactSet Auditing Viewer?action=AUDIT_VALUE&amp;DB=129&amp;ID1=573282&amp;VALUEID=01201&amp;SDATE=2008&amp;PERIODTYPE=ANN_STD&amp;window=popup_no_bar&amp;width=385&amp;height=120&amp;START_MAXIMIZED=FALSE&amp;creator=factset&amp;display_string=Audit"}</definedName>
    <definedName function="false" hidden="true" name="_448__FDSAUDITLINK__" vbProcedure="false">{"fdsup://Directions/FactSet Auditing Viewer?action=AUDIT_VALUE&amp;DB=129&amp;ID1=573282&amp;VALUEID=04831&amp;SDATE=2008&amp;PERIODTYPE=ANN_STD&amp;window=popup_no_bar&amp;width=385&amp;height=120&amp;START_MAXIMIZED=FALSE&amp;creator=factset&amp;display_string=Audit"}</definedName>
    <definedName function="false" hidden="true" name="_449__FDSAUDITLINK__" vbProcedure="false">{"fdsup://Directions/FactSet Auditing Viewer?action=AUDIT_VALUE&amp;DB=129&amp;ID1=573282&amp;VALUEID=05194&amp;SDATE=2010&amp;PERIODTYPE=ANNR_STD&amp;window=popup_no_bar&amp;width=385&amp;height=120&amp;START_MAXIMIZED=FALSE&amp;creator=factset&amp;display_string=Audit"}</definedName>
    <definedName function="false" hidden="true" name="_44__123Graph_XCHART_21" vbProcedure="false">#REF!</definedName>
    <definedName function="false" hidden="true" name="_44__FDSAUDITLINK__" vbProcedure="false">{"fdsup://IBCentral/FAT Viewer?action=UPDATE&amp;creator=factset&amp;DOC_NAME=fat:reuters_annual_source_window.fat&amp;display_string=Audit&amp;DYN_ARGS=TRUE&amp;VAR:ID1=30231G10&amp;VAR:RCODE=LTCL&amp;VAR:SDATE=20051299&amp;VAR:FREQ=Y&amp;VAR:RELITEM=RP&amp;VAR:CURRENCY=&amp;VAR:CURRSOURCE=EXSHARE&amp;V","AR:NATFREQ=ANNUAL&amp;VAR:RFIELD=FINALIZED&amp;VAR:DB_TYPE=&amp;VAR:UNITS=M&amp;window=popup&amp;width=450&amp;height=300&amp;START_MAXIMIZED=FALSE"}</definedName>
    <definedName function="false" hidden="true" name="_44__FDSAUDITLINK___1" vbProcedure="false">{"fdsup://IBCentral/FAT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4__FDSAUDITLINK___2" vbProcedure="false">{"fdsup://IBCentral/FAT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50__FDSAUDITLINK__" vbProcedure="false">{"fdsup://Directions/FactSet Auditing Viewer?action=AUDIT_VALUE&amp;DB=129&amp;ID1=573282&amp;VALUEID=05194&amp;SDATE=2008&amp;PERIODTYPE=ANNR_STD&amp;window=popup_no_bar&amp;width=385&amp;height=120&amp;START_MAXIMIZED=FALSE&amp;creator=factset&amp;display_string=Audit"}</definedName>
    <definedName function="false" hidden="true" name="_451__FDSAUDITLINK__" vbProcedure="false">{"fdsup://Directions/FactSet Auditing Viewer?action=AUDIT_VALUE&amp;DB=129&amp;ID1=573282&amp;VALUEID=04831&amp;SDATE=2009&amp;PERIODTYPE=ANN_STD&amp;window=popup_no_bar&amp;width=385&amp;height=120&amp;START_MAXIMIZED=FALSE&amp;creator=factset&amp;display_string=Audit"}</definedName>
    <definedName function="false" hidden="true" name="_452__FDSAUDITLINK__" vbProcedure="false">{"fdsup://directions/FAT Viewer?action=UPDATE&amp;creator=factset&amp;DYN_ARGS=TRUE&amp;DOC_NAME=FAT:FQL_AUDITING_CLIENT_TEMPLATE.FAT&amp;display_string=Audit&amp;VAR:KEY=LMBUXEBOXC&amp;VAR:QUERY=RkZfRUJJVERBX09QRVIoQU5OLDIwMDgsLCwsSUNfQ1VSUkVOQ1lfSVNPKCksTSk=&amp;WINDOW=FIRST_POPUP&amp;H","EIGHT=450&amp;WIDTH=450&amp;START_MAXIMIZED=FALSE&amp;VAR:CALENDAR=US&amp;VAR:SYMBOL=711038&amp;VAR:INDEX=0"}</definedName>
    <definedName function="false" hidden="true" name="_453__FDSAUDITLINK__" vbProcedure="false">{"fdsup://Directions/FactSet Auditing Viewer?action=AUDIT_VALUE&amp;DB=129&amp;ID1=573282&amp;VALUEID=01201&amp;SDATE=2009&amp;PERIODTYPE=ANN_STD&amp;window=popup_no_bar&amp;width=385&amp;height=120&amp;START_MAXIMIZED=FALSE&amp;creator=factset&amp;display_string=Audit"}</definedName>
    <definedName function="false" hidden="true" name="_454__FDSAUDITLINK__" vbProcedure="false">{"fdsup://directions/FAT Viewer?action=UPDATE&amp;creator=factset&amp;DYN_ARGS=TRUE&amp;DOC_NAME=FAT:FQL_AUDITING_CLIENT_TEMPLATE.FAT&amp;display_string=Audit&amp;VAR:KEY=VSXAJCBMTU&amp;VAR:QUERY=RkZfRUJJVF9PUEVSKEFOTiwyMDA4LCwsLElDX0NVUlJFTkNZX0lTTygpLE0p&amp;WINDOW=FIRST_POPUP&amp;HEIGH","T=450&amp;WIDTH=450&amp;START_MAXIMIZED=FALSE&amp;VAR:CALENDAR=US&amp;VAR:SYMBOL=711038&amp;VAR:INDEX=0"}</definedName>
    <definedName function="false" hidden="true" name="_455__FDSAUDITLINK__" vbProcedure="false">{"fdsup://directions/FAT Viewer?action=UPDATE&amp;creator=factset&amp;DYN_ARGS=TRUE&amp;DOC_NAME=FAT:FQL_AUDITING_CLIENT_TEMPLATE.FAT&amp;display_string=Audit&amp;VAR:KEY=DWLUDSVEDE&amp;VAR:QUERY=RkZfQ0FQRVgoQU5OLDIwMDksLCwsSUNfQ1VSUkVOQ1lfSVNPKCksTSk=&amp;WINDOW=FIRST_POPUP&amp;HEIGHT=45","0&amp;WIDTH=450&amp;START_MAXIMIZED=FALSE&amp;VAR:CALENDAR=US&amp;VAR:SYMBOL=573282&amp;VAR:INDEX=0"}</definedName>
    <definedName function="false" hidden="true" name="_456__FDSAUDITLINK__" vbProcedure="false">{"fdsup://IBCentral/FAT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457__FDSAUDITLINK__" vbProcedure="false">{"fdsup://IBCentral/FAT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458__FDSAUDITLINK__" vbProcedure="false">{"fdsup://IBCentral/FAT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459__FDSAUDITLINK__" vbProcedure="false">{"fdsup://directions/FAT Viewer?action=UPDATE&amp;creator=factset&amp;DYN_ARGS=TRUE&amp;DOC_NAME=FAT:FQL_AUDITING_CLIENT_TEMPLATE.FAT&amp;display_string=Audit&amp;VAR:KEY=NCZCVCLAHE&amp;VAR:QUERY=RkZfRUJJVF9PUEVSKEFOTiwyMDA5LCwsLElDX0NVUlJFTkNZX0lTTygpLE0p&amp;WINDOW=FIRST_POPUP&amp;HEIGH","T=450&amp;WIDTH=450&amp;START_MAXIMIZED=FALSE&amp;VAR:CALENDAR=US&amp;VAR:SYMBOL=573282&amp;VAR:INDEX=0"}</definedName>
    <definedName function="false" hidden="true" name="_45__123Graph_XCHART_22" vbProcedure="false">#REF!</definedName>
    <definedName function="false" hidden="true" name="_45__FDSAUDITLINK__" vbProcedure="false">{"fdsup://IBCentral/FAT Viewer?action=UPDATE&amp;creator=factset&amp;DOC_NAME=fat:reuters_annual_source_window.fat&amp;display_string=Audit&amp;DYN_ARGS=TRUE&amp;VAR:ID1=30231G10&amp;VAR:RCODE=LTCL&amp;VAR:SDATE=20041299&amp;VAR:FREQ=Y&amp;VAR:RELITEM=RP&amp;VAR:CURRENCY=&amp;VAR:CURRSOURCE=EXSHARE&amp;V","AR:NATFREQ=ANNUAL&amp;VAR:RFIELD=FINALIZED&amp;VAR:DB_TYPE=&amp;VAR:UNITS=M&amp;window=popup&amp;width=450&amp;height=300&amp;START_MAXIMIZED=FALSE"}</definedName>
    <definedName function="false" hidden="true" name="_45__FDSAUDITLINK___1" vbProcedure="false">{"fdsup://IBCentral/FAT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5__FDSAUDITLINK___2" vbProcedure="false">{"fdsup://IBCentral/FAT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function="false" hidden="true" name="_460__FDSAUDITLINK__" vbProcedure="false">{"fdsup://Directions/FactSet Auditing Viewer?action=AUDIT_VALUE&amp;DB=129&amp;ID1=711038&amp;VALUEID=05194&amp;SDATE=2009&amp;PERIODTYPE=ANNR_STD&amp;window=popup_no_bar&amp;width=385&amp;height=120&amp;START_MAXIMIZED=FALSE&amp;creator=factset&amp;display_string=Audit"}</definedName>
    <definedName function="false" hidden="true" name="_461__FDSAUDITLINK__" vbProcedure="false">{"fdsup://directions/FAT Viewer?action=UPDATE&amp;creator=factset&amp;DYN_ARGS=TRUE&amp;DOC_NAME=FAT:FQL_AUDITING_CLIENT_TEMPLATE.FAT&amp;display_string=Audit&amp;VAR:KEY=SDCNCBSJOP&amp;VAR:QUERY=RkZfQ0FQRVgoQU5OLDIwMDksLCwsSUNfQ1VSUkVOQ1lfSVNPKCksTSk=&amp;WINDOW=FIRST_POPUP&amp;HEIGHT=45","0&amp;WIDTH=450&amp;START_MAXIMIZED=FALSE&amp;VAR:CALENDAR=US&amp;VAR:SYMBOL=09057220&amp;VAR:INDEX=0"}</definedName>
    <definedName function="false" hidden="true" name="_462__FDSAUDITLINK__" vbProcedure="false">{"fdsup://directions/FAT Viewer?action=UPDATE&amp;creator=factset&amp;DYN_ARGS=TRUE&amp;DOC_NAME=FAT:FQL_AUDITING_CLIENT_TEMPLATE.FAT&amp;display_string=Audit&amp;VAR:KEY=LITCLUNOTS&amp;VAR:QUERY=RkZfRUJJVERBX09QRVIoQU5OLDIwMDksLCwsSUNfQ1VSUkVOQ1lfSVNPKCksTSk=&amp;WINDOW=FIRST_POPUP&amp;H","EIGHT=450&amp;WIDTH=450&amp;START_MAXIMIZED=FALSE&amp;VAR:CALENDAR=US&amp;VAR:SYMBOL=573282&amp;VAR:INDEX=0"}</definedName>
    <definedName function="false" hidden="true" name="_463__FDSAUDITLINK__" vbProcedure="false">{"fdsup://Directions/FactSet Auditing Viewer?action=AUDIT_VALUE&amp;DB=129&amp;ID1=573282&amp;VALUEID=01001&amp;SDATE=2009&amp;PERIODTYPE=ANN_STD&amp;window=popup_no_bar&amp;width=385&amp;height=120&amp;START_MAXIMIZED=FALSE&amp;creator=factset&amp;display_string=Audit"}</definedName>
    <definedName function="false" hidden="true" name="_464__FDSAUDITLINK__" vbProcedure="false">{"fdsup://Directions/FactSet Auditing Viewer?action=AUDIT_VALUE&amp;DB=129&amp;ID1=711038&amp;VALUEID=05194&amp;SDATE=2008&amp;PERIODTYPE=ANNR_STD&amp;window=popup_no_bar&amp;width=385&amp;height=120&amp;START_MAXIMIZED=FALSE&amp;creator=factset&amp;display_string=Audit"}</definedName>
    <definedName function="false" hidden="true" name="_465__FDSAUDITLINK__" vbProcedure="false">{"fdsup://directions/FAT Viewer?action=UPDATE&amp;creator=factset&amp;DYN_ARGS=TRUE&amp;DOC_NAME=FAT:FQL_AUDITING_CLIENT_TEMPLATE.FAT&amp;display_string=Audit&amp;VAR:KEY=VUZWTWFIDY&amp;VAR:QUERY=RkZfSU5UX0VYUF9ORVQoTFRNUywwLCwsLElDX0NVUlJFTkNZX0lTTygpKQ==&amp;WINDOW=FIRST_POPUP&amp;HEIGH","T=450&amp;WIDTH=450&amp;START_MAXIMIZED=FALSE&amp;VAR:CALENDAR=US&amp;VAR:SYMBOL=573282&amp;VAR:INDEX=0"}</definedName>
    <definedName function="false" hidden="true" name="_466__FDSAUDITLINK__" vbProcedure="false">{"fdsup://directions/FAT Viewer?action=UPDATE&amp;creator=factset&amp;DYN_ARGS=TRUE&amp;DOC_NAME=FAT:FQL_AUDITING_CLIENT_TEMPLATE.FAT&amp;display_string=Audit&amp;VAR:KEY=LGFSFCRQRO&amp;VAR:QUERY=RkZfSU5UX0VYUF9ORVQoTFRNUywwLCwsLElDX0NVUlJFTkNZX0lTTygpKQ==&amp;WINDOW=FIRST_POPUP&amp;HEIGH","T=450&amp;WIDTH=450&amp;START_MAXIMIZED=FALSE&amp;VAR:CALENDAR=US&amp;VAR:SYMBOL=711038&amp;VAR:INDEX=0"}</definedName>
    <definedName function="false" hidden="true" name="_467__FDSAUDITLINK__" vbProcedure="false">{"fdsup://directions/FAT Viewer?action=UPDATE&amp;creator=factset&amp;DYN_ARGS=TRUE&amp;DOC_NAME=FAT:FQL_AUDITING_CLIENT_TEMPLATE.FAT&amp;display_string=Audit&amp;VAR:KEY=PUZWZIXEFW&amp;VAR:QUERY=RkZfTkVUX0lOQyhMVE1TLDAsLCwsSUNfQ1VSUkVOQ1lfSVNPKCkp&amp;WINDOW=FIRST_POPUP&amp;HEIGHT=450&amp;WI","DTH=450&amp;START_MAXIMIZED=FALSE&amp;VAR:CALENDAR=US&amp;VAR:SYMBOL=573282&amp;VAR:INDEX=0"}</definedName>
    <definedName function="false" hidden="true" name="_468__FDSAUDITLINK__" vbProcedure="false">{"fdsup://directions/FAT Viewer?action=UPDATE&amp;creator=factset&amp;DYN_ARGS=TRUE&amp;DOC_NAME=FAT:FQL_AUDITING_CLIENT_TEMPLATE.FAT&amp;display_string=Audit&amp;VAR:KEY=VOLSTMTKNK&amp;VAR:QUERY=RkZfRUJJVF9PUEVSKExUTVNfU0VNSSwwLCwsLElDX0NVUlJFTkNZX0lTTygpKQ==&amp;WINDOW=FIRST_POPUP&amp;H","EIGHT=450&amp;WIDTH=450&amp;START_MAXIMIZED=FALSE&amp;VAR:CALENDAR=US&amp;VAR:SYMBOL=711038&amp;VAR:INDEX=0"}</definedName>
    <definedName function="false" hidden="true" name="_469__FDSAUDITLINK__" vbProcedure="false">{"fdsup://directions/FAT Viewer?action=UPDATE&amp;creator=factset&amp;DYN_ARGS=TRUE&amp;DOC_NAME=FAT:FQL_AUDITING_CLIENT_TEMPLATE.FAT&amp;display_string=Audit&amp;VAR:KEY=VGVGHMXWZE&amp;VAR:QUERY=RkZfRUJJVF9PUEVSKExUTVMsMCwsLCxJQ19DVVJSRU5DWV9JU08oKSk=&amp;WINDOW=FIRST_POPUP&amp;HEIGHT=45","0&amp;WIDTH=450&amp;START_MAXIMIZED=FALSE&amp;VAR:CALENDAR=US&amp;VAR:SYMBOL=573282&amp;VAR:INDEX=0"}</definedName>
    <definedName function="false" hidden="true" name="_46__123Graph_ACHART_1" vbProcedure="false">#N/A</definedName>
    <definedName function="false" hidden="true" name="_46__123Graph_XCHART_23" vbProcedure="false">#REF!</definedName>
    <definedName function="false" hidden="true" name="_46__FDSAUDITLINK__" vbProcedure="false">{"fdsup://IBCentral/FAT Viewer?action=UPDATE&amp;creator=factset&amp;DOC_NAME=fat:reuters_annual_source_window.fat&amp;display_string=Audit&amp;DYN_ARGS=TRUE&amp;VAR:ID1=30231G10&amp;VAR:RCODE=LTCL&amp;VAR:SDATE=20031299&amp;VAR:FREQ=Y&amp;VAR:RELITEM=RP&amp;VAR:CURRENCY=&amp;VAR:CURRSOURCE=EXSHARE&amp;V","AR:NATFREQ=ANNUAL&amp;VAR:RFIELD=FINALIZED&amp;VAR:DB_TYPE=&amp;VAR:UNITS=M&amp;window=popup&amp;width=450&amp;height=300&amp;START_MAXIMIZED=FALSE"}</definedName>
    <definedName function="false" hidden="true" name="_46__FDSAUDITLINK___1" vbProcedure="false">{"fdsup://IBCentral/FAT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function="false" hidden="true" name="_46__FDSAUDITLINK___2" vbProcedure="false">{"fdsup://IBCentral/FAT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function="false" hidden="true" name="_470__FDSAUDITLINK__" vbProcedure="false">{"fdsup://Directions/FactSet Auditing Viewer?action=AUDIT_VALUE&amp;DB=129&amp;ID1=711038&amp;VALUEID=01250&amp;SDATE=2009&amp;PERIODTYPE=ANN_STD&amp;window=popup_no_bar&amp;width=385&amp;height=120&amp;START_MAXIMIZED=FALSE&amp;creator=factset&amp;display_string=Audit"}</definedName>
    <definedName function="false" hidden="true" name="_471__FDSAUDITLINK__" vbProcedure="false">{"fdsup://directions/FAT Viewer?action=UPDATE&amp;creator=factset&amp;DYN_ARGS=TRUE&amp;DOC_NAME=FAT:FQL_AUDITING_CLIENT_TEMPLATE.FAT&amp;display_string=Audit&amp;VAR:KEY=RARYBQFIJE&amp;VAR:QUERY=RkZfRUJJVERBX09QRVIoTFRNUywwLCwsLElDX0NVUlJFTkNZX0lTTygpKQ==&amp;WINDOW=FIRST_POPUP&amp;HEIGH","T=450&amp;WIDTH=450&amp;START_MAXIMIZED=FALSE&amp;VAR:CALENDAR=US&amp;VAR:SYMBOL=573282&amp;VAR:INDEX=0"}</definedName>
    <definedName function="false" hidden="true" name="_472__FDSAUDITLINK__" vbProcedure="false">{"fdsup://Directions/FactSet Auditing Viewer?action=AUDIT_VALUE&amp;DB=129&amp;ID1=711038&amp;VALUEID=01151&amp;SDATE=2009&amp;PERIODTYPE=ANN_STD&amp;window=popup_no_bar&amp;width=385&amp;height=120&amp;START_MAXIMIZED=FALSE&amp;creator=factset&amp;display_string=Audit"}</definedName>
    <definedName function="false" hidden="true" name="_473__FDSAUDITLINK__" vbProcedure="false">{"fdsup://Directions/FactSet Auditing Viewer?action=AUDIT_VALUE&amp;DB=129&amp;ID1=573282&amp;VALUEID=01001&amp;SDATE=2010&amp;PERIODTYPE=ANN_STD&amp;window=popup_no_bar&amp;width=385&amp;height=120&amp;START_MAXIMIZED=FALSE&amp;creator=factset&amp;display_string=Audit"}</definedName>
    <definedName function="false" hidden="true" name="_474__FDSAUDITLINK__" vbProcedure="false">{"fdsup://IBCentral/FAT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function="false" hidden="true" name="_475__FDSAUDITLINK__" vbProcedure="false">{"fdsup://directions/FAT Viewer?action=UPDATE&amp;creator=factset&amp;DYN_ARGS=TRUE&amp;DOC_NAME=FAT:FQL_AUDITING_CLIENT_TEMPLATE.FAT&amp;display_string=Audit&amp;VAR:KEY=ZUBCTCXMFE&amp;VAR:QUERY=RkZfRUJJVF9PUEVSKEFOTiwyMDA4LCwsLElDX0NVUlJFTkNZX0lTTygpLE0p&amp;WINDOW=FIRST_POPUP&amp;HEIGH","T=450&amp;WIDTH=450&amp;START_MAXIMIZED=FALSE&amp;VAR:CALENDAR=US&amp;VAR:SYMBOL=573282&amp;VAR:INDEX=0"}</definedName>
    <definedName function="false" hidden="true" name="_476__FDSAUDITLINK__" vbProcedure="false">{"fdsup://Directions/FactSet Auditing Viewer?action=AUDIT_VALUE&amp;DB=129&amp;ID1=573282&amp;VALUEID=01250&amp;SDATE=2008&amp;PERIODTYPE=ANN_STD&amp;window=popup_no_bar&amp;width=385&amp;height=120&amp;START_MAXIMIZED=FALSE&amp;creator=factset&amp;display_string=Audit"}</definedName>
    <definedName function="false" hidden="true" name="_477__FDSAUDITLINK__" vbProcedure="false">{"fdsup://directions/FAT Viewer?action=UPDATE&amp;creator=factset&amp;DYN_ARGS=TRUE&amp;DOC_NAME=FAT:FQL_AUDITING_CLIENT_TEMPLATE.FAT&amp;display_string=Audit&amp;VAR:KEY=HMHATSTUNI&amp;VAR:QUERY=RkZfRUJJVERBX09QRVIoQU5OLDIwMTAsLCwsSUNfQ1VSUkVOQ1lfSVNPKCksTSk=&amp;WINDOW=FIRST_POPUP&amp;H","EIGHT=450&amp;WIDTH=450&amp;START_MAXIMIZED=FALSE&amp;VAR:CALENDAR=US&amp;VAR:SYMBOL=B01MJR&amp;VAR:INDEX=0"}</definedName>
    <definedName function="false" hidden="true" name="_478__FDSAUDITLINK__" vbProcedure="false">{"fdsup://directions/FAT Viewer?action=UPDATE&amp;creator=factset&amp;DYN_ARGS=TRUE&amp;DOC_NAME=FAT:FQL_AUDITING_CLIENT_TEMPLATE.FAT&amp;display_string=Audit&amp;VAR:KEY=XMTCJQZGLS&amp;VAR:QUERY=RkZfQ0FQRVgoQU5OLDIwMDgsLCwsSUNfQ1VSUkVOQ1lfSVNPKCksTSk=&amp;WINDOW=FIRST_POPUP&amp;HEIGHT=45","0&amp;WIDTH=450&amp;START_MAXIMIZED=FALSE&amp;VAR:CALENDAR=US&amp;VAR:SYMBOL=573282&amp;VAR:INDEX=0"}</definedName>
    <definedName function="false" hidden="true" name="_479__FDSAUDITLINK__" vbProcedure="false">{"fdsup://directions/FAT Viewer?action=UPDATE&amp;creator=factset&amp;DYN_ARGS=TRUE&amp;DOC_NAME=FAT:FQL_AUDITING_CLIENT_TEMPLATE.FAT&amp;display_string=Audit&amp;VAR:KEY=NWXGVSLGPO&amp;VAR:QUERY=RkZfRUJJVERBX09QRVIoQU5OLDIwMDgsLCwsSUNfQ1VSUkVOQ1lfSVNPKCksTSk=&amp;WINDOW=FIRST_POPUP&amp;H","EIGHT=450&amp;WIDTH=450&amp;START_MAXIMIZED=FALSE&amp;VAR:CALENDAR=US&amp;VAR:SYMBOL=B01MJR&amp;VAR:INDEX=0"}</definedName>
    <definedName function="false" hidden="true" name="_47__123Graph_ACHART_2" vbProcedure="false">#REF!</definedName>
    <definedName function="false" hidden="true" name="_47__123Graph_XCHART_25" vbProcedure="false">#REF!</definedName>
    <definedName function="false" hidden="true" name="_47__FDSAUDITLINK__" vbProcedure="false">{"fdsup://IBCentral/FAT Viewer?action=UPDATE&amp;creator=factset&amp;DOC_NAME=fat:reuters_annual_source_window.fat&amp;display_string=Audit&amp;DYN_ARGS=TRUE&amp;VAR:ID1=30231G10&amp;VAR:RCODE=FDSACCTPAY&amp;VAR:SDATE=20071299&amp;VAR:FREQ=Y&amp;VAR:RELITEM=RP&amp;VAR:CURRENCY=&amp;VAR:CURRSOURCE=EXS","HARE&amp;VAR:NATFREQ=ANNUAL&amp;VAR:RFIELD=FINALIZED&amp;VAR:DB_TYPE=&amp;VAR:UNITS=M&amp;window=popup&amp;width=450&amp;height=300&amp;START_MAXIMIZED=FALSE"}</definedName>
    <definedName function="false" hidden="true" name="_47__FDSAUDITLINK___1" vbProcedure="false">{"fdsup://IBCentral/FAT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function="false" hidden="true" name="_47__FDSAUDITLINK___2" vbProcedure="false">{"fdsup://IBCentral/FAT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function="false" hidden="true" name="_480__FDSAUDITLINK__" vbProcedure="false">{"fdsup://Directions/FactSet Auditing Viewer?action=AUDIT_VALUE&amp;DB=129&amp;ID1=573282&amp;VALUEID=01201&amp;SDATE=2008&amp;PERIODTYPE=ANN_STD&amp;window=popup_no_bar&amp;width=385&amp;height=120&amp;START_MAXIMIZED=FALSE&amp;creator=factset&amp;display_string=Audit"}</definedName>
    <definedName function="false" hidden="true" name="_481__FDSAUDITLINK__" vbProcedure="false">{"fdsup://Directions/FactSet Auditing Viewer?action=AUDIT_VALUE&amp;DB=129&amp;ID1=573282&amp;VALUEID=04831&amp;SDATE=2008&amp;PERIODTYPE=ANN_STD&amp;window=popup_no_bar&amp;width=385&amp;height=120&amp;START_MAXIMIZED=FALSE&amp;creator=factset&amp;display_string=Audit"}</definedName>
    <definedName function="false" hidden="true" name="_482__FDSAUDITLINK__" vbProcedure="false">{"fdsup://Directions/FactSet Auditing Viewer?action=AUDIT_VALUE&amp;DB=129&amp;ID1=573282&amp;VALUEID=05194&amp;SDATE=2010&amp;PERIODTYPE=ANNR_STD&amp;window=popup_no_bar&amp;width=385&amp;height=120&amp;START_MAXIMIZED=FALSE&amp;creator=factset&amp;display_string=Audit"}</definedName>
    <definedName function="false" hidden="true" name="_483__FDSAUDITLINK__" vbProcedure="false">{"fdsup://Directions/FactSet Auditing Viewer?action=AUDIT_VALUE&amp;DB=129&amp;ID1=573282&amp;VALUEID=05194&amp;SDATE=2008&amp;PERIODTYPE=ANNR_STD&amp;window=popup_no_bar&amp;width=385&amp;height=120&amp;START_MAXIMIZED=FALSE&amp;creator=factset&amp;display_string=Audit"}</definedName>
    <definedName function="false" hidden="true" name="_484__FDSAUDITLINK__" vbProcedure="false">{"fdsup://Directions/FactSet Auditing Viewer?action=AUDIT_VALUE&amp;DB=129&amp;ID1=573282&amp;VALUEID=04831&amp;SDATE=2009&amp;PERIODTYPE=ANN_STD&amp;window=popup_no_bar&amp;width=385&amp;height=120&amp;START_MAXIMIZED=FALSE&amp;creator=factset&amp;display_string=Audit"}</definedName>
    <definedName function="false" hidden="true" name="_485__FDSAUDITLINK__" vbProcedure="false">{"fdsup://directions/FAT Viewer?action=UPDATE&amp;creator=factset&amp;DYN_ARGS=TRUE&amp;DOC_NAME=FAT:FQL_AUDITING_CLIENT_TEMPLATE.FAT&amp;display_string=Audit&amp;VAR:KEY=HYTCBGLMZY&amp;VAR:QUERY=RkZfQ0FQRVgoQU5OLDIwMDksLCwsSUNfQ1VSUkVOQ1lfSVNPKCksTSk=&amp;WINDOW=FIRST_POPUP&amp;HEIGHT=45","0&amp;WIDTH=450&amp;START_MAXIMIZED=FALSE&amp;VAR:CALENDAR=US&amp;VAR:SYMBOL=B01MJR&amp;VAR:INDEX=0"}</definedName>
    <definedName function="false" hidden="true" name="_486__FDSAUDITLINK__" vbProcedure="false">{"fdsup://directions/FAT Viewer?action=UPDATE&amp;creator=factset&amp;DYN_ARGS=TRUE&amp;DOC_NAME=FAT:FQL_AUDITING_CLIENT_TEMPLATE.FAT&amp;display_string=Audit&amp;VAR:KEY=EXILIJEPAH&amp;VAR:QUERY=RkZfRUJJVERBX09QRVIoQU5OLDM5ODEzLCwsLElDX0NVUlJFTkNZX0lTTygpLE0p&amp;WINDOW=FIRST_POPUP&amp;H","EIGHT=450&amp;WIDTH=450&amp;START_MAXIMIZED=FALSE&amp;VAR:CALENDAR=US&amp;VAR:SYMBOL=00282410&amp;VAR:INDEX=0"}</definedName>
    <definedName function="false" hidden="true" name="_487__FDSAUDITLINK__" vbProcedure="false">{"fdsup://directions/FAT Viewer?action=UPDATE&amp;creator=factset&amp;DYN_ARGS=TRUE&amp;DOC_NAME=FAT:FQL_AUDITING_CLIENT_TEMPLATE.FAT&amp;display_string=Audit&amp;VAR:KEY=PIHUTMLERG&amp;VAR:QUERY=RkZfSU5UX0VYUF9ORVQoTFRNUywwLCwsLElDX0NVUlJFTkNZX0lTTygpKQ==&amp;WINDOW=FIRST_POPUP&amp;HEIGH","T=450&amp;WIDTH=450&amp;START_MAXIMIZED=FALSE&amp;VAR:CALENDAR=US&amp;VAR:SYMBOL=B01MJR&amp;VAR:INDEX=0"}</definedName>
    <definedName function="false" hidden="true" name="_488__FDSAUDITLINK__" vbProcedure="false">{"fdsup://Directions/FactSet Auditing Viewer?action=AUDIT_VALUE&amp;DB=129&amp;ID1=95530610&amp;VALUEID=01151&amp;SDATE=2010&amp;PERIODTYPE=ANNR_STD&amp;SCFT=3&amp;window=popup_no_bar&amp;width=385&amp;height=120&amp;START_MAXIMIZED=FALSE&amp;creator=factset&amp;display_string=Audit"}</definedName>
    <definedName function="false" hidden="true" name="_489__FDSAUDITLINK__" vbProcedure="false">{"fdsup://directions/FAT Viewer?action=UPDATE&amp;creator=factset&amp;DYN_ARGS=TRUE&amp;DOC_NAME=FAT:FQL_AUDITING_CLIENT_TEMPLATE.FAT&amp;display_string=Audit&amp;VAR:KEY=WHWNMDCJUB&amp;VAR:QUERY=RkZfQ0FQRVgoQU5OLDIwMTAsLCwsSUNfQ1VSUkVOQ1lfSVNPKCksTSk=&amp;WINDOW=FIRST_POPUP&amp;HEIGHT=45","0&amp;WIDTH=450&amp;START_MAXIMIZED=FALSE&amp;VAR:CALENDAR=US&amp;VAR:SYMBOL=09057220&amp;VAR:INDEX=0"}</definedName>
    <definedName function="false" hidden="true" name="_48__123Graph_XCHART_28" vbProcedure="false">#REF!</definedName>
    <definedName function="false" hidden="true" name="_48__FDSAUDITLINK__" vbProcedure="false">{"fdsup://IBCentral/FAT Viewer?action=UPDATE&amp;creator=factset&amp;DOC_NAME=fat:reuters_annual_source_window.fat&amp;display_string=Audit&amp;DYN_ARGS=TRUE&amp;VAR:ID1=30231G10&amp;VAR:RCODE=FDSACCTPAY&amp;VAR:SDATE=20061299&amp;VAR:FREQ=Y&amp;VAR:RELITEM=RP&amp;VAR:CURRENCY=&amp;VAR:CURRSOURCE=EXS","HARE&amp;VAR:NATFREQ=ANNUAL&amp;VAR:RFIELD=FINALIZED&amp;VAR:DB_TYPE=&amp;VAR:UNITS=M&amp;window=popup&amp;width=450&amp;height=300&amp;START_MAXIMIZED=FALSE"}</definedName>
    <definedName function="false" hidden="true" name="_490__FDSAUDITLINK__" vbProcedure="false">{"fdsup://directions/FAT Viewer?action=UPDATE&amp;creator=factset&amp;DYN_ARGS=TRUE&amp;DOC_NAME=FAT:FQL_AUDITING_CLIENT_TEMPLATE.FAT&amp;display_string=Audit&amp;VAR:KEY=QPIDYPWNIH&amp;VAR:QUERY=RkZfRUJJVERBX09QRVIoQU5OLDIwMDgsLCwsSUNfQ1VSUkVOQ1lfSVNPKCksTSk=&amp;WINDOW=FIRST_POPUP&amp;H","EIGHT=450&amp;WIDTH=450&amp;START_MAXIMIZED=FALSE&amp;VAR:CALENDAR=US&amp;VAR:SYMBOL=09057220&amp;VAR:INDEX=0"}</definedName>
    <definedName function="false" hidden="true" name="_491__FDSAUDITLINK__" vbProcedure="false">{"fdsup://Directions/FactSet Auditing Viewer?action=AUDIT_VALUE&amp;DB=129&amp;ID1=B01MJR&amp;VALUEID=01250&amp;SDATE=2009&amp;PERIODTYPE=ANN_STD&amp;window=popup_no_bar&amp;width=385&amp;height=120&amp;START_MAXIMIZED=FALSE&amp;creator=factset&amp;display_string=Audit"}</definedName>
    <definedName function="false" hidden="true" name="_492__FDSAUDITLINK__" vbProcedure="false">{"fdsup://Directions/FactSet Auditing Viewer?action=AUDIT_VALUE&amp;DB=129&amp;ID1=092528&amp;VALUEID=01201&amp;SDATE=2008&amp;PERIODTYPE=ANN_STD&amp;window=popup_no_bar&amp;width=385&amp;height=120&amp;START_MAXIMIZED=FALSE&amp;creator=factset&amp;display_string=Audit"}</definedName>
    <definedName function="false" hidden="true" name="_493__FDSAUDITLINK__" vbProcedure="false">{"fdsup://Directions/FactSet Auditing Viewer?action=AUDIT_VALUE&amp;DB=129&amp;ID1=B01MJR&amp;VALUEID=01151&amp;SDATE=2009&amp;PERIODTYPE=ANN_STD&amp;window=popup_no_bar&amp;width=385&amp;height=120&amp;START_MAXIMIZED=FALSE&amp;creator=factset&amp;display_string=Audit"}</definedName>
    <definedName function="false" hidden="true" name="_494__FDSAUDITLINK__" vbProcedure="false">{"fdsup://directions/FAT Viewer?action=UPDATE&amp;creator=factset&amp;DYN_ARGS=TRUE&amp;DOC_NAME=FAT:FQL_AUDITING_CLIENT_TEMPLATE.FAT&amp;display_string=Audit&amp;VAR:KEY=CJIVWPOBCB&amp;VAR:QUERY=RkZfRUJJVERBX09QRVIoQU5OLDIwMDgsLCwsSUNfQ1VSUkVOQ1lfSVNPKCksTSk=&amp;WINDOW=FIRST_POPUP&amp;H","EIGHT=450&amp;WIDTH=450&amp;START_MAXIMIZED=FALSE&amp;VAR:CALENDAR=US&amp;VAR:SYMBOL=711038&amp;VAR:INDEX=0"}</definedName>
    <definedName function="false" hidden="true" name="_495__FDSAUDITLINK__" vbProcedure="false">{"fdsup://Directions/FactSet Auditing Viewer?action=AUDIT_VALUE&amp;DB=129&amp;ID1=B01MJR&amp;VALUEID=01001&amp;SDATE=2009&amp;PERIODTYPE=ANN_STD&amp;window=popup_no_bar&amp;width=385&amp;height=120&amp;START_MAXIMIZED=FALSE&amp;creator=factset&amp;display_string=Audit"}</definedName>
    <definedName function="false" hidden="true" name="_496__FDSAUDITLINK__" vbProcedure="false">{"fdsup://IBCentral/FAT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function="false" hidden="true" name="_497__FDSAUDITLINK__" vbProcedure="false">{"fdsup://IBCentral/FAT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498__FDSAUDITLINK__" vbProcedure="false">{"fdsup://Directions/FactSet Auditing Viewer?action=AUDIT_VALUE&amp;DB=129&amp;ID1=711038&amp;VALUEID=04831&amp;SDATE=2008&amp;PERIODTYPE=ANN_STD&amp;window=popup_no_bar&amp;width=385&amp;height=120&amp;START_MAXIMIZED=FALSE&amp;creator=factset&amp;display_string=Audit"}</definedName>
    <definedName function="false" hidden="true" name="_499__FDSAUDITLINK__" vbProcedure="false">{"fdsup://Directions/FactSet Auditing Viewer?action=AUDIT_VALUE&amp;DB=129&amp;ID1=09057220&amp;VALUEID=02001&amp;SDATE=201003&amp;PERIODTYPE=QTR_STD&amp;window=popup_no_bar&amp;width=385&amp;height=120&amp;START_MAXIMIZED=FALSE&amp;creator=factset&amp;display_string=Audit"}</definedName>
    <definedName function="false" hidden="true" name="_49__123Graph_BCHART_1" vbProcedure="false">#N/A</definedName>
    <definedName function="false" hidden="true" name="_49__FDSAUDITLINK__" vbProcedure="false">{"fdsup://IBCentral/FAT Viewer?action=UPDATE&amp;creator=factset&amp;DOC_NAME=fat:reuters_annual_source_window.fat&amp;display_string=Audit&amp;DYN_ARGS=TRUE&amp;VAR:ID1=30231G10&amp;VAR:RCODE=FDSACCTPAY&amp;VAR:SDATE=20051299&amp;VAR:FREQ=Y&amp;VAR:RELITEM=RP&amp;VAR:CURRENCY=&amp;VAR:CURRSOURCE=EXS","HARE&amp;VAR:NATFREQ=ANNUAL&amp;VAR:RFIELD=FINALIZED&amp;VAR:DB_TYPE=&amp;VAR:UNITS=M&amp;window=popup&amp;width=450&amp;height=300&amp;START_MAXIMIZED=FALSE"}</definedName>
    <definedName function="false" hidden="true" name="_4__123Graph_ACHART_1" vbProcedure="false">#REF!</definedName>
    <definedName function="false" hidden="true" name="_4__123Graph_ACHART_12" vbProcedure="false">#REF!</definedName>
    <definedName function="false" hidden="true" name="_4__123Graph_ACHART_2" vbProcedure="false">#REF!</definedName>
    <definedName function="false" hidden="true" name="_4__123Graph_CCHART_1" vbProcedure="false">#REF!</definedName>
    <definedName function="false" hidden="true" name="_4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definedName>
    <definedName function="false" hidden="true" name="_4__FDSAUDITLINK___1" vbProcedure="false">{"fdsup://directions/FAT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function="false" hidden="true" name="_4__FDSAUDITLINK___2" vbProcedure="false">{"fdsup://directions/FAT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function="false" hidden="true" name="_500__FDSAUDITLINK__" vbProcedure="false">{"fdsup://directions/FAT Viewer?action=UPDATE&amp;creator=factset&amp;DYN_ARGS=TRUE&amp;DOC_NAME=FAT:FQL_AUDITING_CLIENT_TEMPLATE.FAT&amp;display_string=Audit&amp;VAR:KEY=PCZWDEPONM&amp;VAR:QUERY=RkZfRUJJVERBX09QRVIoQU5OLDIwMTAsLCwsSUNfQ1VSUkVOQ1lfSVNPKCksTSk=&amp;WINDOW=FIRST_POPUP&amp;H","EIGHT=450&amp;WIDTH=450&amp;START_MAXIMIZED=FALSE&amp;VAR:CALENDAR=US&amp;VAR:SYMBOL=573282&amp;VAR:INDEX=0"}</definedName>
    <definedName function="false" hidden="true" name="_501__FDSAUDITLINK__" vbProcedure="false">{"fdsup://Directions/FactSet Auditing Viewer?action=AUDIT_VALUE&amp;DB=129&amp;ID1=573282&amp;VALUEID=01151&amp;SDATE=2010&amp;PERIODTYPE=ANN_STD&amp;window=popup_no_bar&amp;width=385&amp;height=120&amp;START_MAXIMIZED=FALSE&amp;creator=factset&amp;display_string=Audit"}</definedName>
    <definedName function="false" hidden="true" name="_502__FDSAUDITLINK__" vbProcedure="false">{"fdsup://IBCentral/FAT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503__FDSAUDITLINK__" vbProcedure="false">{"fdsup://IBCentral/FAT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function="false" hidden="true" name="_504__FDSAUDITLINK__" vbProcedure="false">{"fdsup://IBCentral/FAT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505__FDSAUDITLINK__" vbProcedure="false">{"fdsup://IBCentral/FAT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506__FDSAUDITLINK__" vbProcedure="false">{"fdsup://IBCentral/FAT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507__FDSAUDITLINK__" vbProcedure="false">{"fdsup://IBCentral/FAT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508__FDSAUDITLINK__" vbProcedure="false">{"fdsup://IBCentral/FAT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function="false" hidden="true" name="_509__FDSAUDITLINK__" vbProcedure="false">{"fdsup://IBCentral/FAT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50__123Graph_BCHART_2" vbProcedure="false">#REF!</definedName>
    <definedName function="false" hidden="true" name="_50__123Graph_XCHART_3" vbProcedure="false">#REF!</definedName>
    <definedName function="false" hidden="true" name="_50__FDSAUDITLINK__" vbProcedure="false">{"fdsup://IBCentral/FAT Viewer?action=UPDATE&amp;creator=factset&amp;DOC_NAME=fat:reuters_annual_source_window.fat&amp;display_string=Audit&amp;DYN_ARGS=TRUE&amp;VAR:ID1=30231G10&amp;VAR:RCODE=FDSACCTPAY&amp;VAR:SDATE=20041299&amp;VAR:FREQ=Y&amp;VAR:RELITEM=RP&amp;VAR:CURRENCY=&amp;VAR:CURRSOURCE=EXS","HARE&amp;VAR:NATFREQ=ANNUAL&amp;VAR:RFIELD=FINALIZED&amp;VAR:DB_TYPE=&amp;VAR:UNITS=M&amp;window=popup&amp;width=450&amp;height=300&amp;START_MAXIMIZED=FALSE"}</definedName>
    <definedName function="false" hidden="true" name="_510__FDSAUDITLINK__" vbProcedure="false">{"fdsup://IBCentral/FAT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511__FDSAUDITLINK__" vbProcedure="false">{"fdsup://IBCentral/FAT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512__FDSAUDITLINK__" vbProcedure="false">{"fdsup://IBCentral/FAT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513__FDSAUDITLINK__" vbProcedure="false">{"fdsup://IBCentral/FAT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function="false" hidden="true" name="_514__FDSAUDITLINK__" vbProcedure="false">{"fdsup://IBCentral/FAT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515__FDSAUDITLINK__" vbProcedure="false">{"fdsup://IBCentral/FAT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516__FDSAUDITLINK__" vbProcedure="false">{"fdsup://IBCentral/FAT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517__FDSAUDITLINK__" vbProcedure="false">{"fdsup://IBCentral/FAT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518__FDSAUDITLINK__" vbProcedure="false">{"fdsup://IBCentral/FAT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519__FDSAUDITLINK__" vbProcedure="false">{"fdsup://IBCentral/FAT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function="false" hidden="true" name="_51__123Graph_XCHART_30" vbProcedure="false">#REF!</definedName>
    <definedName function="false" hidden="true" name="_51__FDSAUDITLINK__" vbProcedure="false">{"fdsup://IBCentral/FAT Viewer?action=UPDATE&amp;creator=factset&amp;DOC_NAME=fat:reuters_annual_source_window.fat&amp;display_string=Audit&amp;DYN_ARGS=TRUE&amp;VAR:ID1=30231G10&amp;VAR:RCODE=FDSACCTPAY&amp;VAR:SDATE=20031299&amp;VAR:FREQ=Y&amp;VAR:RELITEM=RP&amp;VAR:CURRENCY=&amp;VAR:CURRSOURCE=EXS","HARE&amp;VAR:NATFREQ=ANNUAL&amp;VAR:RFIELD=FINALIZED&amp;VAR:DB_TYPE=&amp;VAR:UNITS=M&amp;window=popup&amp;width=450&amp;height=300&amp;START_MAXIMIZED=FALSE"}</definedName>
    <definedName function="false" hidden="true" name="_520__FDSAUDITLINK__" vbProcedure="false">{"fdsup://IBCentral/FAT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function="false" hidden="true" name="_521__FDSAUDITLINK__" vbProcedure="false">{"fdsup://IBCentral/FAT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522__FDSAUDITLINK__" vbProcedure="false">{"fdsup://IBCentral/FAT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523__FDSAUDITLINK__" vbProcedure="false">{"fdsup://IBCentral/FAT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524__FDSAUDITLINK__" vbProcedure="false">{"fdsup://IBCentral/FAT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function="false" hidden="true" name="_525__FDSAUDITLINK__" vbProcedure="false">{"fdsup://IBCentral/FAT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function="false" hidden="true" name="_526__FDSAUDITLINK__" vbProcedure="false">{"fdsup://IBCentral/FAT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function="false" hidden="true" name="_527__FDSAUDITLINK__" vbProcedure="false">{"fdsup://IBCentral/FAT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function="false" hidden="true" name="_528__FDSAUDITLINK__" vbProcedure="false">{"fdsup://IBCentral/FAT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29__FDSAUDITLINK__" vbProcedure="false">{"fdsup://IBCentral/FAT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function="false" hidden="true" name="_52__123Graph_DCHART_1" vbProcedure="false">#N/A</definedName>
    <definedName function="false" hidden="true" name="_52__FDSAUDITLINK__" vbProcedure="false">{"fdsup://IBCentral/FAT Viewer?action=UPDATE&amp;creator=factset&amp;DOC_NAME=fat:reuters_annual_source_window.fat&amp;display_string=Audit&amp;DYN_ARGS=TRUE&amp;VAR:ID1=30231G10&amp;VAR:RCODE=DSTT&amp;VAR:SDATE=20071299&amp;VAR:FREQ=Y&amp;VAR:RELITEM=RP&amp;VAR:CURRENCY=&amp;VAR:CURRSOURCE=EXSHARE&amp;V","AR:NATFREQ=ANNUAL&amp;VAR:RFIELD=FINALIZED&amp;VAR:DB_TYPE=&amp;VAR:UNITS=M&amp;window=popup&amp;width=450&amp;height=300&amp;START_MAXIMIZED=FALSE"}</definedName>
    <definedName function="false" hidden="true" name="_530__FDSAUDITLINK__" vbProcedure="false">{"fdsup://IBCentral/FAT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31__FDSAUDITLINK__" vbProcedure="false">{"fdsup://IBCentral/FAT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function="false" hidden="true" name="_532__FDSAUDITLINK__" vbProcedure="false">{"fdsup://IBCentral/FAT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33__FDSAUDITLINK__" vbProcedure="false">{"fdsup://IBCentral/FAT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function="false" hidden="true" name="_534__FDSAUDITLINK__" vbProcedure="false">{"fdsup://IBCentral/FAT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35__FDSAUDITLINK__" vbProcedure="false">{"fdsup://IBCentral/FAT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36__FDSAUDITLINK__" vbProcedure="false">{"fdsup://IBCentral/FAT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function="false" hidden="true" name="_537__FDSAUDITLINK__" vbProcedure="false">{"fdsup://IBCentral/FAT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38__FDSAUDITLINK__" vbProcedure="false">{"fdsup://IBCentral/FAT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39__FDSAUDITLINK__" vbProcedure="false">{"fdsup://IBCentral/FAT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3__123Graph_DCHART_2" vbProcedure="false">#REF!</definedName>
    <definedName function="false" hidden="true" name="_53__123Graph_XCHART_4" vbProcedure="false">#REF!</definedName>
    <definedName function="false" hidden="true" name="_53__FDSAUDITLINK__" vbProcedure="false">{"fdsup://IBCentral/FAT Viewer?action=UPDATE&amp;creator=factset&amp;DOC_NAME=fat:reuters_annual_source_window.fat&amp;display_string=Audit&amp;DYN_ARGS=TRUE&amp;VAR:ID1=30231G10&amp;VAR:RCODE=DSTT&amp;VAR:SDATE=20061299&amp;VAR:FREQ=Y&amp;VAR:RELITEM=RP&amp;VAR:CURRENCY=&amp;VAR:CURRSOURCE=EXSHARE&amp;V","AR:NATFREQ=ANNUAL&amp;VAR:RFIELD=FINALIZED&amp;VAR:DB_TYPE=&amp;VAR:UNITS=M&amp;window=popup&amp;width=450&amp;height=300&amp;START_MAXIMIZED=FALSE"}</definedName>
    <definedName function="false" hidden="true" name="_540__FDSAUDITLINK__" vbProcedure="false">{"fdsup://IBCentral/FAT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41__FDSAUDITLINK__" vbProcedure="false">{"fdsup://IBCentral/FAT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542__FDSAUDITLINK__" vbProcedure="false">{"fdsup://IBCentral/FAT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543__FDSAUDITLINK__" vbProcedure="false">{"fdsup://IBCentral/FAT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544__FDSAUDITLINK__" vbProcedure="false">{"fdsup://IBCentral/FAT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45__FDSAUDITLINK__" vbProcedure="false">{"fdsup://IBCentral/FAT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46__FDSAUDITLINK__" vbProcedure="false">{"fdsup://IBCentral/FAT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47__FDSAUDITLINK__" vbProcedure="false">{"fdsup://IBCentral/FAT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48__FDSAUDITLINK__" vbProcedure="false">{"fdsup://IBCentral/FAT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49__FDSAUDITLINK__" vbProcedure="false">{"fdsup://IBCentral/FAT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4__123Graph_LBL_ACHART_1" vbProcedure="false">#N/A</definedName>
    <definedName function="false" hidden="true" name="_54__FDSAUDITLINK__" vbProcedure="false">{"fdsup://IBCentral/FAT Viewer?action=UPDATE&amp;creator=factset&amp;DOC_NAME=fat:reuters_annual_source_window.fat&amp;display_string=Audit&amp;DYN_ARGS=TRUE&amp;VAR:ID1=30231G10&amp;VAR:RCODE=DSTT&amp;VAR:SDATE=20051299&amp;VAR:FREQ=Y&amp;VAR:RELITEM=RP&amp;VAR:CURRENCY=&amp;VAR:CURRSOURCE=EXSHARE&amp;V","AR:NATFREQ=ANNUAL&amp;VAR:RFIELD=FINALIZED&amp;VAR:DB_TYPE=&amp;VAR:UNITS=M&amp;window=popup&amp;width=450&amp;height=300&amp;START_MAXIMIZED=FALSE"}</definedName>
    <definedName function="false" hidden="true" name="_550__FDSAUDITLINK__" vbProcedure="false">{"fdsup://IBCentral/FAT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51__FDSAUDITLINK__" vbProcedure="false">{"fdsup://IBCentral/FAT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52__FDSAUDITLINK__" vbProcedure="false">{"fdsup://Directions/FactSet Auditing Viewer?action=AUDIT_VALUE&amp;DB=129&amp;ID1=00282410&amp;VALUEID=01201&amp;SDATE=2009&amp;PERIODTYPE=ANN_STD&amp;window=popup_no_bar&amp;width=385&amp;height=120&amp;START_MAXIMIZED=FALSE&amp;creator=factset&amp;display_string=Audit"}</definedName>
    <definedName function="false" hidden="true" name="_553__FDSAUDITLINK__" vbProcedure="false">{"fdsup://IBCentral/FAT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54__FDSAUDITLINK__" vbProcedure="false">{"fdsup://IBCentral/FAT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55__FDSAUDITLINK__" vbProcedure="false">{"fdsup://IBCentral/FAT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56__FDSAUDITLINK__" vbProcedure="false">{"fdsup://IBCentral/FAT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57__FDSAUDITLINK__" vbProcedure="false">{"fdsup://directions/FAT Viewer?action=UPDATE&amp;creator=factset&amp;DYN_ARGS=TRUE&amp;DOC_NAME=FAT:FQL_AUDITING_CLIENT_TEMPLATE.FAT&amp;display_string=Audit&amp;VAR:KEY=CDUDOLIHSH&amp;VAR:QUERY=RkZfTkVUX0lOQyhMVE1TLDAsLCwsSUNfQ1VSUkVOQ1lfSVNPKCkp&amp;WINDOW=FIRST_POPUP&amp;HEIGHT=450&amp;WI","DTH=450&amp;START_MAXIMIZED=FALSE&amp;VAR:CALENDAR=US&amp;VAR:SYMBOL=00282410&amp;VAR:INDEX=0"}</definedName>
    <definedName function="false" hidden="true" name="_558__FDSAUDITLINK__" vbProcedure="false">{"fdsup://IBCentral/FAT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59__FDSAUDITLINK__" vbProcedure="false">{"fdsup://IBCentral/FAT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5__123Graph_LBL_ACHART_2" vbProcedure="false">#REF!</definedName>
    <definedName function="false" hidden="true" name="_55__FDSAUDITLINK__" vbProcedure="false">{"fdsup://IBCentral/FAT Viewer?action=UPDATE&amp;creator=factset&amp;DOC_NAME=fat:reuters_annual_source_window.fat&amp;display_string=Audit&amp;DYN_ARGS=TRUE&amp;VAR:ID1=30231G10&amp;VAR:RCODE=DSTT&amp;VAR:SDATE=20041299&amp;VAR:FREQ=Y&amp;VAR:RELITEM=RP&amp;VAR:CURRENCY=&amp;VAR:CURRSOURCE=EXSHARE&amp;V","AR:NATFREQ=ANNUAL&amp;VAR:RFIELD=FINALIZED&amp;VAR:DB_TYPE=&amp;VAR:UNITS=M&amp;window=popup&amp;width=450&amp;height=300&amp;START_MAXIMIZED=FALSE"}</definedName>
    <definedName function="false" hidden="true" name="_560__FDSAUDITLINK__" vbProcedure="false">{"fdsup://IBCentral/FAT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61__FDSAUDITLINK__" vbProcedure="false">{"fdsup://directions/FAT Viewer?action=UPDATE&amp;creator=factset&amp;DYN_ARGS=TRUE&amp;DOC_NAME=FAT:FQL_AUDITING_CLIENT_TEMPLATE.FAT&amp;display_string=Audit&amp;VAR:KEY=ARIPYZSJGR&amp;VAR:QUERY=RkZfRUJJVF9PUEVSKEFOTiwyMDA5LCwsLElDX0NVUlJFTkNZX0lTTygpLE0p&amp;WINDOW=FIRST_POPUP&amp;HEIGH","T=450&amp;WIDTH=450&amp;START_MAXIMIZED=FALSE&amp;VAR:CALENDAR=US&amp;VAR:SYMBOL=00282410&amp;VAR:INDEX=0"}</definedName>
    <definedName function="false" hidden="true" name="_562__FDSAUDITLINK__" vbProcedure="false">{"fdsup://IBCentral/FAT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63__FDSAUDITLINK__" vbProcedure="false">{"fdsup://IBCentral/FAT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64__FDSAUDITLINK__" vbProcedure="false">{"fdsup://IBCentral/FAT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65__FDSAUDITLINK__" vbProcedure="false">{"fdsup://IBCentral/FAT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66__FDSAUDITLINK__" vbProcedure="false">{"fdsup://IBCentral/FAT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67__FDSAUDITLINK__" vbProcedure="false">{"fdsup://Directions/FactSet Auditing Viewer?action=AUDIT_VALUE&amp;DB=129&amp;ID1=B16GWD&amp;VALUEID=02001&amp;SDATE=201001&amp;PERIODTYPE=SEMI_STD&amp;window=popup_no_bar&amp;width=385&amp;height=120&amp;START_MAXIMIZED=FALSE&amp;creator=factset&amp;display_string=Audit"}</definedName>
    <definedName function="false" hidden="true" name="_568__FDSAUDITLINK__" vbProcedure="false">{"fdsup://Directions/FactSet Auditing Viewer?action=AUDIT_VALUE&amp;DB=129&amp;ID1=B16GWD&amp;VALUEID=03051&amp;SDATE=201001&amp;PERIODTYPE=SEMI_STD&amp;window=popup_no_bar&amp;width=385&amp;height=120&amp;START_MAXIMIZED=FALSE&amp;creator=factset&amp;display_string=Audit"}</definedName>
    <definedName function="false" hidden="true" name="_569__FDSAUDITLINK__" vbProcedure="false">{"fdsup://directions/FAT Viewer?action=UPDATE&amp;creator=factset&amp;DYN_ARGS=TRUE&amp;DOC_NAME=FAT:FQL_AUDITING_CLIENT_TEMPLATE.FAT&amp;display_string=Audit&amp;VAR:KEY=HGHEPIPENQ&amp;VAR:QUERY=KCgoRkZfREVCVF9MVChRVFIsNDA1ODMsLCwsSUNfQ1VSUkVOQ1lfSVNPKCkpQEZGX0RFQlRfTFQoU0VNSSw0M","DU4MywsLCxJQ19DVVJSRU5DWV9JU08oKSkpQEZGX0RFQlRfTFQoQU5OLDQwNTgzLCwsLElDX0NVUlJFTkNZX0lTTygpKSlARkZfREVCVF9MVChNT04sNDA1ODMsLCwsSUNfQ1VSUkVOQ1lfSVNPKCkpKQ==&amp;WINDOW=FIRST_POPUP&amp;HEIGHT=450&amp;WIDTH=450&amp;START_MAXIMIZED=FALSE&amp;VAR:CALENDAR=US&amp;VAR:SYMBOL=B16GWD&amp;VAR",":INDEX=0"}</definedName>
    <definedName function="false" hidden="true" name="_56__FDSAUDITLINK__" vbProcedure="false">{"fdsup://IBCentral/FAT Viewer?action=UPDATE&amp;creator=factset&amp;DOC_NAME=fat:reuters_annual_source_window.fat&amp;display_string=Audit&amp;DYN_ARGS=TRUE&amp;VAR:ID1=30231G10&amp;VAR:RCODE=DSTT&amp;VAR:SDATE=20031299&amp;VAR:FREQ=Y&amp;VAR:RELITEM=RP&amp;VAR:CURRENCY=&amp;VAR:CURRSOURCE=EXSHARE&amp;V","AR:NATFREQ=ANNUAL&amp;VAR:RFIELD=FINALIZED&amp;VAR:DB_TYPE=&amp;VAR:UNITS=M&amp;window=popup&amp;width=450&amp;height=300&amp;START_MAXIMIZED=FALSE"}</definedName>
    <definedName function="false" hidden="true" name="_570__FDSAUDITLINK__" vbProcedure="false">{"fdsup://Directions/FactSet Auditing Viewer?action=AUDIT_VALUE&amp;DB=129&amp;ID1=B16GWD&amp;VALUEID=18821&amp;SDATE=2009&amp;PERIODTYPE=ANN_STD&amp;window=popup_no_bar&amp;width=385&amp;height=120&amp;START_MAXIMIZED=FALSE&amp;creator=factset&amp;display_string=Audit"}</definedName>
    <definedName function="false" hidden="true" name="_571__FDSAUDITLINK__" vbProcedure="false">{"fdsup://Directions/FactSet Auditing Viewer?action=AUDIT_VALUE&amp;DB=129&amp;ID1=B16GWD&amp;VALUEID=03426&amp;SDATE=201001&amp;PERIODTYPE=SEMI_STD&amp;window=popup_no_bar&amp;width=385&amp;height=120&amp;START_MAXIMIZED=FALSE&amp;creator=factset&amp;display_string=Audit"}</definedName>
    <definedName function="false" hidden="true" name="_572__FDSAUDITLINK__" vbProcedure="false">{"fdsup://IBCentral/FAT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73__FDSAUDITLINK__" vbProcedure="false">{"fdsup://IBCentral/FAT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74__FDSAUDITLINK__" vbProcedure="false">{"fdsup://IBCentral/FAT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75__FDSAUDITLINK__" vbProcedure="false">{"fdsup://IBCentral/FAT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76__FDSAUDITLINK__" vbProcedure="false">{"fdsup://IBCentral/FAT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77__FDSAUDITLINK__" vbProcedure="false">{"fdsup://IBCentral/FAT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78__FDSAUDITLINK__" vbProcedure="false">{"fdsup://IBCentral/FAT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79__FDSAUDITLINK__" vbProcedure="false">{"fdsup://IBCentral/FAT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7__123Graph_LBL_DCHART_1" vbProcedure="false">#N/A</definedName>
    <definedName function="false" hidden="true" name="_57__FDSAUDITLINK__" vbProcedure="false">{"fdsup://IBCentral/FAT Viewer?action=UPDATE&amp;creator=factset&amp;DOC_NAME=fat:reuters_annual_source_window.fat&amp;display_string=Audit&amp;DYN_ARGS=TRUE&amp;VAR:ID1=30231G10&amp;VAR:RCODE=ATOT&amp;VAR:SDATE=20071299&amp;VAR:FREQ=Y&amp;VAR:RELITEM=RP&amp;VAR:CURRENCY=&amp;VAR:CURRSOURCE=EXSHARE&amp;V","AR:NATFREQ=ANNUAL&amp;VAR:RFIELD=FINALIZED&amp;VAR:DB_TYPE=&amp;VAR:UNITS=M&amp;window=popup&amp;width=450&amp;height=300&amp;START_MAXIMIZED=FALSE"}</definedName>
    <definedName function="false" hidden="true" name="_580__FDSAUDITLINK__" vbProcedure="false">{"fdsup://IBCentral/FAT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function="false" hidden="true" name="_581__FDSAUDITLINK__" vbProcedure="false">{"fdsup://IBCentral/FAT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82__FDSAUDITLINK__" vbProcedure="false">{"fdsup://IBCentral/FAT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function="false" hidden="true" name="_583IQ___SET_WRITEDOWN_INS" vbProcedure="false">"c59"</definedName>
    <definedName function="false" hidden="true" name="_583__FDSAUDITLINK__" vbProcedure="false">{"fdsup://IBCentral/FAT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584__FDSAUDITLINK__" vbProcedure="false">{"fdsup://IBCentral/FAT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function="false" hidden="true" name="_585__FDSAUDITLINK__" vbProcedure="false">{"fdsup://IBCentral/FAT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86__FDSAUDITLINK__" vbProcedure="false">{"fdsup://IBCentral/FAT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87__FDSAUDITLINK__" vbProcedure="false">{"fdsup://IBCentral/FAT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88__FDSAUDITLINK__" vbProcedure="false">{"fdsup://IBCentral/FAT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89__FDSAUDITLINK__" vbProcedure="false">{"fdsup://IBCentral/FAT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8__123Graph_LBL_DCHART_2" vbProcedure="false">#REF!</definedName>
    <definedName function="false" hidden="true" name="_58__FDSAUDITLINK__" vbProcedure="false">{"fdsup://IBCentral/FAT Viewer?action=UPDATE&amp;creator=factset&amp;DOC_NAME=fat:reuters_annual_source_window.fat&amp;display_string=Audit&amp;DYN_ARGS=TRUE&amp;VAR:ID1=30231G10&amp;VAR:RCODE=ATOT&amp;VAR:SDATE=20061299&amp;VAR:FREQ=Y&amp;VAR:RELITEM=RP&amp;VAR:CURRENCY=&amp;VAR:CURRSOURCE=EXSHARE&amp;V","AR:NATFREQ=ANNUAL&amp;VAR:RFIELD=FINALIZED&amp;VAR:DB_TYPE=&amp;VAR:UNITS=M&amp;window=popup&amp;width=450&amp;height=300&amp;START_MAXIMIZED=FALSE"}</definedName>
    <definedName function="false" hidden="true" name="_590__FDSAUDITLINK__" vbProcedure="false">{"fdsup://IBCentral/FAT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91__FDSAUDITLINK__" vbProcedure="false">{"fdsup://IBCentral/FAT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92__FDSAUDITLINK__" vbProcedure="false">{"fdsup://IBCentral/FAT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93__FDSAUDITLINK__" vbProcedure="false">{"fdsup://IBCentral/FAT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94__FDSAUDITLINK__" vbProcedure="false">{"fdsup://IBCentral/FAT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95__FDSAUDITLINK__" vbProcedure="false">{"fdsup://IBCentral/FAT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596__FDSAUDITLINK__" vbProcedure="false">{"fdsup://IBCentral/FAT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597__FDSAUDITLINK__" vbProcedure="false">{"fdsup://IBCentral/FAT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598__FDSAUDITLINK__" vbProcedure="false">{"fdsup://IBCentral/FAT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599__FDSAUDITLINK__" vbProcedure="false">{"fdsup://IBCentral/FAT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59__123Graph_XCHART_2" vbProcedure="false">#REF!</definedName>
    <definedName function="false" hidden="true" name="_59__FDSAUDITLINK__" vbProcedure="false">{"fdsup://IBCentral/FAT Viewer?action=UPDATE&amp;creator=factset&amp;DOC_NAME=fat:reuters_annual_source_window.fat&amp;display_string=Audit&amp;DYN_ARGS=TRUE&amp;VAR:ID1=30231G10&amp;VAR:RCODE=ATOT&amp;VAR:SDATE=20051299&amp;VAR:FREQ=Y&amp;VAR:RELITEM=RP&amp;VAR:CURRENCY=&amp;VAR:CURRSOURCE=EXSHARE&amp;V","AR:NATFREQ=ANNUAL&amp;VAR:RFIELD=FINALIZED&amp;VAR:DB_TYPE=&amp;VAR:UNITS=M&amp;window=popup&amp;width=450&amp;height=300&amp;START_MAXIMIZED=FALSE"}</definedName>
    <definedName function="false" hidden="true" name="_5__123Graph_ACHART_13" vbProcedure="false">#REF!</definedName>
    <definedName function="false" hidden="true" name="_5__123Graph_ACHART_20" vbProcedure="false">#REF!</definedName>
    <definedName function="false" hidden="true" name="_5__123Graph_ACHART_3" vbProcedure="false">#REF!</definedName>
    <definedName function="false" hidden="true" name="_5__123Graph_DCHART_1" vbProcedure="false">#REF!</definedName>
    <definedName function="false" hidden="true" name="_5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0"}</definedName>
    <definedName function="false" hidden="true" name="_5__FDSAUDITLINK___1" vbProcedure="false">{"fdsup://directions/FAT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function="false" hidden="true" name="_5__FDSAUDITLINK___2" vbProcedure="false">{"fdsup://directions/FAT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function="false" hidden="true" name="_600__FDSAUDITLINK__" vbProcedure="false">{"fdsup://IBCentral/FAT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01__FDSAUDITLINK__" vbProcedure="false">{"fdsup://IBCentral/FAT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function="false" hidden="true" name="_602__FDSAUDITLINK__" vbProcedure="false">{"fdsup://IBCentral/FAT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function="false" hidden="true" name="_603__FDSAUDITLINK__" vbProcedure="false">{"fdsup://IBCentral/FAT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function="false" hidden="true" name="_604__FDSAUDITLINK__" vbProcedure="false">{"fdsup://IBCentral/FAT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function="false" hidden="true" name="_605__FDSAUDITLINK__" vbProcedure="false">{"fdsup://IBCentral/FAT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function="false" hidden="true" name="_606__FDSAUDITLINK__" vbProcedure="false">{"fdsup://IBCentral/FAT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function="false" hidden="true" name="_607__FDSAUDITLINK__" vbProcedure="false">{"fdsup://IBCentral/FAT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function="false" hidden="true" name="_608__FDSAUDITLINK__" vbProcedure="false">{"fdsup://IBCentral/FAT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function="false" hidden="true" name="_609__FDSAUDITLINK__" vbProcedure="false">{"fdsup://IBCentral/FAT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function="false" hidden="true" name="_60__FDSAUDITLINK__" vbProcedure="false">{"fdsup://IBCentral/FAT Viewer?action=UPDATE&amp;creator=factset&amp;DOC_NAME=fat:reuters_annual_source_window.fat&amp;display_string=Audit&amp;DYN_ARGS=TRUE&amp;VAR:ID1=30231G10&amp;VAR:RCODE=ATOT&amp;VAR:SDATE=20041299&amp;VAR:FREQ=Y&amp;VAR:RELITEM=RP&amp;VAR:CURRENCY=&amp;VAR:CURRSOURCE=EXSHARE&amp;V","AR:NATFREQ=ANNUAL&amp;VAR:RFIELD=FINALIZED&amp;VAR:DB_TYPE=&amp;VAR:UNITS=M&amp;window=popup&amp;width=450&amp;height=300&amp;START_MAXIMIZED=FALSE"}</definedName>
    <definedName function="false" hidden="true" name="_610__FDSAUDITLINK__" vbProcedure="false">{"fdsup://IBCentral/FAT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function="false" hidden="true" name="_611__FDSAUDITLINK__" vbProcedure="false">{"fdsup://IBCentral/FAT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12__FDSAUDITLINK__" vbProcedure="false">{"fdsup://IBCentral/FAT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13__FDSAUDITLINK__" vbProcedure="false">{"fdsup://IBCentral/FAT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14__FDSAUDITLINK__" vbProcedure="false">{"fdsup://IBCentral/FAT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15__FDSAUDITLINK__" vbProcedure="false">{"fdsup://IBCentral/FAT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16__FDSAUDITLINK__" vbProcedure="false">{"fdsup://IBCentral/FAT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17__FDSAUDITLINK__" vbProcedure="false">{"fdsup://IBCentral/FAT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18__FDSAUDITLINK__" vbProcedure="false">{"fdsup://IBCentral/FAT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19__FDSAUDITLINK__" vbProcedure="false">{"fdsup://IBCentral/FAT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1__FDSAUDITLINK__" vbProcedure="false">{"fdsup://IBCentral/FAT Viewer?action=UPDATE&amp;creator=factset&amp;DOC_NAME=fat:reuters_annual_source_window.fat&amp;display_string=Audit&amp;DYN_ARGS=TRUE&amp;VAR:ID1=30231G10&amp;VAR:RCODE=ATOT&amp;VAR:SDATE=20031299&amp;VAR:FREQ=Y&amp;VAR:RELITEM=RP&amp;VAR:CURRENCY=&amp;VAR:CURRSOURCE=EXSHARE&amp;V","AR:NATFREQ=ANNUAL&amp;VAR:RFIELD=FINALIZED&amp;VAR:DB_TYPE=&amp;VAR:UNITS=M&amp;window=popup&amp;width=450&amp;height=300&amp;START_MAXIMIZED=FALSE"}</definedName>
    <definedName function="false" hidden="true" name="_620__FDSAUDITLINK__" vbProcedure="false">{"fdsup://IBCentral/FAT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21__FDSAUDITLINK__" vbProcedure="false">{"fdsup://IBCentral/FAT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22__FDSAUDITLINK__" vbProcedure="false">{"fdsup://IBCentral/FAT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23__FDSAUDITLINK__" vbProcedure="false">{"fdsup://IBCentral/FAT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24__FDSAUDITLINK__" vbProcedure="false">{"fdsup://IBCentral/FAT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25__FDSAUDITLINK__" vbProcedure="false">{"fdsup://IBCentral/FAT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26__FDSAUDITLINK__" vbProcedure="false">{"fdsup://IBCentral/FAT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27__FDSAUDITLINK__" vbProcedure="false">{"fdsup://IBCentral/FAT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28__FDSAUDITLINK__" vbProcedure="false">{"fdsup://IBCentral/FAT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29__FDSAUDITLINK__" vbProcedure="false">{"fdsup://IBCentral/FAT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2__FDSAUDITLINK__" vbProcedure="false">{"fdsup://IBCentral/FAT Viewer?action=UPDATE&amp;creator=factset&amp;DOC_NAME=fat:reuters_annual_source_window.fat&amp;display_string=Audit&amp;DYN_ARGS=TRUE&amp;VAR:ID1=30231G10&amp;VAR:RCODE=APPN&amp;VAR:SDATE=20071299&amp;VAR:FREQ=Y&amp;VAR:RELITEM=RP&amp;VAR:CURRENCY=&amp;VAR:CURRSOURCE=EXSHARE&amp;V","AR:NATFREQ=ANNUAL&amp;VAR:RFIELD=FINALIZED&amp;VAR:DB_TYPE=&amp;VAR:UNITS=M&amp;window=popup&amp;width=450&amp;height=300&amp;START_MAXIMIZED=FALSE"}</definedName>
    <definedName function="false" hidden="true" name="_630__FDSAUDITLINK__" vbProcedure="false">{"fdsup://IBCentral/FAT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31__FDSAUDITLINK__" vbProcedure="false">{"fdsup://IBCentral/FAT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32__FDSAUDITLINK__" vbProcedure="false">{"fdsup://IBCentral/FAT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33__FDSAUDITLINK__" vbProcedure="false">{"fdsup://IBCentral/FAT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34__FDSAUDITLINK__" vbProcedure="false">{"fdsup://IBCentral/FAT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35__FDSAUDITLINK__" vbProcedure="false">{"fdsup://IBCentral/FAT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36__FDSAUDITLINK__" vbProcedure="false">{"fdsup://IBCentral/FAT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37__FDSAUDITLINK__" vbProcedure="false">{"fdsup://IBCentral/FAT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38__FDSAUDITLINK__" vbProcedure="false">{"fdsup://IBCentral/FAT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39__FDSAUDITLINK__" vbProcedure="false">{"fdsup://IBCentral/FAT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3__FDSAUDITLINK__" vbProcedure="false">{"fdsup://IBCentral/FAT Viewer?action=UPDATE&amp;creator=factset&amp;DOC_NAME=fat:reuters_annual_source_window.fat&amp;display_string=Audit&amp;DYN_ARGS=TRUE&amp;VAR:ID1=30231G10&amp;VAR:RCODE=APPN&amp;VAR:SDATE=20061299&amp;VAR:FREQ=Y&amp;VAR:RELITEM=RP&amp;VAR:CURRENCY=&amp;VAR:CURRSOURCE=EXSHARE&amp;V","AR:NATFREQ=ANNUAL&amp;VAR:RFIELD=FINALIZED&amp;VAR:DB_TYPE=&amp;VAR:UNITS=M&amp;window=popup&amp;width=450&amp;height=300&amp;START_MAXIMIZED=FALSE"}</definedName>
    <definedName function="false" hidden="true" name="_640__FDSAUDITLINK__" vbProcedure="false">{"fdsup://IBCentral/FAT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41__FDSAUDITLINK__" vbProcedure="false">{"fdsup://IBCentral/FAT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42__FDSAUDITLINK__" vbProcedure="false">{"fdsup://IBCentral/FAT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43__FDSAUDITLINK__" vbProcedure="false">{"fdsup://IBCentral/FAT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44__FDSAUDITLINK__" vbProcedure="false">{"fdsup://IBCentral/FAT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45__FDSAUDITLINK__" vbProcedure="false">{"fdsup://IBCentral/FAT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46__FDSAUDITLINK__" vbProcedure="false">{"fdsup://IBCentral/FAT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47__FDSAUDITLINK__" vbProcedure="false">{"fdsup://IBCentral/FAT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48__FDSAUDITLINK__" vbProcedure="false">{"fdsup://IBCentral/FAT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49__FDSAUDITLINK__" vbProcedure="false">{"fdsup://IBCentral/FAT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4__FDSAUDITLINK__" vbProcedure="false">{"fdsup://IBCentral/FAT Viewer?action=UPDATE&amp;creator=factset&amp;DOC_NAME=fat:reuters_annual_source_window.fat&amp;display_string=Audit&amp;DYN_ARGS=TRUE&amp;VAR:ID1=30231G10&amp;VAR:RCODE=APPN&amp;VAR:SDATE=20051299&amp;VAR:FREQ=Y&amp;VAR:RELITEM=RP&amp;VAR:CURRENCY=&amp;VAR:CURRSOURCE=EXSHARE&amp;V","AR:NATFREQ=ANNUAL&amp;VAR:RFIELD=FINALIZED&amp;VAR:DB_TYPE=&amp;VAR:UNITS=M&amp;window=popup&amp;width=450&amp;height=300&amp;START_MAXIMIZED=FALSE"}</definedName>
    <definedName function="false" hidden="true" name="_650__FDSAUDITLINK__" vbProcedure="false">{"fdsup://IBCentral/FAT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51__FDSAUDITLINK__" vbProcedure="false">{"fdsup://IBCentral/FAT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52__FDSAUDITLINK__" vbProcedure="false">{"fdsup://IBCentral/FAT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53__FDSAUDITLINK__" vbProcedure="false">{"fdsup://IBCentral/FAT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54__FDSAUDITLINK__" vbProcedure="false">{"fdsup://IBCentral/FAT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55__FDSAUDITLINK__" vbProcedure="false">{"fdsup://IBCentral/FAT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56__FDSAUDITLINK__" vbProcedure="false">{"fdsup://IBCentral/FAT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57__FDSAUDITLINK__" vbProcedure="false">{"fdsup://IBCentral/FAT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58__FDSAUDITLINK__" vbProcedure="false">{"fdsup://IBCentral/FAT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59__FDSAUDITLINK__" vbProcedure="false">{"fdsup://IBCentral/FAT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5__FDSAUDITLINK__" vbProcedure="false">{"fdsup://IBCentral/FAT Viewer?action=UPDATE&amp;creator=factset&amp;DOC_NAME=fat:reuters_annual_source_window.fat&amp;display_string=Audit&amp;DYN_ARGS=TRUE&amp;VAR:ID1=30231G10&amp;VAR:RCODE=APPN&amp;VAR:SDATE=20041299&amp;VAR:FREQ=Y&amp;VAR:RELITEM=RP&amp;VAR:CURRENCY=&amp;VAR:CURRSOURCE=EXSHARE&amp;V","AR:NATFREQ=ANNUAL&amp;VAR:RFIELD=FINALIZED&amp;VAR:DB_TYPE=&amp;VAR:UNITS=M&amp;window=popup&amp;width=450&amp;height=300&amp;START_MAXIMIZED=FALSE"}</definedName>
    <definedName function="false" hidden="true" name="_660__FDSAUDITLINK__" vbProcedure="false">{"fdsup://IBCentral/FAT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661__FDSAUDITLINK__" vbProcedure="false">{"fdsup://IBCentral/FAT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2__FDSAUDITLINK__" vbProcedure="false">{"fdsup://IBCentral/FAT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3__FDSAUDITLINK__" vbProcedure="false">{"fdsup://IBCentral/FAT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function="false" hidden="true" name="_664__FDSAUDITLINK__" vbProcedure="false">{"fdsup://IBCentral/FAT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function="false" hidden="true" name="_665__FDSAUDITLINK__" vbProcedure="false">{"fdsup://IBCentral/FAT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6__FDSAUDITLINK__" vbProcedure="false">{"fdsup://IBCentral/FAT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7__FDSAUDITLINK__" vbProcedure="false">{"fdsup://IBCentral/FAT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8__FDSAUDITLINK__" vbProcedure="false">{"fdsup://IBCentral/FAT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function="false" hidden="true" name="_669__FDSAUDITLINK__" vbProcedure="false">{"fdsup://IBCentral/FAT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66__FDSAUDITLINK__" vbProcedure="false">{"fdsup://IBCentral/FAT Viewer?action=UPDATE&amp;creator=factset&amp;DOC_NAME=fat:reuters_annual_source_window.fat&amp;display_string=Audit&amp;DYN_ARGS=TRUE&amp;VAR:ID1=30231G10&amp;VAR:RCODE=APPN&amp;VAR:SDATE=20031299&amp;VAR:FREQ=Y&amp;VAR:RELITEM=RP&amp;VAR:CURRENCY=&amp;VAR:CURRSOURCE=EXSHARE&amp;V","AR:NATFREQ=ANNUAL&amp;VAR:RFIELD=FINALIZED&amp;VAR:DB_TYPE=&amp;VAR:UNITS=M&amp;window=popup&amp;width=450&amp;height=300&amp;START_MAXIMIZED=FALSE"}</definedName>
    <definedName function="false" hidden="true" name="_670__FDSAUDITLINK__" vbProcedure="false">{"fdsup://IBCentral/FAT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71__FDSAUDITLINK__" vbProcedure="false">{"fdsup://IBCentral/FAT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72__FDSAUDITLINK__" vbProcedure="false">{"fdsup://IBCentral/FAT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73__FDSAUDITLINK__" vbProcedure="false">{"fdsup://IBCentral/FAT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function="false" hidden="true" name="_674__FDSAUDITLINK__" vbProcedure="false">{"fdsup://IBCentral/FAT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function="false" hidden="true" name="_675__FDSAUDITLINK__" vbProcedure="false">{"fdsup://IBCentral/FAT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function="false" hidden="true" name="_676__FDSAUDITLINK__" vbProcedure="false">{"fdsup://IBCentral/FAT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function="false" hidden="true" name="_677__FDSAUDITLINK__" vbProcedure="false">{"fdsup://IBCentral/FAT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function="false" hidden="true" name="_678__FDSAUDITLINK__" vbProcedure="false">{"fdsup://IBCentral/FAT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79__FDSAUDITLINK__" vbProcedure="false">{"fdsup://IBCentral/FAT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7__FDSAUDITLINK__" vbProcedure="false">{"fdsup://IBCentral/FAT Viewer?action=UPDATE&amp;creator=factset&amp;DOC_NAME=fat:reuters_annual_source_window.fat&amp;display_string=Audit&amp;DYN_ARGS=TRUE&amp;VAR:ID1=30231G10&amp;VAR:RCODE=ATCA&amp;VAR:SDATE=20071299&amp;VAR:FREQ=Y&amp;VAR:RELITEM=RP&amp;VAR:CURRENCY=&amp;VAR:CURRSOURCE=EXSHARE&amp;V","AR:NATFREQ=ANNUAL&amp;VAR:RFIELD=FINALIZED&amp;VAR:DB_TYPE=&amp;VAR:UNITS=M&amp;window=popup&amp;width=450&amp;height=300&amp;START_MAXIMIZED=FALSE"}</definedName>
    <definedName function="false" hidden="true" name="_680__FDSAUDITLINK__" vbProcedure="false">{"fdsup://IBCentral/FAT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function="false" hidden="true" name="_681__FDSAUDITLINK__" vbProcedure="false">{"fdsup://IBCentral/FAT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function="false" hidden="true" name="_682__FDSAUDITLINK__" vbProcedure="false">{"fdsup://IBCentral/FAT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83__FDSAUDITLINK__" vbProcedure="false">{"fdsup://IBCentral/FAT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84__FDSAUDITLINK__" vbProcedure="false">{"fdsup://IBCentral/FAT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85__FDSAUDITLINK__" vbProcedure="false">{"fdsup://IBCentral/FAT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86__FDSAUDITLINK__" vbProcedure="false">{"fdsup://directions/FAT Viewer?action=UPDATE&amp;creator=factset&amp;DYN_ARGS=TRUE&amp;DOC_NAME=FAT:FQL_AUDITING_CLIENT_TEMPLATE.FAT&amp;display_string=Audit&amp;VAR:KEY=FMPWXSJCPA&amp;VAR:QUERY=RkZfTkVUX0lOQyhMVE1TLDAsLCwsSUNfQ1VSUkVOQ1lfSVNPKCkp&amp;WINDOW=FIRST_POPUP&amp;HEIGHT=450&amp;WI","DTH=450&amp;START_MAXIMIZED=FALSE&amp;VAR:CALENDAR=US&amp;VAR:SYMBOL=B03MM4&amp;VAR:INDEX=0"}</definedName>
    <definedName function="false" hidden="true" name="_687__FDSAUDITLINK__" vbProcedure="false">{"fdsup://IBCentral/FAT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88__FDSAUDITLINK__" vbProcedure="false">{"fdsup://IBCentral/FAT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689__FDSAUDITLINK__" vbProcedure="false">{"fdsup://IBCentral/FAT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function="false" hidden="true" name="_68__FDSAUDITLINK__" vbProcedure="false">{"fdsup://IBCentral/FAT Viewer?action=UPDATE&amp;creator=factset&amp;DOC_NAME=fat:reuters_annual_source_window.fat&amp;display_string=Audit&amp;DYN_ARGS=TRUE&amp;VAR:ID1=30231G10&amp;VAR:RCODE=ATCA&amp;VAR:SDATE=20061299&amp;VAR:FREQ=Y&amp;VAR:RELITEM=RP&amp;VAR:CURRENCY=&amp;VAR:CURRSOURCE=EXSHARE&amp;V","AR:NATFREQ=ANNUAL&amp;VAR:RFIELD=FINALIZED&amp;VAR:DB_TYPE=&amp;VAR:UNITS=M&amp;window=popup&amp;width=450&amp;height=300&amp;START_MAXIMIZED=FALSE"}</definedName>
    <definedName function="false" hidden="true" name="_690__FDSAUDITLINK__" vbProcedure="false">{"fdsup://IBCentral/FAT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function="false" hidden="true" name="_691__FDSAUDITLINK__" vbProcedure="false">{"fdsup://IBCentral/FAT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function="false" hidden="true" name="_692__FDSAUDITLINK__" vbProcedure="false">{"fdsup://IBCentral/FAT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693__FDSAUDITLINK__" vbProcedure="false">{"fdsup://IBCentral/FAT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694__FDSAUDITLINK__" vbProcedure="false">{"fdsup://IBCentral/FAT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695__FDSAUDITLINK__" vbProcedure="false">{"fdsup://IBCentral/FAT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696__FDSAUDITLINK__" vbProcedure="false">{"fdsup://IBCentral/FAT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697__FDSAUDITLINK__" vbProcedure="false">{"fdsup://IBCentral/FAT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698__FDSAUDITLINK__" vbProcedure="false">{"fdsup://IBCentral/FAT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699__FDSAUDITLINK__" vbProcedure="false">{"fdsup://IBCentral/FAT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69__FDSAUDITLINK__" vbProcedure="false">{"fdsup://IBCentral/FAT Viewer?action=UPDATE&amp;creator=factset&amp;DOC_NAME=fat:reuters_annual_source_window.fat&amp;display_string=Audit&amp;DYN_ARGS=TRUE&amp;VAR:ID1=30231G10&amp;VAR:RCODE=ATCA&amp;VAR:SDATE=20051299&amp;VAR:FREQ=Y&amp;VAR:RELITEM=RP&amp;VAR:CURRENCY=&amp;VAR:CURRSOURCE=EXSHARE&amp;V","AR:NATFREQ=ANNUAL&amp;VAR:RFIELD=FINALIZED&amp;VAR:DB_TYPE=&amp;VAR:UNITS=M&amp;window=popup&amp;width=450&amp;height=300&amp;START_MAXIMIZED=FALSE"}</definedName>
    <definedName function="false" hidden="true" name="_6__123Graph_ACHART_14" vbProcedure="false">#REF!</definedName>
    <definedName function="false" hidden="true" name="_6__123Graph_ACHART_2" vbProcedure="false">#REF!</definedName>
    <definedName function="false" hidden="true" name="_6__123Graph_ACHART_21" vbProcedure="false">#REF!</definedName>
    <definedName function="false" hidden="true" name="_6__123Graph_BCHART_1" vbProcedure="false">#REF!</definedName>
    <definedName function="false" hidden="true" name="_6__123Graph_ECHART_1" vbProcedure="false">#REF!</definedName>
    <definedName function="false" hidden="true" name="_6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10"}</definedName>
    <definedName function="false" hidden="true" name="_6__FDSAUDITLINK___1" vbProcedure="false">{"fdsup://directions/FAT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function="false" hidden="true" name="_6__FDSAUDITLINK___2" vbProcedure="false">{"fdsup://directions/FAT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function="false" hidden="true" name="_700__FDSAUDITLINK__" vbProcedure="false">{"fdsup://IBCentral/FAT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701__FDSAUDITLINK__" vbProcedure="false">{"fdsup://IBCentral/FAT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702__FDSAUDITLINK__" vbProcedure="false">{"fdsup://IBCentral/FAT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703__FDSAUDITLINK__" vbProcedure="false">{"fdsup://IBCentral/FAT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704__FDSAUDITLINK__" vbProcedure="false">{"fdsup://IBCentral/FAT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705__FDSAUDITLINK__" vbProcedure="false">{"fdsup://IBCentral/FAT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706__FDSAUDITLINK__" vbProcedure="false">{"fdsup://IBCentral/FAT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707__FDSAUDITLINK__" vbProcedure="false">{"fdsup://IBCentral/FAT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708__FDSAUDITLINK__" vbProcedure="false">{"fdsup://IBCentral/FAT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709__FDSAUDITLINK__" vbProcedure="false">{"fdsup://IBCentral/FAT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70__FDSAUDITLINK__" vbProcedure="false">{"fdsup://IBCentral/FAT Viewer?action=UPDATE&amp;creator=factset&amp;DOC_NAME=fat:reuters_annual_source_window.fat&amp;display_string=Audit&amp;DYN_ARGS=TRUE&amp;VAR:ID1=30231G10&amp;VAR:RCODE=ATCA&amp;VAR:SDATE=20041299&amp;VAR:FREQ=Y&amp;VAR:RELITEM=RP&amp;VAR:CURRENCY=&amp;VAR:CURRSOURCE=EXSHARE&amp;V","AR:NATFREQ=ANNUAL&amp;VAR:RFIELD=FINALIZED&amp;VAR:DB_TYPE=&amp;VAR:UNITS=M&amp;window=popup&amp;width=450&amp;height=300&amp;START_MAXIMIZED=FALSE"}</definedName>
    <definedName function="false" hidden="true" name="_710__FDSAUDITLINK__" vbProcedure="false">{"fdsup://IBCentral/FAT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711__FDSAUDITLINK__" vbProcedure="false">{"fdsup://IBCentral/FAT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712__FDSAUDITLINK__" vbProcedure="false">{"fdsup://IBCentral/FAT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13__FDSAUDITLINK__" vbProcedure="false">{"fdsup://IBCentral/FAT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14__FDSAUDITLINK__" vbProcedure="false">{"fdsup://IBCentral/FAT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15__FDSAUDITLINK__" vbProcedure="false">{"fdsup://IBCentral/FAT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16__FDSAUDITLINK__" vbProcedure="false">{"fdsup://IBCentral/FAT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17__FDSAUDITLINK__" vbProcedure="false">{"fdsup://IBCentral/FAT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18__FDSAUDITLINK__" vbProcedure="false">{"fdsup://IBCentral/FAT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19__FDSAUDITLINK__" vbProcedure="false">{"fdsup://IBCentral/FAT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1__FDSAUDITLINK__" vbProcedure="false">{"fdsup://IBCentral/FAT Viewer?action=UPDATE&amp;creator=factset&amp;DOC_NAME=fat:reuters_annual_source_window.fat&amp;display_string=Audit&amp;DYN_ARGS=TRUE&amp;VAR:ID1=30231G10&amp;VAR:RCODE=ATCA&amp;VAR:SDATE=20031299&amp;VAR:FREQ=Y&amp;VAR:RELITEM=RP&amp;VAR:CURRENCY=&amp;VAR:CURRSOURCE=EXSHARE&amp;V","AR:NATFREQ=ANNUAL&amp;VAR:RFIELD=FINALIZED&amp;VAR:DB_TYPE=&amp;VAR:UNITS=M&amp;window=popup&amp;width=450&amp;height=300&amp;START_MAXIMIZED=FALSE"}</definedName>
    <definedName function="false" hidden="true" name="_720__FDSAUDITLINK__" vbProcedure="false">{"fdsup://IBCentral/FAT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21__FDSAUDITLINK__" vbProcedure="false">{"fdsup://IBCentral/FAT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22__FDSAUDITLINK__" vbProcedure="false">{"fdsup://IBCentral/FAT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23__FDSAUDITLINK__" vbProcedure="false">{"fdsup://IBCentral/FAT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24__FDSAUDITLINK__" vbProcedure="false">{"fdsup://IBCentral/FAT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25__FDSAUDITLINK__" vbProcedure="false">{"fdsup://IBCentral/FAT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26__FDSAUDITLINK__" vbProcedure="false">{"fdsup://IBCentral/FAT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27__FDSAUDITLINK__" vbProcedure="false">{"fdsup://IBCentral/FAT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728__FDSAUDITLINK__" vbProcedure="false">{"fdsup://IBCentral/FAT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729__FDSAUDITLINK__" vbProcedure="false">{"fdsup://IBCentral/FAT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72__FDSAUDITLINK__" vbProcedure="false">{"fdsup://IBCentral/FAT Viewer?action=UPDATE&amp;creator=factset&amp;DOC_NAME=fat:reuters_qtrly_source_window.fat&amp;display_string=Audit&amp;DYN_ARGS=TRUE&amp;VAR:ID1=30231G10&amp;VAR:RCODE=AITL&amp;VAR:SDATE=20071299&amp;VAR:FREQ=Quarterly&amp;VAR:RELITEM=&amp;VAR:CURRENCY=&amp;VAR:CURRSOURCE=EXSH","ARE&amp;VAR:NATFREQ=QUARTERLY&amp;VAR:RFIELD=FINALIZED&amp;VAR:DB_TYPE=&amp;VAR:UNITS=M&amp;window=popup&amp;width=450&amp;height=300&amp;START_MAXIMIZED=FALSE"}</definedName>
    <definedName function="false" hidden="true" name="_730__FDSAUDITLINK__" vbProcedure="false">{"fdsup://IBCentral/FAT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731__FDSAUDITLINK__" vbProcedure="false">{"fdsup://IBCentral/FAT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function="false" hidden="true" name="_732__FDSAUDITLINK__" vbProcedure="false">{"fdsup://IBCentral/FAT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function="false" hidden="true" name="_733__FDSAUDITLINK__" vbProcedure="false">{"fdsup://IBCentral/FAT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function="false" hidden="true" name="_734__FDSAUDITLINK__" vbProcedure="false">{"fdsup://IBCentral/FAT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function="false" hidden="true" name="_735__FDSAUDITLINK__" vbProcedure="false">{"fdsup://IBCentral/FAT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function="false" hidden="true" name="_736__FDSAUDITLINK__" vbProcedure="false">{"fdsup://IBCentral/FAT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function="false" hidden="true" name="_737__FDSAUDITLINK__" vbProcedure="false">{"fdsup://IBCentral/FAT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function="false" hidden="true" name="_738__FDSAUDITLINK__" vbProcedure="false">{"fdsup://IBCentral/FAT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function="false" hidden="true" name="_739__FDSAUDITLINK__" vbProcedure="false">{"fdsup://IBCentral/FAT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function="false" hidden="true" name="_73__FDSAUDITLINK__" vbProcedure="false">{"fdsup://IBCentral/FAT Viewer?action=UPDATE&amp;creator=factset&amp;DOC_NAME=fat:reuters_qtrly_source_window.fat&amp;display_string=Audit&amp;DYN_ARGS=TRUE&amp;VAR:ID1=30231G10&amp;VAR:RCODE=AITL&amp;VAR:SDATE=20061299&amp;VAR:FREQ=Quarterly&amp;VAR:RELITEM=&amp;VAR:CURRENCY=&amp;VAR:CURRSOURCE=EXSH","ARE&amp;VAR:NATFREQ=QUARTERLY&amp;VAR:RFIELD=FINALIZED&amp;VAR:DB_TYPE=&amp;VAR:UNITS=M&amp;window=popup&amp;width=450&amp;height=300&amp;START_MAXIMIZED=FALSE"}</definedName>
    <definedName function="false" hidden="true" name="_740__FDSAUDITLINK__" vbProcedure="false">{"fdsup://IBCentral/FAT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function="false" hidden="true" name="_741__FDSAUDITLINK__" vbProcedure="false">{"fdsup://IBCentral/FAT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function="false" hidden="true" name="_742__FDSAUDITLINK__" vbProcedure="false">{"fdsup://IBCentral/FAT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function="false" hidden="true" name="_743__FDSAUDITLINK__" vbProcedure="false">{"fdsup://IBCentral/FAT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function="false" hidden="true" name="_744__FDSAUDITLINK__" vbProcedure="false">{"fdsup://IBCentral/FAT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function="false" hidden="true" name="_745__FDSAUDITLINK__" vbProcedure="false">{"fdsup://IBCentral/FAT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function="false" hidden="true" name="_746__FDSAUDITLINK__" vbProcedure="false">{"fdsup://IBCentral/FAT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function="false" hidden="true" name="_747__FDSAUDITLINK__" vbProcedure="false">{"fdsup://IBCentral/FAT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function="false" hidden="true" name="_748__FDSAUDITLINK__" vbProcedure="false">{"fdsup://IBCentral/FAT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function="false" hidden="true" name="_749__FDSAUDITLINK__" vbProcedure="false">{"fdsup://IBCentral/FAT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function="false" hidden="true" name="_74__FDSAUDITLINK__" vbProcedure="false">{"fdsup://IBCentral/FAT Viewer?action=UPDATE&amp;creator=factset&amp;DOC_NAME=fat:reuters_qtrly_source_window.fat&amp;display_string=Audit&amp;DYN_ARGS=TRUE&amp;VAR:ID1=30231G10&amp;VAR:RCODE=AITL&amp;VAR:SDATE=20051299&amp;VAR:FREQ=Quarterly&amp;VAR:RELITEM=&amp;VAR:CURRENCY=&amp;VAR:CURRSOURCE=EXSH","ARE&amp;VAR:NATFREQ=QUARTERLY&amp;VAR:RFIELD=FINALIZED&amp;VAR:DB_TYPE=&amp;VAR:UNITS=M&amp;window=popup&amp;width=450&amp;height=300&amp;START_MAXIMIZED=FALSE"}</definedName>
    <definedName function="false" hidden="true" name="_750__FDSAUDITLINK__" vbProcedure="false">{"fdsup://IBCentral/FAT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function="false" hidden="true" name="_751__FDSAUDITLINK__" vbProcedure="false">{"fdsup://IBCentral/FAT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function="false" hidden="true" name="_752__FDSAUDITLINK__" vbProcedure="false">{"fdsup://IBCentral/FAT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function="false" hidden="true" name="_753__FDSAUDITLINK__" vbProcedure="false">{"fdsup://IBCentral/FAT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54__FDSAUDITLINK__" vbProcedure="false">{"fdsup://IBCentral/FAT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55__FDSAUDITLINK__" vbProcedure="false">{"fdsup://IBCentral/FAT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56__FDSAUDITLINK__" vbProcedure="false">{"fdsup://IBCentral/FAT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57__FDSAUDITLINK__" vbProcedure="false">{"fdsup://IBCentral/FAT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58__FDSAUDITLINK__" vbProcedure="false">{"fdsup://IBCentral/FAT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59__FDSAUDITLINK__" vbProcedure="false">{"fdsup://IBCentral/FAT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5__FDSAUDITLINK__" vbProcedure="false">{"fdsup://IBCentral/FAT Viewer?action=UPDATE&amp;creator=factset&amp;DOC_NAME=fat:reuters_qtrly_source_window.fat&amp;display_string=Audit&amp;DYN_ARGS=TRUE&amp;VAR:ID1=30231G10&amp;VAR:RCODE=AITL&amp;VAR:SDATE=20041299&amp;VAR:FREQ=Quarterly&amp;VAR:RELITEM=&amp;VAR:CURRENCY=&amp;VAR:CURRSOURCE=EXSH","ARE&amp;VAR:NATFREQ=QUARTERLY&amp;VAR:RFIELD=FINALIZED&amp;VAR:DB_TYPE=&amp;VAR:UNITS=M&amp;window=popup&amp;width=450&amp;height=300&amp;START_MAXIMIZED=FALSE"}</definedName>
    <definedName function="false" hidden="true" name="_760__FDSAUDITLINK__" vbProcedure="false">{"fdsup://IBCentral/FAT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61__FDSAUDITLINK__" vbProcedure="false">{"fdsup://IBCentral/FAT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62__FDSAUDITLINK__" vbProcedure="false">{"fdsup://IBCentral/FAT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63__FDSAUDITLINK__" vbProcedure="false">{"fdsup://IBCentral/FAT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64__FDSAUDITLINK__" vbProcedure="false">{"fdsup://IBCentral/FAT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65__FDSAUDITLINK__" vbProcedure="false">{"fdsup://IBCentral/FAT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66__FDSAUDITLINK__" vbProcedure="false">{"fdsup://IBCentral/FAT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67__FDSAUDITLINK__" vbProcedure="false">{"fdsup://IBCentral/FAT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68__FDSAUDITLINK__" vbProcedure="false">{"fdsup://IBCentral/FAT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69__FDSAUDITLINK__" vbProcedure="false">{"fdsup://IBCentral/FAT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6__FDSAUDITLINK__" vbProcedure="false">{"fdsup://IBCentral/FAT Viewer?action=UPDATE&amp;creator=factset&amp;DOC_NAME=fat:reuters_qtrly_source_window.fat&amp;display_string=Audit&amp;DYN_ARGS=TRUE&amp;VAR:ID1=30231G10&amp;VAR:RCODE=AITL&amp;VAR:SDATE=20031299&amp;VAR:FREQ=Quarterly&amp;VAR:RELITEM=&amp;VAR:CURRENCY=&amp;VAR:CURRSOURCE=EXSH","ARE&amp;VAR:NATFREQ=QUARTERLY&amp;VAR:RFIELD=FINALIZED&amp;VAR:DB_TYPE=&amp;VAR:UNITS=M&amp;window=popup&amp;width=450&amp;height=300&amp;START_MAXIMIZED=FALSE"}</definedName>
    <definedName function="false" hidden="true" name="_770__FDSAUDITLINK__" vbProcedure="false">{"fdsup://IBCentral/FAT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71__FDSAUDITLINK__" vbProcedure="false">{"fdsup://IBCentral/FAT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72__FDSAUDITLINK__" vbProcedure="false">{"fdsup://IBCentral/FAT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73__FDSAUDITLINK__" vbProcedure="false">{"fdsup://IBCentral/FAT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74__FDSAUDITLINK__" vbProcedure="false">{"fdsup://IBCentral/FAT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75__FDSAUDITLINK__" vbProcedure="false">{"fdsup://IBCentral/FAT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76__FDSAUDITLINK__" vbProcedure="false">{"fdsup://IBCentral/FAT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77__FDSAUDITLINK__" vbProcedure="false">{"fdsup://IBCentral/FAT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78__FDSAUDITLINK__" vbProcedure="false">{"fdsup://IBCentral/FAT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779__FDSAUDITLINK__" vbProcedure="false">{"fdsup://IBCentral/FAT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77__FDSAUDITLINK__" vbProcedure="false">{"fdsup://IBCentral/FAT Viewer?action=UPDATE&amp;creator=factset&amp;DOC_NAME=fat:reuters_annual_source_window.fat&amp;display_string=Audit&amp;DYN_ARGS=TRUE&amp;VAR:ID1=30231G10&amp;VAR:RCODE=ATRC&amp;VAR:SDATE=20071299&amp;VAR:FREQ=Y&amp;VAR:RELITEM=RP&amp;VAR:CURRENCY=&amp;VAR:CURRSOURCE=EXSHARE&amp;V","AR:NATFREQ=ANNUAL&amp;VAR:RFIELD=FINALIZED&amp;VAR:DB_TYPE=&amp;VAR:UNITS=M&amp;window=popup&amp;width=450&amp;height=300&amp;START_MAXIMIZED=FALSE"}</definedName>
    <definedName function="false" hidden="true" name="_780__FDSAUDITLINK__" vbProcedure="false">{"fdsup://IBCentral/FAT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781__FDSAUDITLINK__" vbProcedure="false">{"fdsup://IBCentral/FAT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782__FDSAUDITLINK__" vbProcedure="false">{"fdsup://IBCentral/FAT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783__FDSAUDITLINK__" vbProcedure="false">{"fdsup://Directions/FactSet Auditing Viewer?action=AUDIT_VALUE&amp;DB=129&amp;ID1=B03MM4&amp;VALUEID=02001&amp;SDATE=201004&amp;PERIODTYPE=QTR_STD&amp;window=popup_no_bar&amp;width=385&amp;height=120&amp;START_MAXIMIZED=FALSE&amp;creator=factset&amp;display_string=Audit"}</definedName>
    <definedName function="false" hidden="true" name="_786__FDSAUDITLINK__" vbProcedure="false">{"fdsup://Directions/FactSet Auditing Viewer?action=AUDIT_VALUE&amp;DB=129&amp;ID1=573282&amp;VALUEID=01250&amp;SDATE=2010&amp;PERIODTYPE=ANN_STD&amp;window=popup_no_bar&amp;width=385&amp;height=120&amp;START_MAXIMIZED=FALSE&amp;creator=factset&amp;display_string=Audit"}</definedName>
    <definedName function="false" hidden="true" name="_789__FDSAUDITLINK__" vbProcedure="false">{"fdsup://directions/FAT Viewer?action=UPDATE&amp;creator=factset&amp;DYN_ARGS=TRUE&amp;DOC_NAME=FAT:FQL_AUDITING_CLIENT_TEMPLATE.FAT&amp;display_string=Audit&amp;VAR:KEY=SLQXKLWNER&amp;VAR:QUERY=RkZfRUJJVF9PUEVSKEFOTiw0MDI5OCwsLCxJQ19DVVJSRU5DWV9JU08oKSxNKQ==&amp;WINDOW=FIRST_POPUP&amp;H","EIGHT=450&amp;WIDTH=450&amp;START_MAXIMIZED=FALSE&amp;VAR:CALENDAR=US&amp;VAR:SYMBOL=B3KHXB&amp;VAR:INDEX=0"}</definedName>
    <definedName function="false" hidden="true" name="_78__FDSAUDITLINK__" vbProcedure="false">{"fdsup://IBCentral/FAT Viewer?action=UPDATE&amp;creator=factset&amp;DOC_NAME=fat:reuters_annual_source_window.fat&amp;display_string=Audit&amp;DYN_ARGS=TRUE&amp;VAR:ID1=30231G10&amp;VAR:RCODE=ATRC&amp;VAR:SDATE=20061299&amp;VAR:FREQ=Y&amp;VAR:RELITEM=RP&amp;VAR:CURRENCY=&amp;VAR:CURRSOURCE=EXSHARE&amp;V","AR:NATFREQ=ANNUAL&amp;VAR:RFIELD=FINALIZED&amp;VAR:DB_TYPE=&amp;VAR:UNITS=M&amp;window=popup&amp;width=450&amp;height=300&amp;START_MAXIMIZED=FALSE"}</definedName>
    <definedName function="false" hidden="true" name="_792__FDSAUDITLINK__" vbProcedure="false">{"fdsup://Directions/FactSet Auditing Viewer?action=AUDIT_VALUE&amp;DB=129&amp;ID1=B03MM4&amp;VALUEID=01151&amp;SDATE=2010&amp;PERIODTYPE=ANN_STD&amp;window=popup_no_bar&amp;width=385&amp;height=120&amp;START_MAXIMIZED=FALSE&amp;creator=factset&amp;display_string=Audit"}</definedName>
    <definedName function="false" hidden="true" name="_798__FDSAUDITLINK__" vbProcedure="false">{"fdsup://directions/FAT Viewer?action=UPDATE&amp;creator=factset&amp;DYN_ARGS=TRUE&amp;DOC_NAME=FAT:FQL_AUDITING_CLIENT_TEMPLATE.FAT&amp;display_string=Audit&amp;VAR:KEY=UTUHCNMRQT&amp;VAR:QUERY=RkZfTkVUX0lOQyhMVE1TLDAsLCwsSUNfQ1VSUkVOQ1lfSVNPKCkp&amp;WINDOW=FIRST_POPUP&amp;HEIGHT=450&amp;WI","DTH=450&amp;START_MAXIMIZED=FALSE&amp;VAR:CALENDAR=US&amp;VAR:SYMBOL=B03MM4&amp;VAR:INDEX=0"}</definedName>
    <definedName function="false" hidden="true" name="_79__FDSAUDITLINK__" vbProcedure="false">{"fdsup://IBCentral/FAT Viewer?action=UPDATE&amp;creator=factset&amp;DOC_NAME=fat:reuters_annual_source_window.fat&amp;display_string=Audit&amp;DYN_ARGS=TRUE&amp;VAR:ID1=30231G10&amp;VAR:RCODE=ATRC&amp;VAR:SDATE=20051299&amp;VAR:FREQ=Y&amp;VAR:RELITEM=RP&amp;VAR:CURRENCY=&amp;VAR:CURRSOURCE=EXSHARE&amp;V","AR:NATFREQ=ANNUAL&amp;VAR:RFIELD=FINALIZED&amp;VAR:DB_TYPE=&amp;VAR:UNITS=M&amp;window=popup&amp;width=450&amp;height=300&amp;START_MAXIMIZED=FALSE"}</definedName>
    <definedName function="false" hidden="true" name="_7__123Graph_ACHART_2" vbProcedure="false">#REF!</definedName>
    <definedName function="false" hidden="true" name="_7__123Graph_ACHART_22" vbProcedure="false">#REF!</definedName>
    <definedName function="false" hidden="true" name="_7__123Graph_BCHART_3" vbProcedure="false">#REF!</definedName>
    <definedName function="false" hidden="true" name="_7__123Graph_XCHART_2" vbProcedure="false">#REF!</definedName>
    <definedName function="false" hidden="true" name="_7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7"}</definedName>
    <definedName function="false" hidden="true" name="_7__FDSAUDITLINK___1" vbProcedure="false">{"fdsup://directions/FAT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function="false" hidden="true" name="_7__FDSAUDITLINK___2" vbProcedure="false">{"fdsup://directions/FAT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function="false" hidden="true" name="_800__FDSAUDITLINK__" vbProcedure="false">{"fdsup://directions/FAT Viewer?action=UPDATE&amp;creator=factset&amp;DYN_ARGS=TRUE&amp;DOC_NAME=FAT:FQL_AUDITING_CLIENT_TEMPLATE.FAT&amp;display_string=Audit&amp;VAR:KEY=WZUZERQJWJ&amp;VAR:QUERY=RkZfRUJJVERBX09QRVIoTFRNUywwLCwsLElDX0NVUlJFTkNZX0lTTygpKQ==&amp;WINDOW=FIRST_POPUP&amp;HEIGH","T=450&amp;WIDTH=450&amp;START_MAXIMIZED=FALSE&amp;VAR:CALENDAR=US&amp;VAR:SYMBOL=B03MM4&amp;VAR:INDEX=0"}</definedName>
    <definedName function="false" hidden="true" name="_804__FDSAUDITLINK__" vbProcedure="false">{"fdsup://directions/FAT Viewer?action=UPDATE&amp;creator=factset&amp;DYN_ARGS=TRUE&amp;DOC_NAME=FAT:FQL_AUDITING_CLIENT_TEMPLATE.FAT&amp;display_string=Audit&amp;VAR:KEY=DCBKNWDAHK&amp;VAR:QUERY=RkZfRVBTX0RJTChBTk4sMzk4MTMsLCwsSUNfQ1VSUkVOQ1lfSVNPKCkp&amp;WINDOW=FIRST_POPUP&amp;HEIGHT=45","0&amp;WIDTH=450&amp;START_MAXIMIZED=FALSE&amp;VAR:CALENDAR=US&amp;VAR:SYMBOL=B12T3J&amp;VAR:INDEX=0"}</definedName>
    <definedName function="false" hidden="true" name="_805__FDSAUDITLINK__" vbProcedure="false">{"fdsup://Directions/FactSet Auditing Viewer?action=AUDIT_VALUE&amp;DB=129&amp;ID1=58958410&amp;VALUEID=01001&amp;SDATE=2010&amp;PERIODTYPE=ANN_STD&amp;window=popup_no_bar&amp;width=385&amp;height=120&amp;START_MAXIMIZED=FALSE&amp;creator=factset&amp;display_string=Audit"}</definedName>
    <definedName function="false" hidden="true" name="_806__FDSAUDITLINK__" vbProcedure="false">{"fdsup://directions/FAT Viewer?action=UPDATE&amp;creator=factset&amp;DYN_ARGS=TRUE&amp;DOC_NAME=FAT:FQL_AUDITING_CLIENT_TEMPLATE.FAT&amp;display_string=Audit&amp;VAR:KEY=PAFAZQNKPY&amp;VAR:QUERY=RkZfRVBTX0RJTChBTk4sNDA3MjYsLCwsSUNfQ1VSUkVOQ1lfSVNPKCkp&amp;WINDOW=FIRST_POPUP&amp;HEIGHT=45","0&amp;WIDTH=450&amp;START_MAXIMIZED=FALSE&amp;VAR:CALENDAR=US&amp;VAR:SYMBOL=JDSU&amp;VAR:INDEX=0"}</definedName>
    <definedName function="false" hidden="true" name="_807__FDSAUDITLINK__" vbProcedure="false">{"fdsup://directions/FAT Viewer?action=UPDATE&amp;creator=factset&amp;DYN_ARGS=TRUE&amp;DOC_NAME=FAT:FQL_AUDITING_CLIENT_TEMPLATE.FAT&amp;display_string=Audit&amp;VAR:KEY=JCNCDWZYHQ&amp;VAR:QUERY=RkZfQ0FQRVgoQU5OLDM5ODEzLCwsLElDX0NVUlJFTkNZX0lTTygpLE0p&amp;WINDOW=FIRST_POPUP&amp;HEIGHT=45","0&amp;WIDTH=450&amp;START_MAXIMIZED=FALSE&amp;VAR:CALENDAR=US&amp;VAR:SYMBOL=668718&amp;VAR:INDEX=0"}</definedName>
    <definedName function="false" hidden="true" name="_809__FDSAUDITLINK__" vbProcedure="false">{"fdsup://directions/FAT Viewer?action=UPDATE&amp;creator=factset&amp;DYN_ARGS=TRUE&amp;DOC_NAME=FAT:FQL_AUDITING_CLIENT_TEMPLATE.FAT&amp;display_string=Audit&amp;VAR:KEY=UVENUHKHAX&amp;VAR:QUERY=RkZfRVBTX0RJTChBTk4sNDA1NDMsLCwsSUNfQ1VSUkVOQ1lfSVNPKCkp&amp;WINDOW=FIRST_POPUP&amp;HEIGHT=45","0&amp;WIDTH=450&amp;START_MAXIMIZED=FALSE&amp;VAR:CALENDAR=US&amp;VAR:SYMBOL=B03MM4&amp;VAR:INDEX=0"}</definedName>
    <definedName function="false" hidden="true" name="_80__FDSAUDITLINK__" vbProcedure="false">{"fdsup://IBCentral/FAT Viewer?action=UPDATE&amp;creator=factset&amp;DOC_NAME=fat:reuters_annual_source_window.fat&amp;display_string=Audit&amp;DYN_ARGS=TRUE&amp;VAR:ID1=30231G10&amp;VAR:RCODE=ATRC&amp;VAR:SDATE=20041299&amp;VAR:FREQ=Y&amp;VAR:RELITEM=RP&amp;VAR:CURRENCY=&amp;VAR:CURRSOURCE=EXSHARE&amp;V","AR:NATFREQ=ANNUAL&amp;VAR:RFIELD=FINALIZED&amp;VAR:DB_TYPE=&amp;VAR:UNITS=M&amp;window=popup&amp;width=450&amp;height=300&amp;START_MAXIMIZED=FALSE"}</definedName>
    <definedName function="false" hidden="true" name="_811__FDSAUDITLINK__" vbProcedure="false">{"fdsup://directions/FAT Viewer?action=UPDATE&amp;creator=factset&amp;DYN_ARGS=TRUE&amp;DOC_NAME=FAT:FQL_AUDITING_CLIENT_TEMPLATE.FAT&amp;display_string=Audit&amp;VAR:KEY=YLORUBAZMD&amp;VAR:QUERY=RkZfQ0FQRVgoQU5OLDQwNDUxLCwsLElDX0NVUlJFTkNZX0lTTygpLE0p&amp;WINDOW=FIRST_POPUP&amp;HEIGHT=45","0&amp;WIDTH=450&amp;START_MAXIMIZED=FALSE&amp;VAR:CALENDAR=US&amp;VAR:SYMBOL=58958410&amp;VAR:INDEX=0"}</definedName>
    <definedName function="false" hidden="true" name="_812__FDSAUDITLINK__" vbProcedure="false">{"fdsup://directions/FAT Viewer?action=UPDATE&amp;creator=factset&amp;DYN_ARGS=TRUE&amp;DOC_NAME=FAT:FQL_AUDITING_CLIENT_TEMPLATE.FAT&amp;display_string=Audit&amp;VAR:KEY=CDCPIPCNUT&amp;VAR:QUERY=RkZfSU5UX0VYUF9ORVQoTFRNUywwLCwsLElDX0NVUlJFTkNZX0lTTygpKQ==&amp;WINDOW=FIRST_POPUP&amp;HEIGH","T=450&amp;WIDTH=450&amp;START_MAXIMIZED=FALSE&amp;VAR:CALENDAR=US&amp;VAR:SYMBOL=B03MM4&amp;VAR:INDEX=0"}</definedName>
    <definedName function="false" hidden="true" name="_813__FDSAUDITLINK__" vbProcedure="false">{"fdsup://Directions/FactSet Auditing Viewer?action=AUDIT_VALUE&amp;DB=129&amp;ID1=58958410&amp;VALUEID=04831&amp;SDATE=2010&amp;PERIODTYPE=ANN_STD&amp;window=popup_no_bar&amp;width=385&amp;height=120&amp;START_MAXIMIZED=FALSE&amp;creator=factset&amp;display_string=Audit"}</definedName>
    <definedName function="false" hidden="true" name="_814__FDSAUDITLINK__" vbProcedure="false">{"fdsup://directions/FAT Viewer?action=UPDATE&amp;creator=factset&amp;DYN_ARGS=TRUE&amp;DOC_NAME=FAT:FQL_AUDITING_CLIENT_TEMPLATE.FAT&amp;display_string=Audit&amp;VAR:KEY=MVEZKDYLSD&amp;VAR:QUERY=RkZfSU5UX0VYUF9ORVQoTFRNUywwLCwsLElDX0NVUlJFTkNZX0lTTygpKQ==&amp;WINDOW=FIRST_POPUP&amp;HEIGH","T=450&amp;WIDTH=450&amp;START_MAXIMIZED=FALSE&amp;VAR:CALENDAR=US&amp;VAR:SYMBOL=58958410&amp;VAR:INDEX=0"}</definedName>
    <definedName function="false" hidden="true" name="_815__FDSAUDITLINK__" vbProcedure="false">{"fdsup://directions/FAT Viewer?action=UPDATE&amp;creator=factset&amp;DYN_ARGS=TRUE&amp;DOC_NAME=FAT:FQL_AUDITING_CLIENT_TEMPLATE.FAT&amp;display_string=Audit&amp;VAR:KEY=NEFKFOZQBK&amp;VAR:QUERY=RkZfRUJJVERBX09QRVIoQU5OLDQwMjY4LCwsLElDX0NVUlJFTkNZX0lTTygpLE0p&amp;WINDOW=FIRST_POPUP&amp;H","EIGHT=450&amp;WIDTH=450&amp;START_MAXIMIZED=FALSE&amp;VAR:CALENDAR=US&amp;VAR:SYMBOL=626167&amp;VAR:INDEX=0"}</definedName>
    <definedName function="false" hidden="true" name="_816__FDSAUDITLINK__" vbProcedure="false">{"fdsup://directions/FAT Viewer?action=UPDATE&amp;creator=factset&amp;DYN_ARGS=TRUE&amp;DOC_NAME=FAT:FQL_AUDITING_CLIENT_TEMPLATE.FAT&amp;display_string=Audit&amp;VAR:KEY=AJIZGTUDAJ&amp;VAR:QUERY=RkZfRUJJVF9PUEVSKExUTVMsMCwsLCxJQ19DVVJSRU5DWV9JU08oKSk=&amp;WINDOW=FIRST_POPUP&amp;HEIGHT=45","0&amp;WIDTH=450&amp;START_MAXIMIZED=FALSE&amp;VAR:CALENDAR=US&amp;VAR:SYMBOL=58958410&amp;VAR:INDEX=0"}</definedName>
    <definedName function="false" hidden="true" name="_818__FDSAUDITLINK__" vbProcedure="false">{"fdsup://directions/FAT Viewer?action=UPDATE&amp;creator=factset&amp;DYN_ARGS=TRUE&amp;DOC_NAME=FAT:FQL_AUDITING_CLIENT_TEMPLATE.FAT&amp;display_string=Audit&amp;VAR:KEY=SXMTUFCHCJ&amp;VAR:QUERY=KCgoRkZfREVCVF9MVChRVFIsMEQsLCwsSUNfQ1VSUkVOQ1lfSVNPKCkpQEZGX0RFQlRfTFQoU0VNSSwwRCwsL","CxJQ19DVVJSRU5DWV9JU08oKSkpQEZGX0RFQlRfTFQoUVRSLDBELTEsLCwsSUNfQ1VSUkVOQ1lfSVNPKCkpKUBGRl9ERUJUX0xUKFNFTUksMEQtMSwsLCxJQ19DVVJSRU5DWV9JU08oKSkp&amp;WINDOW=FIRST_POPUP&amp;HEIGHT=450&amp;WIDTH=450&amp;START_MAXIMIZED=FALSE&amp;VAR:CALENDAR=US&amp;VAR:SYMBOL=58958410&amp;VAR:INDEX=0"}</definedName>
    <definedName function="false" hidden="true" name="_819__FDSAUDITLINK__" vbProcedure="false">{"fdsup://directions/FAT Viewer?action=UPDATE&amp;creator=factset&amp;DYN_ARGS=TRUE&amp;DOC_NAME=FAT:FQL_AUDITING_CLIENT_TEMPLATE.FAT&amp;display_string=Audit&amp;VAR:KEY=KPKHONKXKT&amp;VAR:QUERY=RkZfRUJJVERBX09QRVIoTFRNUywwLCwsLElDX0NVUlJFTkNZX0lTTygpKQ==&amp;WINDOW=FIRST_POPUP&amp;HEIGH","T=450&amp;WIDTH=450&amp;START_MAXIMIZED=FALSE&amp;VAR:CALENDAR=US&amp;VAR:SYMBOL=B03MM4&amp;VAR:INDEX=0"}</definedName>
    <definedName function="false" hidden="true" name="_81__FDSAUDITLINK__" vbProcedure="false">{"fdsup://IBCentral/FAT Viewer?action=UPDATE&amp;creator=factset&amp;DOC_NAME=fat:reuters_annual_source_window.fat&amp;display_string=Audit&amp;DYN_ARGS=TRUE&amp;VAR:ID1=30231G10&amp;VAR:RCODE=ATRC&amp;VAR:SDATE=20031299&amp;VAR:FREQ=Y&amp;VAR:RELITEM=RP&amp;VAR:CURRENCY=&amp;VAR:CURRSOURCE=EXSHARE&amp;V","AR:NATFREQ=ANNUAL&amp;VAR:RFIELD=FINALIZED&amp;VAR:DB_TYPE=&amp;VAR:UNITS=M&amp;window=popup&amp;width=450&amp;height=300&amp;START_MAXIMIZED=FALSE"}</definedName>
    <definedName function="false" hidden="true" name="_820__FDSAUDITLINK__" vbProcedure="false">{"fdsup://directions/FAT Viewer?action=UPDATE&amp;creator=factset&amp;DYN_ARGS=TRUE&amp;DOC_NAME=FAT:FQL_AUDITING_CLIENT_TEMPLATE.FAT&amp;display_string=Audit&amp;VAR:KEY=IBABIPGFCH&amp;VAR:QUERY=RkZfRUJJVERBX09QRVIoTFRNUywwLCwsLElDX0NVUlJFTkNZX0lTTygpKQ==&amp;WINDOW=FIRST_POPUP&amp;HEIGH","T=450&amp;WIDTH=450&amp;START_MAXIMIZED=FALSE&amp;VAR:CALENDAR=US&amp;VAR:SYMBOL=B3KHXB&amp;VAR:INDEX=0"}</definedName>
    <definedName function="false" hidden="true" name="_821__FDSAUDITLINK__" vbProcedure="false">{"fdsup://Directions/FactSet Auditing Viewer?action=AUDIT_VALUE&amp;DB=129&amp;ID1=B3KHXB&amp;VALUEID=03451&amp;SDATE=201001&amp;PERIODTYPE=SEMI_STD&amp;window=popup_no_bar&amp;width=385&amp;height=120&amp;START_MAXIMIZED=FALSE&amp;creator=factset&amp;display_string=Audit"}</definedName>
    <definedName function="false" hidden="true" name="_822__FDSAUDITLINK__" vbProcedure="false">{"fdsup://directions/FAT Viewer?action=UPDATE&amp;creator=factset&amp;DYN_ARGS=TRUE&amp;DOC_NAME=FAT:FQL_AUDITING_CLIENT_TEMPLATE.FAT&amp;display_string=Audit&amp;VAR:KEY=CNULCJCRGV&amp;VAR:QUERY=KCgoRkZfREVCVF9MVChRVFIsMEQsLCwsSUNfQ1VSUkVOQ1lfSVNPKCkpQEZGX0RFQlRfTFQoU0VNSSwwRCwsL","CxJQ19DVVJSRU5DWV9JU08oKSkpQEZGX0RFQlRfTFQoUVRSLDBELTEsLCwsSUNfQ1VSUkVOQ1lfSVNPKCkpKUBGRl9ERUJUX0xUKFNFTUksMEQtMSwsLCxJQ19DVVJSRU5DWV9JU08oKSkp&amp;WINDOW=FIRST_POPUP&amp;HEIGHT=450&amp;WIDTH=450&amp;START_MAXIMIZED=FALSE&amp;VAR:CALENDAR=US&amp;VAR:SYMBOL=B3KHXB&amp;VAR:INDEX=0"}</definedName>
    <definedName function="false" hidden="true" name="_823__FDSAUDITLINK__" vbProcedure="false">{"fdsup://IBCentral/FAT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24__FDSAUDITLINK__" vbProcedure="false">{"fdsup://IBCentral/FAT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25__FDSAUDITLINK__" vbProcedure="false">{"fdsup://IBCentral/FAT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26__FDSAUDITLINK__" vbProcedure="false">{"fdsup://IBCentral/FAT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27__FDSAUDITLINK__" vbProcedure="false">{"fdsup://IBCentral/FAT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28__FDSAUDITLINK__" vbProcedure="false">{"fdsup://IBCentral/FAT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29__FDSAUDITLINK__" vbProcedure="false">{"fdsup://IBCentral/FAT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2__FDSAUDITLINK__" vbProcedure="false">{"fdsup://IBCentral/FAT Viewer?action=UPDATE&amp;creator=factset&amp;DOC_NAME=fat:reuters_annual_source_window.fat&amp;display_string=Audit&amp;DYN_ARGS=TRUE&amp;VAR:ID1=30231G10&amp;VAR:RCODE=SCSI&amp;VAR:SDATE=20071299&amp;VAR:FREQ=Y&amp;VAR:RELITEM=RP&amp;VAR:CURRENCY=&amp;VAR:CURRSOURCE=EXSHARE&amp;V","AR:NATFREQ=ANNUAL&amp;VAR:RFIELD=FINALIZED&amp;VAR:DB_TYPE=&amp;VAR:UNITS=M&amp;window=popup&amp;width=450&amp;height=300&amp;START_MAXIMIZED=FALSE"}</definedName>
    <definedName function="false" hidden="true" name="_830__FDSAUDITLINK__" vbProcedure="false">{"fdsup://IBCentral/FAT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31__FDSAUDITLINK__" vbProcedure="false">{"fdsup://IBCentral/FAT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32__FDSAUDITLINK__" vbProcedure="false">{"fdsup://IBCentral/FAT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33__FDSAUDITLINK__" vbProcedure="false">{"fdsup://IBCentral/FAT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34__FDSAUDITLINK__" vbProcedure="false">{"fdsup://IBCentral/FAT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35__FDSAUDITLINK__" vbProcedure="false">{"fdsup://IBCentral/FAT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36__FDSAUDITLINK__" vbProcedure="false">{"fdsup://IBCentral/FAT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37__FDSAUDITLINK__" vbProcedure="false">{"fdsup://IBCentral/FAT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38__FDSAUDITLINK__" vbProcedure="false">{"fdsup://IBCentral/FAT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39__FDSAUDITLINK__" vbProcedure="false">{"fdsup://IBCentral/FAT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3__FDSAUDITLINK__" vbProcedure="false">{"fdsup://IBCentral/FAT Viewer?action=UPDATE&amp;creator=factset&amp;DOC_NAME=fat:reuters_annual_source_window.fat&amp;display_string=Audit&amp;DYN_ARGS=TRUE&amp;VAR:ID1=30231G10&amp;VAR:RCODE=SCSI&amp;VAR:SDATE=20061299&amp;VAR:FREQ=Y&amp;VAR:RELITEM=RP&amp;VAR:CURRENCY=&amp;VAR:CURRSOURCE=EXSHARE&amp;V","AR:NATFREQ=ANNUAL&amp;VAR:RFIELD=FINALIZED&amp;VAR:DB_TYPE=&amp;VAR:UNITS=M&amp;window=popup&amp;width=450&amp;height=300&amp;START_MAXIMIZED=FALSE"}</definedName>
    <definedName function="false" hidden="true" name="_840__FDSAUDITLINK__" vbProcedure="false">{"fdsup://IBCentral/FAT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41__FDSAUDITLINK__" vbProcedure="false">{"fdsup://IBCentral/FAT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42__FDSAUDITLINK__" vbProcedure="false">{"fdsup://IBCentral/FAT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43__FDSAUDITLINK__" vbProcedure="false">{"fdsup://IBCentral/FAT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44__FDSAUDITLINK__" vbProcedure="false">{"fdsup://IBCentral/FAT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45__FDSAUDITLINK__" vbProcedure="false">{"fdsup://IBCentral/FAT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46__FDSAUDITLINK__" vbProcedure="false">{"fdsup://IBCentral/FAT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47__FDSAUDITLINK__" vbProcedure="false">{"fdsup://IBCentral/FAT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48__FDSAUDITLINK__" vbProcedure="false">{"fdsup://IBCentral/FAT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49__FDSAUDITLINK__" vbProcedure="false">{"fdsup://IBCentral/FAT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4__FDSAUDITLINK__" vbProcedure="false">{"fdsup://IBCentral/FAT Viewer?action=UPDATE&amp;creator=factset&amp;DOC_NAME=fat:reuters_annual_source_window.fat&amp;display_string=Audit&amp;DYN_ARGS=TRUE&amp;VAR:ID1=30231G10&amp;VAR:RCODE=SCSI&amp;VAR:SDATE=20051299&amp;VAR:FREQ=Y&amp;VAR:RELITEM=RP&amp;VAR:CURRENCY=&amp;VAR:CURRSOURCE=EXSHARE&amp;V","AR:NATFREQ=ANNUAL&amp;VAR:RFIELD=FINALIZED&amp;VAR:DB_TYPE=&amp;VAR:UNITS=M&amp;window=popup&amp;width=450&amp;height=300&amp;START_MAXIMIZED=FALSE"}</definedName>
    <definedName function="false" hidden="true" name="_850__FDSAUDITLINK__" vbProcedure="false">{"fdsup://IBCentral/FAT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51__FDSAUDITLINK__" vbProcedure="false">{"fdsup://IBCentral/FAT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52__FDSAUDITLINK__" vbProcedure="false">{"fdsup://IBCentral/FAT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53__FDSAUDITLINK__" vbProcedure="false">{"fdsup://IBCentral/FAT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54__FDSAUDITLINK__" vbProcedure="false">{"fdsup://IBCentral/FAT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55__FDSAUDITLINK__" vbProcedure="false">{"fdsup://IBCentral/FAT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856__FDSAUDITLINK__" vbProcedure="false">{"fdsup://IBCentral/FAT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857__FDSAUDITLINK__" vbProcedure="false">{"fdsup://IBCentral/FAT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858__FDSAUDITLINK__" vbProcedure="false">{"fdsup://IBCentral/FAT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859__FDSAUDITLINK__" vbProcedure="false">{"fdsup://IBCentral/FAT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function="false" hidden="true" name="_85__FDSAUDITLINK__" vbProcedure="false">{"fdsup://IBCentral/FAT Viewer?action=UPDATE&amp;creator=factset&amp;DOC_NAME=fat:reuters_annual_source_window.fat&amp;display_string=Audit&amp;DYN_ARGS=TRUE&amp;VAR:ID1=30231G10&amp;VAR:RCODE=SCSI&amp;VAR:SDATE=20041299&amp;VAR:FREQ=Y&amp;VAR:RELITEM=RP&amp;VAR:CURRENCY=&amp;VAR:CURRSOURCE=EXSHARE&amp;V","AR:NATFREQ=ANNUAL&amp;VAR:RFIELD=FINALIZED&amp;VAR:DB_TYPE=&amp;VAR:UNITS=M&amp;window=popup&amp;width=450&amp;height=300&amp;START_MAXIMIZED=FALSE"}</definedName>
    <definedName function="false" hidden="true" name="_860__FDSAUDITLINK__" vbProcedure="false">{"fdsup://IBCentral/FAT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861__FDSAUDITLINK__" vbProcedure="false">{"fdsup://IBCentral/FAT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function="false" hidden="true" name="_862__FDSAUDITLINK__" vbProcedure="false">{"fdsup://IBCentral/FAT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function="false" hidden="true" name="_863__FDSAUDITLINK__" vbProcedure="false">{"fdsup://IBCentral/FAT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864__FDSAUDITLINK__" vbProcedure="false">{"fdsup://IBCentral/FAT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865__FDSAUDITLINK__" vbProcedure="false">{"fdsup://IBCentral/FAT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866__FDSAUDITLINK__" vbProcedure="false">{"fdsup://IBCentral/FAT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867__FDSAUDITLINK__" vbProcedure="false">{"fdsup://IBCentral/FAT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function="false" hidden="true" name="_868__FDSAUDITLINK__" vbProcedure="false">{"fdsup://IBCentral/FAT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function="false" hidden="true" name="_869__FDSAUDITLINK__" vbProcedure="false">{"fdsup://IBCentral/FAT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6__FDSAUDITLINK__" vbProcedure="false">{"fdsup://IBCentral/FAT Viewer?action=UPDATE&amp;creator=factset&amp;DOC_NAME=fat:reuters_annual_source_window.fat&amp;display_string=Audit&amp;DYN_ARGS=TRUE&amp;VAR:ID1=30231G10&amp;VAR:RCODE=SCSI&amp;VAR:SDATE=20031299&amp;VAR:FREQ=Y&amp;VAR:RELITEM=RP&amp;VAR:CURRENCY=&amp;VAR:CURRSOURCE=EXSHARE&amp;V","AR:NATFREQ=ANNUAL&amp;VAR:RFIELD=FINALIZED&amp;VAR:DB_TYPE=&amp;VAR:UNITS=M&amp;window=popup&amp;width=450&amp;height=300&amp;START_MAXIMIZED=FALSE"}</definedName>
    <definedName function="false" hidden="true" name="_870__FDSAUDITLINK__" vbProcedure="false">{"fdsup://IBCentral/FAT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71__FDSAUDITLINK__" vbProcedure="false">{"fdsup://IBCentral/FAT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72__FDSAUDITLINK__" vbProcedure="false">{"fdsup://IBCentral/FAT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73__FDSAUDITLINK__" vbProcedure="false">{"fdsup://IBCentral/FAT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74__FDSAUDITLINK__" vbProcedure="false">{"fdsup://IBCentral/FAT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75__FDSAUDITLINK__" vbProcedure="false">{"fdsup://IBCentral/FAT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76__FDSAUDITLINK__" vbProcedure="false">{"fdsup://IBCentral/FAT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77__FDSAUDITLINK__" vbProcedure="false">{"fdsup://IBCentral/FAT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78__FDSAUDITLINK__" vbProcedure="false">{"fdsup://IBCentral/FAT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79__FDSAUDITLINK__" vbProcedure="false">{"fdsup://IBCentral/FAT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7__FDSAUDITLINK__" vbProcedure="false">{"fdsup://IBCentral/FAT Viewer?action=UPDATE&amp;creator=factset&amp;DOC_NAME=fat:reuters_annual_source_window.fat&amp;display_string=Audit&amp;DYN_ARGS=TRUE&amp;VAR:ID1=30231G10&amp;VAR:RCODE=SCEX&amp;VAR:SDATE=20071299&amp;VAR:FREQ=Y&amp;VAR:RELITEM=RP&amp;VAR:CURRENCY=&amp;VAR:CURRSOURCE=EXSHARE&amp;V","AR:NATFREQ=ANNUAL&amp;VAR:RFIELD=FINALIZED&amp;VAR:DB_TYPE=&amp;VAR:UNITS=M&amp;window=popup&amp;width=450&amp;height=300&amp;START_MAXIMIZED=FALSE"}</definedName>
    <definedName function="false" hidden="true" name="_880__FDSAUDITLINK__" vbProcedure="false">{"fdsup://IBCentral/FAT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81__FDSAUDITLINK__" vbProcedure="false">{"fdsup://IBCentral/FAT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82__FDSAUDITLINK__" vbProcedure="false">{"fdsup://IBCentral/FAT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83__FDSAUDITLINK__" vbProcedure="false">{"fdsup://IBCentral/FAT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84__FDSAUDITLINK__" vbProcedure="false">{"fdsup://IBCentral/FAT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85__FDSAUDITLINK__" vbProcedure="false">{"fdsup://IBCentral/FAT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86__FDSAUDITLINK__" vbProcedure="false">{"fdsup://IBCentral/FAT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87__FDSAUDITLINK__" vbProcedure="false">{"fdsup://IBCentral/FAT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88__FDSAUDITLINK__" vbProcedure="false">{"fdsup://IBCentral/FAT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89__FDSAUDITLINK__" vbProcedure="false">{"fdsup://IBCentral/FAT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8__FDSAUDITLINK__" vbProcedure="false">{"fdsup://IBCentral/FAT Viewer?action=UPDATE&amp;creator=factset&amp;DOC_NAME=fat:reuters_annual_source_window.fat&amp;display_string=Audit&amp;DYN_ARGS=TRUE&amp;VAR:ID1=30231G10&amp;VAR:RCODE=SCEX&amp;VAR:SDATE=20061299&amp;VAR:FREQ=Y&amp;VAR:RELITEM=RP&amp;VAR:CURRENCY=&amp;VAR:CURRSOURCE=EXSHARE&amp;V","AR:NATFREQ=ANNUAL&amp;VAR:RFIELD=FINALIZED&amp;VAR:DB_TYPE=&amp;VAR:UNITS=M&amp;window=popup&amp;width=450&amp;height=300&amp;START_MAXIMIZED=FALSE"}</definedName>
    <definedName function="false" hidden="true" name="_890__FDSAUDITLINK__" vbProcedure="false">{"fdsup://IBCentral/FAT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891__FDSAUDITLINK__" vbProcedure="false">{"fdsup://IBCentral/FAT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function="false" hidden="true" name="_892__FDSAUDITLINK__" vbProcedure="false">{"fdsup://IBCentral/FAT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function="false" hidden="true" name="_893__FDSAUDITLINK__" vbProcedure="false">{"fdsup://IBCentral/FAT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function="false" hidden="true" name="_894__FDSAUDITLINK__" vbProcedure="false">{"fdsup://IBCentral/FAT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function="false" hidden="true" name="_895__FDSAUDITLINK__" vbProcedure="false">{"fdsup://IBCentral/FAT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function="false" hidden="true" name="_896__FDSAUDITLINK__" vbProcedure="false">{"fdsup://IBCentral/FAT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function="false" hidden="true" name="_897__FDSAUDITLINK__" vbProcedure="false">{"fdsup://IBCentral/FAT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function="false" hidden="true" name="_898__FDSAUDITLINK__" vbProcedure="false">{"fdsup://IBCentral/FAT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function="false" hidden="true" name="_899__FDSAUDITLINK__" vbProcedure="false">{"fdsup://IBCentral/FAT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function="false" hidden="true" name="_89__FDSAUDITLINK__" vbProcedure="false">{"fdsup://IBCentral/FAT Viewer?action=UPDATE&amp;creator=factset&amp;DOC_NAME=fat:reuters_annual_source_window.fat&amp;display_string=Audit&amp;DYN_ARGS=TRUE&amp;VAR:ID1=30231G10&amp;VAR:RCODE=SCEX&amp;VAR:SDATE=20051299&amp;VAR:FREQ=Y&amp;VAR:RELITEM=RP&amp;VAR:CURRENCY=&amp;VAR:CURRSOURCE=EXSHARE&amp;V","AR:NATFREQ=ANNUAL&amp;VAR:RFIELD=FINALIZED&amp;VAR:DB_TYPE=&amp;VAR:UNITS=M&amp;window=popup&amp;width=450&amp;height=300&amp;START_MAXIMIZED=FALSE"}</definedName>
    <definedName function="false" hidden="true" name="_8__123Graph_ACHART_23" vbProcedure="false">#REF!</definedName>
    <definedName function="false" hidden="true" name="_8__123Graph_ACHART_3" vbProcedure="false">#REF!</definedName>
    <definedName function="false" hidden="true" name="_8__123Graph_DCHART_1" vbProcedure="false">#REF!</definedName>
    <definedName function="false" hidden="true" name="_8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6"}</definedName>
    <definedName function="false" hidden="true" name="_8__FDSAUDITLINK___1" vbProcedure="false">{"fdsup://directions/FAT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function="false" hidden="true" name="_8__FDSAUDITLINK___2" vbProcedure="false">{"fdsup://directions/FAT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function="false" hidden="true" name="_900__FDSAUDITLINK__" vbProcedure="false">{"fdsup://IBCentral/FAT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function="false" hidden="true" name="_901__FDSAUDITLINK__" vbProcedure="false">{"fdsup://IBCentral/FAT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02__FDSAUDITLINK__" vbProcedure="false">{"fdsup://IBCentral/FAT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03__FDSAUDITLINK__" vbProcedure="false">{"fdsup://IBCentral/FAT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04__FDSAUDITLINK__" vbProcedure="false">{"fdsup://IBCentral/FAT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05__FDSAUDITLINK__" vbProcedure="false">{"fdsup://IBCentral/FAT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06__FDSAUDITLINK__" vbProcedure="false">{"fdsup://IBCentral/FAT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07__FDSAUDITLINK__" vbProcedure="false">{"fdsup://IBCentral/FAT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08__FDSAUDITLINK__" vbProcedure="false">{"fdsup://IBCentral/FAT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09__FDSAUDITLINK__" vbProcedure="false">{"fdsup://IBCentral/FAT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0__FDSAUDITLINK__" vbProcedure="false">{"fdsup://IBCentral/FAT Viewer?action=UPDATE&amp;creator=factset&amp;DOC_NAME=fat:reuters_annual_source_window.fat&amp;display_string=Audit&amp;DYN_ARGS=TRUE&amp;VAR:ID1=30231G10&amp;VAR:RCODE=SCEX&amp;VAR:SDATE=20041299&amp;VAR:FREQ=Y&amp;VAR:RELITEM=RP&amp;VAR:CURRENCY=&amp;VAR:CURRSOURCE=EXSHARE&amp;V","AR:NATFREQ=ANNUAL&amp;VAR:RFIELD=FINALIZED&amp;VAR:DB_TYPE=&amp;VAR:UNITS=M&amp;window=popup&amp;width=450&amp;height=300&amp;START_MAXIMIZED=FALSE"}</definedName>
    <definedName function="false" hidden="true" name="_910__FDSAUDITLINK__" vbProcedure="false">{"fdsup://IBCentral/FAT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11__FDSAUDITLINK__" vbProcedure="false">{"fdsup://IBCentral/FAT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12__FDSAUDITLINK__" vbProcedure="false">{"fdsup://IBCentral/FAT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13__FDSAUDITLINK__" vbProcedure="false">{"fdsup://IBCentral/FAT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14__FDSAUDITLINK__" vbProcedure="false">{"fdsup://IBCentral/FAT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15__FDSAUDITLINK__" vbProcedure="false">{"fdsup://IBCentral/FAT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16__FDSAUDITLINK__" vbProcedure="false">{"fdsup://IBCentral/FAT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17__FDSAUDITLINK__" vbProcedure="false">{"fdsup://IBCentral/FAT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18__FDSAUDITLINK__" vbProcedure="false">{"fdsup://IBCentral/FAT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19__FDSAUDITLINK__" vbProcedure="false">{"fdsup://IBCentral/FAT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1__FDSAUDITLINK__" vbProcedure="false">{"fdsup://IBCentral/FAT Viewer?action=UPDATE&amp;creator=factset&amp;DOC_NAME=fat:reuters_annual_source_window.fat&amp;display_string=Audit&amp;DYN_ARGS=TRUE&amp;VAR:ID1=30231G10&amp;VAR:RCODE=SCEX&amp;VAR:SDATE=20031299&amp;VAR:FREQ=Y&amp;VAR:RELITEM=RP&amp;VAR:CURRENCY=&amp;VAR:CURRSOURCE=EXSHARE&amp;V","AR:NATFREQ=ANNUAL&amp;VAR:RFIELD=FINALIZED&amp;VAR:DB_TYPE=&amp;VAR:UNITS=M&amp;window=popup&amp;width=450&amp;height=300&amp;START_MAXIMIZED=FALSE"}</definedName>
    <definedName function="false" hidden="true" name="_920__FDSAUDITLINK__" vbProcedure="false">{"fdsup://IBCentral/FAT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21__FDSAUDITLINK__" vbProcedure="false">{"fdsup://IBCentral/FAT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22__FDSAUDITLINK__" vbProcedure="false">{"fdsup://IBCentral/FAT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23__FDSAUDITLINK__" vbProcedure="false">{"fdsup://IBCentral/FAT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24__FDSAUDITLINK__" vbProcedure="false">{"fdsup://IBCentral/FAT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function="false" hidden="true" name="_925__FDSAUDITLINK__" vbProcedure="false">{"fdsup://IBCentral/FAT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function="false" hidden="true" name="_926__FDSAUDITLINK__" vbProcedure="false">{"fdsup://IBCentral/FAT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function="false" hidden="true" name="_927__FDSAUDITLINK__" vbProcedure="false">{"fdsup://IBCentral/FAT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function="false" hidden="true" name="_928__FDSAUDITLINK__" vbProcedure="false">{"fdsup://IBCentral/FAT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function="false" hidden="true" name="_929__FDSAUDITLINK__" vbProcedure="false">{"fdsup://IBCentral/FAT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2__FDSAUDITLINK__" vbProcedure="false">{"fdsup://IBCentral/FAT Viewer?action=UPDATE&amp;creator=factset&amp;DOC_NAME=fat:reuters_annual_source_window.fat&amp;display_string=Audit&amp;DYN_ARGS=TRUE&amp;VAR:ID1=30231G10&amp;VAR:RCODE=NIBX&amp;VAR:SDATE=20071299&amp;VAR:FREQ=Y&amp;VAR:RELITEM=RP&amp;VAR:CURRENCY=&amp;VAR:CURRSOURCE=EXSHARE&amp;V","AR:NATFREQ=ANNUAL&amp;VAR:RFIELD=FINALIZED&amp;VAR:DB_TYPE=&amp;VAR:UNITS=M&amp;window=popup&amp;width=450&amp;height=300&amp;START_MAXIMIZED=FALSE"}</definedName>
    <definedName function="false" hidden="true" name="_930__FDSAUDITLINK__" vbProcedure="false">{"fdsup://IBCentral/FAT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31__FDSAUDITLINK__" vbProcedure="false">{"fdsup://IBCentral/FAT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32__FDSAUDITLINK__" vbProcedure="false">{"fdsup://IBCentral/FAT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33__FDSAUDITLINK__" vbProcedure="false">{"fdsup://IBCentral/FAT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34__FDSAUDITLINK__" vbProcedure="false">{"fdsup://IBCentral/FAT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35__FDSAUDITLINK__" vbProcedure="false">{"fdsup://IBCentral/FAT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36__FDSAUDITLINK__" vbProcedure="false">{"fdsup://IBCentral/FAT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37__FDSAUDITLINK__" vbProcedure="false">{"fdsup://IBCentral/FAT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38__FDSAUDITLINK__" vbProcedure="false">{"fdsup://IBCentral/FAT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39__FDSAUDITLINK__" vbProcedure="false">{"fdsup://IBCentral/FAT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3__FDSAUDITLINK__" vbProcedure="false">{"fdsup://IBCentral/FAT Viewer?action=UPDATE&amp;creator=factset&amp;DOC_NAME=fat:reuters_annual_source_window.fat&amp;display_string=Audit&amp;DYN_ARGS=TRUE&amp;VAR:ID1=30231G10&amp;VAR:RCODE=NIBX&amp;VAR:SDATE=20061299&amp;VAR:FREQ=Y&amp;VAR:RELITEM=RP&amp;VAR:CURRENCY=&amp;VAR:CURRSOURCE=EXSHARE&amp;V","AR:NATFREQ=ANNUAL&amp;VAR:RFIELD=FINALIZED&amp;VAR:DB_TYPE=&amp;VAR:UNITS=M&amp;window=popup&amp;width=450&amp;height=300&amp;START_MAXIMIZED=FALSE"}</definedName>
    <definedName function="false" hidden="true" name="_940__FDSAUDITLINK__" vbProcedure="false">{"fdsup://IBCentral/FAT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41__FDSAUDITLINK__" vbProcedure="false">{"fdsup://IBCentral/FAT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42__FDSAUDITLINK__" vbProcedure="false">{"fdsup://IBCentral/FAT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43__FDSAUDITLINK__" vbProcedure="false">{"fdsup://IBCentral/FAT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44__FDSAUDITLINK__" vbProcedure="false">{"fdsup://IBCentral/FAT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45__FDSAUDITLINK__" vbProcedure="false">{"fdsup://IBCentral/FAT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46__FDSAUDITLINK__" vbProcedure="false">{"fdsup://IBCentral/FAT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47__FDSAUDITLINK__" vbProcedure="false">{"fdsup://IBCentral/FAT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48__FDSAUDITLINK__" vbProcedure="false">{"fdsup://IBCentral/FAT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49__FDSAUDITLINK__" vbProcedure="false">{"fdsup://IBCentral/FAT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4__FDSAUDITLINK__" vbProcedure="false">{"fdsup://IBCentral/FAT Viewer?action=UPDATE&amp;creator=factset&amp;DOC_NAME=fat:reuters_annual_source_window.fat&amp;display_string=Audit&amp;DYN_ARGS=TRUE&amp;VAR:ID1=30231G10&amp;VAR:RCODE=NIBX&amp;VAR:SDATE=20051299&amp;VAR:FREQ=Y&amp;VAR:RELITEM=RP&amp;VAR:CURRENCY=&amp;VAR:CURRSOURCE=EXSHARE&amp;V","AR:NATFREQ=ANNUAL&amp;VAR:RFIELD=FINALIZED&amp;VAR:DB_TYPE=&amp;VAR:UNITS=M&amp;window=popup&amp;width=450&amp;height=300&amp;START_MAXIMIZED=FALSE"}</definedName>
    <definedName function="false" hidden="true" name="_950__FDSAUDITLINK__" vbProcedure="false">{"fdsup://IBCentral/FAT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51__FDSAUDITLINK__" vbProcedure="false">{"fdsup://IBCentral/FAT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52__FDSAUDITLINK__" vbProcedure="false">{"fdsup://IBCentral/FAT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53__FDSAUDITLINK__" vbProcedure="false">{"fdsup://IBCentral/FAT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54__FDSAUDITLINK__" vbProcedure="false">{"fdsup://IBCentral/FAT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55__FDSAUDITLINK__" vbProcedure="false">{"fdsup://IBCentral/FAT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56__FDSAUDITLINK__" vbProcedure="false">{"fdsup://IBCentral/FAT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57__FDSAUDITLINK__" vbProcedure="false">{"fdsup://IBCentral/FAT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58__FDSAUDITLINK__" vbProcedure="false">{"fdsup://IBCentral/FAT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59__FDSAUDITLINK__" vbProcedure="false">{"fdsup://IBCentral/FAT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5__FDSAUDITLINK__" vbProcedure="false">{"fdsup://IBCentral/FAT Viewer?action=UPDATE&amp;creator=factset&amp;DOC_NAME=fat:reuters_annual_source_window.fat&amp;display_string=Audit&amp;DYN_ARGS=TRUE&amp;VAR:ID1=30231G10&amp;VAR:RCODE=NIBX&amp;VAR:SDATE=20041299&amp;VAR:FREQ=Y&amp;VAR:RELITEM=RP&amp;VAR:CURRENCY=&amp;VAR:CURRSOURCE=EXSHARE&amp;V","AR:NATFREQ=ANNUAL&amp;VAR:RFIELD=FINALIZED&amp;VAR:DB_TYPE=&amp;VAR:UNITS=M&amp;window=popup&amp;width=450&amp;height=300&amp;START_MAXIMIZED=FALSE"}</definedName>
    <definedName function="false" hidden="true" name="_960__FDSAUDITLINK__" vbProcedure="false">{"fdsup://IBCentral/FAT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61__FDSAUDITLINK__" vbProcedure="false">{"fdsup://IBCentral/FAT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62__FDSAUDITLINK__" vbProcedure="false">{"fdsup://IBCentral/FAT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63__FDSAUDITLINK__" vbProcedure="false">{"fdsup://IBCentral/FAT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64__FDSAUDITLINK__" vbProcedure="false">{"fdsup://IBCentral/FAT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65__FDSAUDITLINK__" vbProcedure="false">{"fdsup://IBCentral/FAT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66__FDSAUDITLINK__" vbProcedure="false">{"fdsup://IBCentral/FAT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67__FDSAUDITLINK__" vbProcedure="false">{"fdsup://IBCentral/FAT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68__FDSAUDITLINK__" vbProcedure="false">{"fdsup://IBCentral/FAT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69__FDSAUDITLINK__" vbProcedure="false">{"fdsup://IBCentral/FAT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6__FDSAUDITLINK__" vbProcedure="false">{"fdsup://IBCentral/FAT Viewer?action=UPDATE&amp;creator=factset&amp;DOC_NAME=fat:reuters_annual_source_window.fat&amp;display_string=Audit&amp;DYN_ARGS=TRUE&amp;VAR:ID1=30231G10&amp;VAR:RCODE=NIBX&amp;VAR:SDATE=20031299&amp;VAR:FREQ=Y&amp;VAR:RELITEM=RP&amp;VAR:CURRENCY=&amp;VAR:CURRSOURCE=EXSHARE&amp;V","AR:NATFREQ=ANNUAL&amp;VAR:RFIELD=FINALIZED&amp;VAR:DB_TYPE=&amp;VAR:UNITS=M&amp;window=popup&amp;width=450&amp;height=300&amp;START_MAXIMIZED=FALSE"}</definedName>
    <definedName function="false" hidden="true" name="_970__FDSAUDITLINK__" vbProcedure="false">{"fdsup://IBCentral/FAT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71__FDSAUDITLINK__" vbProcedure="false">{"fdsup://IBCentral/FAT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72__FDSAUDITLINK__" vbProcedure="false">{"fdsup://IBCentral/FAT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73__FDSAUDITLINK__" vbProcedure="false">{"fdsup://IBCentral/FAT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74__FDSAUDITLINK__" vbProcedure="false">{"fdsup://IBCentral/FAT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75__FDSAUDITLINK__" vbProcedure="false">{"fdsup://IBCentral/FAT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76__FDSAUDITLINK__" vbProcedure="false">{"fdsup://IBCentral/FAT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77__FDSAUDITLINK__" vbProcedure="false">{"fdsup://IBCentral/FAT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78__FDSAUDITLINK__" vbProcedure="false">{"fdsup://IBCentral/FAT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function="false" hidden="true" name="_979__FDSAUDITLINK__" vbProcedure="false">{"fdsup://IBCentral/FAT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function="false" hidden="true" name="_97__FDSAUDITLINK__" vbProcedure="false">{"fdsup://IBCentral/FAT Viewer?action=UPDATE&amp;creator=factset&amp;DOC_NAME=fat:reuters_annual_source_window.fat&amp;display_string=Audit&amp;DYN_ARGS=TRUE&amp;VAR:ID1=30231G10&amp;VAR:RCODE=EIBT&amp;VAR:SDATE=20071299&amp;VAR:FREQ=Y&amp;VAR:RELITEM=RP&amp;VAR:CURRENCY=&amp;VAR:CURRSOURCE=EXSHARE&amp;V","AR:NATFREQ=ANNUAL&amp;VAR:RFIELD=FINALIZED&amp;VAR:DB_TYPE=&amp;VAR:UNITS=M&amp;window=popup&amp;width=450&amp;height=300&amp;START_MAXIMIZED=FALSE"}</definedName>
    <definedName function="false" hidden="true" name="_980__FDSAUDITLINK__" vbProcedure="false">{"fdsup://IBCentral/FAT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function="false" hidden="true" name="_981__FDSAUDITLINK__" vbProcedure="false">{"fdsup://IBCentral/FAT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function="false" hidden="true" name="_982__FDSAUDITLINK__" vbProcedure="false">{"fdsup://IBCentral/FAT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function="false" hidden="true" name="_983__FDSAUDITLINK__" vbProcedure="false">{"fdsup://IBCentral/FAT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84__FDSAUDITLINK__" vbProcedure="false">{"fdsup://IBCentral/FAT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85__FDSAUDITLINK__" vbProcedure="false">{"fdsup://IBCentral/FAT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86__FDSAUDITLINK__" vbProcedure="false">{"fdsup://IBCentral/FAT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87__FDSAUDITLINK__" vbProcedure="false">{"fdsup://IBCentral/FAT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88__FDSAUDITLINK__" vbProcedure="false">{"fdsup://IBCentral/FAT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89__FDSAUDITLINK__" vbProcedure="false">{"fdsup://IBCentral/FAT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8__FDSAUDITLINK__" vbProcedure="false">{"fdsup://IBCentral/FAT Viewer?action=UPDATE&amp;creator=factset&amp;DOC_NAME=fat:reuters_annual_source_window.fat&amp;display_string=Audit&amp;DYN_ARGS=TRUE&amp;VAR:ID1=30231G10&amp;VAR:RCODE=EIBT&amp;VAR:SDATE=20061299&amp;VAR:FREQ=Y&amp;VAR:RELITEM=RP&amp;VAR:CURRENCY=&amp;VAR:CURRSOURCE=EXSHARE&amp;V","AR:NATFREQ=ANNUAL&amp;VAR:RFIELD=FINALIZED&amp;VAR:DB_TYPE=&amp;VAR:UNITS=M&amp;window=popup&amp;width=450&amp;height=300&amp;START_MAXIMIZED=FALSE"}</definedName>
    <definedName function="false" hidden="true" name="_990__FDSAUDITLINK__" vbProcedure="false">{"fdsup://IBCentral/FAT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91__FDSAUDITLINK__" vbProcedure="false">{"fdsup://IBCentral/FAT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92__FDSAUDITLINK__" vbProcedure="false">{"fdsup://IBCentral/FAT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93__FDSAUDITLINK__" vbProcedure="false">{"fdsup://IBCentral/FAT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94__FDSAUDITLINK__" vbProcedure="false">{"fdsup://IBCentral/FAT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95__FDSAUDITLINK__" vbProcedure="false">{"fdsup://IBCentral/FAT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function="false" hidden="true" name="_996__FDSAUDITLINK__" vbProcedure="false">{"fdsup://IBCentral/FAT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function="false" hidden="true" name="_997__FDSAUDITLINK__" vbProcedure="false">{"fdsup://IBCentral/FAT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function="false" hidden="true" name="_998__FDSAUDITLINK__" vbProcedure="false">{"fdsup://IBCentral/FAT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function="false" hidden="true" name="_999__FDSAUDITLINK__" vbProcedure="false">{"fdsup://IBCentral/FAT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function="false" hidden="true" name="_99__FDSAUDITLINK__" vbProcedure="false">{"fdsup://IBCentral/FAT Viewer?action=UPDATE&amp;creator=factset&amp;DOC_NAME=fat:reuters_annual_source_window.fat&amp;display_string=Audit&amp;DYN_ARGS=TRUE&amp;VAR:ID1=30231G10&amp;VAR:RCODE=EIBT&amp;VAR:SDATE=20051299&amp;VAR:FREQ=Y&amp;VAR:RELITEM=RP&amp;VAR:CURRENCY=&amp;VAR:CURRSOURCE=EXSHARE&amp;V","AR:NATFREQ=ANNUAL&amp;VAR:RFIELD=FINALIZED&amp;VAR:DB_TYPE=&amp;VAR:UNITS=M&amp;window=popup&amp;width=450&amp;height=300&amp;START_MAXIMIZED=FALSE"}</definedName>
    <definedName function="false" hidden="true" name="_9__123Graph_ACHART_25" vbProcedure="false">#REF!</definedName>
    <definedName function="false" hidden="true" name="_9__123Graph_BCHART_1" vbProcedure="false">#REF!</definedName>
    <definedName function="false" hidden="true" name="_9__123Graph_LBL_ACHART_1" vbProcedure="false">#REF!</definedName>
    <definedName function="false" hidden="true" name="_9__FDSAUDITLINK__" vbProcedure="false">{"fdsup://directions/FAT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5"}</definedName>
    <definedName function="false" hidden="true" name="_9__FDSAUDITLINK___1" vbProcedure="false">{"fdsup://directions/FAT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function="false" hidden="true" name="_9__FDSAUDITLINK___2" vbProcedure="false">{"fdsup://directions/FAT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function="false" hidden="true" name="_a1" vbProcedure="false">{#N/A,#N/A,FALSE,"Pharm";#N/A,#N/A,FALSE,"WWCM"}</definedName>
    <definedName function="false" hidden="true" name="_a10" vbProcedure="false">{#N/A,#N/A,FALSE,"Bilan"}</definedName>
    <definedName function="false" hidden="true" name="_A100" vbProcedure="false">{#N/A,#N/A,FALSE,"DIR-REP";#N/A,#N/A,FALSE,"AUD-REPORT";#N/A,#N/A,FALSE,"P7L&amp;BS";#N/A,#N/A,FALSE,"NOTES";#N/A,#N/A,FALSE,"FA";#N/A,#N/A,FALSE,"NOTES (2)";#N/A,#N/A,FALSE,"Schedule  IV";#N/A,#N/A,FALSE,"Schedule V"}</definedName>
    <definedName function="false" hidden="true" name="_A1001" vbProcedure="false">{#N/A,#N/A,FALSE,"DIR-REP";#N/A,#N/A,FALSE,"AUD-REPORT";#N/A,#N/A,FALSE,"P7L&amp;BS";#N/A,#N/A,FALSE,"NOTES";#N/A,#N/A,FALSE,"FA";#N/A,#N/A,FALSE,"NOTES (2)";#N/A,#N/A,FALSE,"Schedule  IV";#N/A,#N/A,FALSE,"Schedule V"}</definedName>
    <definedName function="false" hidden="true" name="_A11" vbProcedure="false">{#N/A,#N/A,FALSE,"Umsatz 99";#N/A,#N/A,FALSE,"ER 99 "}</definedName>
    <definedName function="false" hidden="true" name="_a12" vbProcedure="false">{#N/A,#N/A,FALSE,"Bilan"}</definedName>
    <definedName function="false" hidden="true" name="_a13" vbProcedure="false">{#N/A,#N/A,FALSE,"Bilan"}</definedName>
    <definedName function="false" hidden="true" name="_a14" vbProcedure="false">{#N/A,#N/A,FALSE,"Bilan"}</definedName>
    <definedName function="false" hidden="true" name="_a15" vbProcedure="false">{#N/A,#N/A,FALSE,"Bilan"}</definedName>
    <definedName function="false" hidden="true" name="_a2" vbProcedure="false">{"mgmt forecast",#N/A,FALSE,"Mgmt Forecast";"dcf table",#N/A,FALSE,"Mgmt Forecast";"sensitivity",#N/A,FALSE,"Mgmt Forecast";"table inputs",#N/A,FALSE,"Mgmt Forecast";"calculations",#N/A,FALSE,"Mgmt Forecast"}</definedName>
    <definedName function="false" hidden="true" name="_A4" vbProcedure="false">{#N/A,#N/A,FALSE,"Bilan"}</definedName>
    <definedName function="false" hidden="true" name="_a40" vbProcedure="false">{#N/A,#N/A,FALSE,"Bilan"}</definedName>
    <definedName function="false" hidden="true" name="_a41" vbProcedure="false">{#N/A,#N/A,FALSE,"Bilan"}</definedName>
    <definedName function="false" hidden="true" name="_a42" vbProcedure="false">{#N/A,#N/A,FALSE,"Bilan"}</definedName>
    <definedName function="false" hidden="true" name="_a43" vbProcedure="false">{#N/A,#N/A,FALSE,"Bilan"}</definedName>
    <definedName function="false" hidden="true" name="_a44" vbProcedure="false">{#N/A,#N/A,FALSE,"Bilan"}</definedName>
    <definedName function="false" hidden="true" name="_a45" vbProcedure="false">{#N/A,#N/A,FALSE,"Bilan"}</definedName>
    <definedName function="false" hidden="true" name="_a5" vbProcedure="false">{#N/A,#N/A,FALSE,"Bilan"}</definedName>
    <definedName function="false" hidden="true" name="_a6" vbProcedure="false">{#N/A,#N/A,FALSE,"Bilan"}</definedName>
    <definedName function="false" hidden="true" name="_a8" vbProcedure="false">{#N/A,#N/A,FALSE,"Partnership Splits";#N/A,#N/A,FALSE,"Condensed Financials-Endo";#N/A,#N/A,FALSE,"Condensed Financials-Partner";#N/A,#N/A,FALSE,"P&amp;L Detail";#N/A,#N/A,FALSE,"Payments";#N/A,#N/A,FALSE,"Selling &amp; Mktg Summary (3)"}</definedName>
    <definedName function="false" hidden="true" name="_aa1" vbProcedure="false">{#N/A,"PURADD",FALSE,"Business Analysis";#N/A,"PURSPP",FALSE,"Business Analysis";#N/A,"CTGIND",FALSE,"Business Analysis";#N/A,"PURCHM",FALSE,"Business Analysis";#N/A,"SPADD",FALSE,"Business Analysis";#N/A,"EPOXY",FALSE,"Business Analysis";#N/A,"PURPER",FALSE,"Business Analysis"}</definedName>
    <definedName function="false" hidden="true" name="_aaa1" vbProcedure="false">{#N/A,#N/A,FALSE,"REPORT"}</definedName>
    <definedName function="false" hidden="true" name="_aas1" vbProcedure="false">{#N/A,#N/A,FALSE,"REPORT"}</definedName>
    <definedName function="false" hidden="true" name="_ab098" vbProcedure="false">{#N/A,"PURCHM",FALSE,"Business Analysis";#N/A,"SPADD",FALSE,"Business Analysis"}</definedName>
    <definedName function="false" hidden="true" name="_abc098" vbProcedure="false">{#N/A,"PURCHM",FALSE,"Business Analysis";#N/A,"SPADD",FALSE,"Business Analysis"}</definedName>
    <definedName function="false" hidden="true" name="_abc1" vbProcedure="false">{"detail",#N/A,FALSE,"mfg";"summary",#N/A,FALSE,"mfg"}</definedName>
    <definedName function="false" hidden="true" name="_abc10" vbProcedure="false">{"detail",#N/A,FALSE,"mfg";"summary",#N/A,FALSE,"mfg"}</definedName>
    <definedName function="false" hidden="true" name="_abc101" vbProcedure="false">{"detail",#N/A,FALSE,"mfg";"summary",#N/A,FALSE,"mfg"}</definedName>
    <definedName function="false" hidden="true" name="_abc102" vbProcedure="false">{"detail",#N/A,FALSE,"mfg";"summary",#N/A,FALSE,"mfg"}</definedName>
    <definedName function="false" hidden="true" name="_abc105" vbProcedure="false">{"detail",#N/A,FALSE,"mfg";"summary",#N/A,FALSE,"mfg"}</definedName>
    <definedName function="false" hidden="true" name="_abc1082" vbProcedure="false">{"detail",#N/A,FALSE,"mfg";"summary",#N/A,FALSE,"mfg"}</definedName>
    <definedName function="false" hidden="true" name="_abc11" vbProcedure="false">{"detail",#N/A,FALSE,"mfg";"summary",#N/A,FALSE,"mfg"}</definedName>
    <definedName function="false" hidden="true" name="_abc115" vbProcedure="false">{"detail",#N/A,FALSE,"mfg";"summary",#N/A,FALSE,"mfg"}</definedName>
    <definedName function="false" hidden="true" name="_abc12" vbProcedure="false">{"detail",#N/A,FALSE,"mfg";"summary",#N/A,FALSE,"mfg"}</definedName>
    <definedName function="false" hidden="true" name="_abc1234" vbProcedure="false">{#N/A,"PURCHM",FALSE,"Business Analysis";#N/A,"SPADD",FALSE,"Business Analysis"}</definedName>
    <definedName function="false" hidden="true" name="_abc125" vbProcedure="false">{"detail",#N/A,FALSE,"mfg";"summary",#N/A,FALSE,"mfg"}</definedName>
    <definedName function="false" hidden="true" name="_abc13" vbProcedure="false">{"detail",#N/A,FALSE,"mfg";"summary",#N/A,FALSE,"mfg"}</definedName>
    <definedName function="false" hidden="true" name="_abc1325" vbProcedure="false">{"detail",#N/A,FALSE,"mfg";"summary",#N/A,FALSE,"mfg"}</definedName>
    <definedName function="false" hidden="true" name="_abc14" vbProcedure="false">{"detail",#N/A,FALSE,"mfg";"summary",#N/A,FALSE,"mfg"}</definedName>
    <definedName function="false" hidden="true" name="_abc1425" vbProcedure="false">{"detail",#N/A,FALSE,"mfg";"summary",#N/A,FALSE,"mfg"}</definedName>
    <definedName function="false" hidden="true" name="_abc2" vbProcedure="false">{"detail",#N/A,FALSE,"mfg";"summary",#N/A,FALSE,"mfg"}</definedName>
    <definedName function="false" hidden="true" name="_abc200" vbProcedure="false">{"detail",#N/A,FALSE,"mfg";"summary",#N/A,FALSE,"mfg"}</definedName>
    <definedName function="false" hidden="true" name="_abc2005" vbProcedure="false">{#N/A,"PURCHM",FALSE,"Business Analysis";#N/A,"SPADD",FALSE,"Business Analysis"}</definedName>
    <definedName function="false" hidden="true" name="_abc201" vbProcedure="false">{"detail",#N/A,FALSE,"mfg";"summary",#N/A,FALSE,"mfg"}</definedName>
    <definedName function="false" hidden="true" name="_abc202" vbProcedure="false">{"detail",#N/A,FALSE,"mfg";"summary",#N/A,FALSE,"mfg"}</definedName>
    <definedName function="false" hidden="true" name="_abc2054" vbProcedure="false">{"detail",#N/A,FALSE,"mfg";"summary",#N/A,FALSE,"mfg"}</definedName>
    <definedName function="false" hidden="true" name="_abc212" vbProcedure="false">{"detail",#N/A,FALSE,"mfg";"summary",#N/A,FALSE,"mfg"}</definedName>
    <definedName function="false" hidden="true" name="_abc212450" vbProcedure="false">{"detail",#N/A,FALSE,"mfg";"summary",#N/A,FALSE,"mfg"}</definedName>
    <definedName function="false" hidden="true" name="_abc23" vbProcedure="false">{"detail",#N/A,FALSE,"mfg";"summary",#N/A,FALSE,"mfg"}</definedName>
    <definedName function="false" hidden="true" name="_abc24" vbProcedure="false">{"detail",#N/A,FALSE,"mfg";"summary",#N/A,FALSE,"mfg"}</definedName>
    <definedName function="false" hidden="true" name="_abc25" vbProcedure="false">{"detail",#N/A,FALSE,"mfg";"summary",#N/A,FALSE,"mfg"}</definedName>
    <definedName function="false" hidden="true" name="_abc26" vbProcedure="false">{"detail",#N/A,FALSE,"mfg";"summary",#N/A,FALSE,"mfg"}</definedName>
    <definedName function="false" hidden="true" name="_abc289" vbProcedure="false">{"detail",#N/A,FALSE,"mfg";"summary",#N/A,FALSE,"mfg"}</definedName>
    <definedName function="false" hidden="true" name="_abc3" vbProcedure="false">{"detail",#N/A,FALSE,"mfg";"summary",#N/A,FALSE,"mfg"}</definedName>
    <definedName function="false" hidden="true" name="_abc31" vbProcedure="false">{"detail",#N/A,FALSE,"mfg";"summary",#N/A,FALSE,"mfg"}</definedName>
    <definedName function="false" hidden="true" name="_abc312" vbProcedure="false">{"detail",#N/A,FALSE,"mfg";"summary",#N/A,FALSE,"mfg"}</definedName>
    <definedName function="false" hidden="true" name="_abc315" vbProcedure="false">{"detail",#N/A,FALSE,"mfg";"summary",#N/A,FALSE,"mfg"}</definedName>
    <definedName function="false" hidden="true" name="_abc316" vbProcedure="false">{"detail",#N/A,FALSE,"mfg";"summary",#N/A,FALSE,"mfg"}</definedName>
    <definedName function="false" hidden="true" name="_abc32" vbProcedure="false">{"detail",#N/A,FALSE,"mfg";"summary",#N/A,FALSE,"mfg"}</definedName>
    <definedName function="false" hidden="true" name="_abc3216" vbProcedure="false">{"detail",#N/A,FALSE,"mfg";"summary",#N/A,FALSE,"mfg"}</definedName>
    <definedName function="false" hidden="true" name="_abc35" vbProcedure="false">{"detail",#N/A,FALSE,"mfg";"summary",#N/A,FALSE,"mfg"}</definedName>
    <definedName function="false" hidden="true" name="_abc36" vbProcedure="false">{"detail",#N/A,FALSE,"mfg";"summary",#N/A,FALSE,"mfg"}</definedName>
    <definedName function="false" hidden="true" name="_abc37" vbProcedure="false">{"detail",#N/A,FALSE,"mfg";"summary",#N/A,FALSE,"mfg"}</definedName>
    <definedName function="false" hidden="true" name="_abc38" vbProcedure="false">{"detail",#N/A,FALSE,"mfg";"summary",#N/A,FALSE,"mfg"}</definedName>
    <definedName function="false" hidden="true" name="_ABC41" vbProcedure="false">{"detail",#N/A,FALSE,"mfg";"summary",#N/A,FALSE,"mfg"}</definedName>
    <definedName function="false" hidden="true" name="_abc42" vbProcedure="false">{"detail",#N/A,FALSE,"mfg";"summary",#N/A,FALSE,"mfg"}</definedName>
    <definedName function="false" hidden="true" name="_abc51" vbProcedure="false">{"detail",#N/A,FALSE,"mfg";"summary",#N/A,FALSE,"mfg"}</definedName>
    <definedName function="false" hidden="true" name="_abc61" vbProcedure="false">{"detail",#N/A,FALSE,"mfg";"summary",#N/A,FALSE,"mfg"}</definedName>
    <definedName function="false" hidden="true" name="_abc71" vbProcedure="false">{"detail",#N/A,FALSE,"mfg";"summary",#N/A,FALSE,"mfg"}</definedName>
    <definedName function="false" hidden="true" name="_abc7884" vbProcedure="false">{"detail",#N/A,FALSE,"mfg";"summary",#N/A,FALSE,"mfg"}</definedName>
    <definedName function="false" hidden="true" name="_ACS2000" vbProcedure="false">{#N/A,#N/A,FALSE,"REPORT"}</definedName>
    <definedName function="false" hidden="true" name="_ACTUAL" vbProcedure="false">#REF!</definedName>
    <definedName function="false" hidden="true" name="_ad1" vbProcedure="false">{#N/A,#N/A,FALSE,"TB";#N/A,#N/A,FALSE,"DR";#N/A,#N/A,FALSE,"AR";#N/A,#N/A,FALSE,"PL";#N/A,#N/A,FALSE,"BS";#N/A,#N/A,FALSE,"NOTES";#N/A,#N/A,FALSE,"NOTES (2)";#N/A,#N/A,FALSE,"NOTES (3)";#N/A,#N/A,FALSE,"DPL";#N/A,#N/A,FALSE,"TAXC.INDEX";#N/A,#N/A,FALSE,"Schedule I";#N/A,#N/A,FALSE,"Adjustments"}</definedName>
    <definedName function="false" hidden="true" name="_ae2" vbProcedure="false">{"'Inventory &amp; Anal-Cur Wkbk'!$A$7:$AP$71"}</definedName>
    <definedName function="false" hidden="true" name="_AMO_ContentDefinition_247660852" vbProcedure="false">"'Partitions:51'"</definedName>
    <definedName function="false" hidden="true" name="_AMO_ContentDefinition_247660852.0" vbProcedure="false">"'&lt;ContentDefinition name=""SASApp:FECDL.DS_WB_REVENUE"" rsid=""247660852"" type=""PivotTable"" format=""ReportXml"" imgfmt=""ActiveX"" created=""08/24/2015 14:56:10"" modifed=""09/16/2015 15:25:13"" user=""Houghland"" apply=""False"" css=""C:\Program F'"</definedName>
    <definedName function="false" hidden="true" name="_AMO_ContentDefinition_247660852.1" vbProcedure="false">"'iles\SASHome\x86\SASAddinforMicrosoftOffice\5.1\Styles\AMODefault.css"" range=""SASApp_FECDL_DS_WB_REVENUE_3"" auto=""False"" xTime=""00:00:00.0200000"" rTime=""00:00:09.5300000"" bgnew=""False"" nFmt=""False"" grphSet=""False"" imgY=""0"" imgX=""0""&gt;'"</definedName>
    <definedName function="false" hidden="true" name="_AMO_ContentDefinition_247660852.10" vbProcedure="false">"'amp;gt;&amp;amp;lt;RightHandSideNumType&amp;amp;gt;SINGLE&amp;amp;lt;/RightHandSideNumType&amp;amp;gt;&amp;amp;lt;RightHandSideItems&amp;amp;gt;&amp;amp;lt;RHSItem&amp;amp;gt;&amp;amp;lt;RHSType&amp;amp;gt;EXPRESSION&amp;amp;lt;/RHSType&amp;amp;gt;&amp;amp;lt;AddQuotes&amp;amp;gt;True&amp;amp;lt;/AddQuotes&amp;amp'"</definedName>
    <definedName function="false" hidden="true" name="_AMO_ContentDefinition_247660852.11" vbProcedure="false">"';gt;&amp;amp;lt;DateFormat&amp;amp;gt;None&amp;amp;lt;/DateFormat&amp;amp;gt;&amp;amp;lt;RightHandSideExpression&amp;amp;gt;Motor Carriers&amp;amp;lt;/RightHandSideExpression&amp;amp;gt;&amp;amp;lt;IsSubquery&amp;amp;gt;False&amp;amp;lt;/IsSubquery&amp;amp;gt;&amp;amp;lt;SubqueryTemplateName /&amp;amp;gt;&amp;'"</definedName>
    <definedName function="false" hidden="true" name="_AMO_ContentDefinition_247660852.12" vbProcedure="false">"'amp;lt;/RHSItem&amp;amp;gt;&amp;amp;lt;/RightHandSideItems&amp;amp;gt;&amp;amp;lt;/RightHandSide&amp;amp;gt;&amp;amp;lt;/Node&amp;amp;gt;&amp;amp;lt;/SiblingLink&amp;amp;gt;&amp;amp;lt;Operator&amp;amp;gt;=&amp;amp;lt;/Operator&amp;amp;gt;&amp;amp;lt;UseMacroFunction&amp;amp;gt;False&amp;amp;lt;/UseMacroFunction&amp;a'"</definedName>
    <definedName function="false" hidden="true" name="_AMO_ContentDefinition_247660852.13" vbProcedure="false">"'mp;gt;&amp;amp;lt;Not&amp;amp;gt;False&amp;amp;lt;/Not&amp;amp;gt;&amp;amp;lt;Label /&amp;amp;gt;&amp;amp;lt;RightHandSide&amp;amp;gt;&amp;amp;lt;RightHandSideNumType&amp;amp;gt;SINGLE&amp;amp;lt;/RightHandSideNumType&amp;amp;gt;&amp;amp;lt;RightHandSideItems&amp;amp;gt;&amp;amp;lt;RHSItem&amp;amp;gt;&amp;amp;lt;RHSTy'"</definedName>
    <definedName function="false" hidden="true" name="_AMO_ContentDefinition_247660852.14" vbProcedure="false">"'pe&amp;amp;gt;EXPRESSION&amp;amp;lt;/RHSType&amp;amp;gt;&amp;amp;lt;AddQuotes&amp;amp;gt;True&amp;amp;lt;/AddQuotes&amp;amp;gt;&amp;amp;lt;DateFormat&amp;amp;gt;None&amp;amp;lt;/DateFormat&amp;amp;gt;&amp;amp;lt;RightHandSideExpression&amp;amp;gt;Intermodal&amp;amp;lt;/RightHandSideExpression&amp;amp;gt;&amp;amp;l'"</definedName>
    <definedName function="false" hidden="true" name="_AMO_ContentDefinition_247660852.15" vbProcedure="false">"'t;IsSubquery&amp;amp;gt;False&amp;amp;lt;/IsSubquery&amp;amp;gt;&amp;amp;lt;SubqueryTemplateName /&amp;amp;gt;&amp;amp;lt;/RHSItem&amp;amp;gt;&amp;amp;lt;/RightHandSideItems&amp;amp;gt;&amp;amp;lt;/RightHandSide&amp;amp;gt;&amp;amp;lt;/Node&amp;amp;gt;&amp;amp;lt;/SiblingLink&amp;amp;gt;&amp;amp;lt;Operator&amp;amp;gt'"</definedName>
    <definedName function="false" hidden="true" name="_AMO_ContentDefinition_247660852.16" vbProcedure="false">"';=&amp;amp;lt;/Operator&amp;amp;gt;&amp;amp;lt;UseMacroFunction&amp;amp;gt;False&amp;amp;lt;/UseMacroFunction&amp;amp;gt;&amp;amp;lt;Not&amp;amp;gt;False&amp;amp;lt;/Not&amp;amp;gt;&amp;amp;lt;Label /&amp;amp;gt;&amp;amp;lt;RightHandSide&amp;amp;gt;&amp;amp;lt;RightHandSideNumType&amp;amp;gt;SINGLE&amp;amp;lt;/RightHa'"</definedName>
    <definedName function="false" hidden="true" name="_AMO_ContentDefinition_247660852.17" vbProcedure="false">"'ndSideNumType&amp;amp;gt;&amp;amp;lt;RightHandSideItems&amp;amp;gt;&amp;amp;lt;RHSItem&amp;amp;gt;&amp;amp;lt;RHSType&amp;amp;gt;EXPRESSION&amp;amp;lt;/RHSType&amp;amp;gt;&amp;amp;lt;AddQuotes&amp;amp;gt;True&amp;amp;lt;/AddQuotes&amp;amp;gt;&amp;amp;lt;DateFormat&amp;amp;gt;None&amp;amp;lt;/DateFormat&amp;amp;gt;&amp;amp'"</definedName>
    <definedName function="false" hidden="true" name="_AMO_ContentDefinition_247660852.18" vbProcedure="false">"';lt;RightHandSideExpression&amp;amp;gt;2015&amp;amp;lt;/RightHandSideExpression&amp;amp;gt;&amp;amp;lt;IsSubquery&amp;amp;gt;False&amp;amp;lt;/IsSubquery&amp;amp;gt;&amp;amp;lt;SubqueryTemplateName /&amp;amp;gt;&amp;amp;lt;/RHSItem&amp;amp;gt;&amp;amp;lt;/RightHandSideItems&amp;amp;gt;&amp;amp;lt;/RightHan'"</definedName>
    <definedName function="false" hidden="true" name="_AMO_ContentDefinition_247660852.19" vbProcedure="false">"'dSide&amp;amp;gt;&amp;amp;lt;/TreeRoot&amp;amp;gt;&amp;amp;lt;/FilterTree&amp;amp;gt;&amp;quot; ColSelFlg=&amp;quot;0&amp;quot; Name=&amp;quot;DS_WB_REVENUE&amp;quot;&amp;gt;&amp;#xD;&amp;#xA;&amp;lt;Cols&amp;gt;&amp;#xD;&amp;#xA;&amp;lt;cn&amp;gt;Year&amp;lt;/cn&amp;gt;&amp;#xD;&amp;#xA;&amp;lt;cn&amp;gt;Month&amp;lt;/cn&amp;gt;&amp;#xD;&amp;#xA;&amp;lt;cn&amp;gt;Transpor'"</definedName>
    <definedName function="false" hidden="true" name="_AMO_ContentDefinition_247660852.2" vbProcedure="false">"'_x005F_x000D_
  &lt;files /&gt;_x005F_x000D_
  &lt;parents /&gt;_x005F_x000D_
  &lt;children /&gt;_x005F_x000D_
  &lt;param n=""DisplayName"" v=""SASApp:FECDL.DS_WB_REVENUE"" /&gt;_x005F_x000D_
  &lt;param n=""DisplayType"" v=""PivotTable"" /&gt;_x005F_x000D_
  &lt;param n=""AMO_Version"" v=""5.1"" /&gt;_x005F_x000D_
  &lt;param n=""DataSourceType"" v=""SAS DATASET"" /&gt;_x005F_x000D_'"</definedName>
    <definedName function="false" hidden="true" name="_AMO_ContentDefinition_247660852.20" vbProcedure="false">"'tMethod&amp;lt;/cn&amp;gt;&amp;#xD;&amp;#xA;&amp;lt;cn&amp;gt;BusinessSegment&amp;lt;/cn&amp;gt;&amp;#xD;&amp;#xA;&amp;lt;cn&amp;gt;CustName&amp;lt;/cn&amp;gt;&amp;#xD;&amp;#xA;&amp;lt;cn&amp;gt;Division&amp;lt;/cn&amp;gt;&amp;#xD;&amp;#xA;&amp;lt;cn&amp;gt;Units&amp;lt;/cn&amp;gt;&amp;#xD;&amp;#xA;&amp;lt;cn&amp;gt;LineHaul&amp;lt;/cn&amp;gt;&amp;#xD;&amp;#xA;&amp;lt;/Cols&amp;gt;&amp;#xD;&amp;#xA;&amp;'"</definedName>
    <definedName function="false" hidden="true" name="_AMO_ContentDefinition_247660852.21" vbProcedure="false">"'lt;ColOrd&amp;gt;&amp;#xD;&amp;#xA;&amp;lt;cn&amp;gt;Year&amp;lt;/cn&amp;gt;&amp;#xD;&amp;#xA;&amp;lt;cn&amp;gt;Month&amp;lt;/cn&amp;gt;&amp;#xD;&amp;#xA;&amp;lt;cn&amp;gt;TransportMethod&amp;lt;/cn&amp;gt;&amp;#xD;&amp;#xA;&amp;lt;cn&amp;gt;BusinessSegment&amp;lt;/cn&amp;gt;&amp;#xD;&amp;#xA;&amp;lt;cn&amp;gt;CustName&amp;lt;/cn&amp;gt;&amp;#xD;&amp;#xA;&amp;lt;cn&amp;gt;Division&amp;lt;/cn&amp;'"</definedName>
    <definedName function="false" hidden="true" name="_AMO_ContentDefinition_247660852.22" vbProcedure="false">"'gt;&amp;#xD;&amp;#xA;&amp;lt;cn&amp;gt;Units&amp;lt;/cn&amp;gt;&amp;#xD;&amp;#xA;&amp;lt;cn&amp;gt;LineHaul&amp;lt;/cn&amp;gt;&amp;#xD;&amp;#xA;&amp;lt;cn&amp;gt;Day&amp;lt;/cn&amp;gt;&amp;#xD;&amp;#xA;&amp;lt;cn&amp;gt;DOW&amp;lt;/cn&amp;gt;&amp;#xD;&amp;#xA;&amp;lt;cn&amp;gt;DOWName&amp;lt;/cn&amp;gt;&amp;#xD;&amp;#xA;&amp;lt;cn&amp;gt;DropTerminal&amp;lt;/cn&amp;gt;&amp;#xD;&amp;#xA;&amp;lt;cn&amp;gt;Haul'"</definedName>
    <definedName function="false" hidden="true" name="_AMO_ContentDefinition_247660852.23" vbProcedure="false">"'age&amp;lt;/cn&amp;gt;&amp;#xD;&amp;#xA;&amp;lt;cn&amp;gt;EQInit&amp;lt;/cn&amp;gt;&amp;#xD;&amp;#xA;&amp;lt;cn&amp;gt;EQNbr&amp;lt;/cn&amp;gt;&amp;#xD;&amp;#xA;&amp;lt;cn&amp;gt;WBNbr&amp;lt;/cn&amp;gt;&amp;#xD;&amp;#xA;&amp;lt;cn&amp;gt;WBDate&amp;lt;/cn&amp;gt;&amp;#xD;&amp;#xA;&amp;lt;cn&amp;gt;BOLNbr&amp;lt;/cn&amp;gt;&amp;#xD;&amp;#xA;&amp;lt;cn&amp;gt;BOLDate&amp;lt;/cn&amp;gt;&amp;#xD;&amp;#xA;&amp;lt;cn'"</definedName>
    <definedName function="false" hidden="true" name="_AMO_ContentDefinition_247660852.24" vbProcedure="false">"'&amp;gt;RevDate&amp;lt;/cn&amp;gt;&amp;#xD;&amp;#xA;&amp;lt;cn&amp;gt;AcctYrMo&amp;lt;/cn&amp;gt;&amp;#xD;&amp;#xA;&amp;lt;cn&amp;gt;ProNbr&amp;lt;/cn&amp;gt;&amp;#xD;&amp;#xA;&amp;lt;cn&amp;gt;Kind&amp;lt;/cn&amp;gt;&amp;#xD;&amp;#xA;&amp;lt;cn&amp;gt;EQLength&amp;lt;/cn&amp;gt;&amp;#xD;&amp;#xA;&amp;lt;cn&amp;gt;LESts&amp;lt;/cn&amp;gt;&amp;#xD;&amp;#xA;&amp;lt;cn&amp;gt;STCC&amp;lt;/cn&amp;gt;&amp;#xD;&amp;#x'"</definedName>
    <definedName function="false" hidden="true" name="_AMO_ContentDefinition_247660852.25" vbProcedure="false">"'A;&amp;lt;cn&amp;gt;STCC2&amp;lt;/cn&amp;gt;&amp;#xD;&amp;#xA;&amp;lt;cn&amp;gt;PayMethod&amp;lt;/cn&amp;gt;&amp;#xD;&amp;#xA;&amp;lt;cn&amp;gt;Ownership&amp;lt;/cn&amp;gt;&amp;#xD;&amp;#xA;&amp;lt;cn&amp;gt;OwnerProgram&amp;lt;/cn&amp;gt;&amp;#xD;&amp;#xA;&amp;lt;cn&amp;gt;OrigState&amp;lt;/cn&amp;gt;&amp;#xD;&amp;#xA;&amp;lt;cn&amp;gt;DestState&amp;lt;/cn&amp;gt;&amp;#xD;&amp;#xA;&amp;lt;cn&amp;gt;'"</definedName>
    <definedName function="false" hidden="true" name="_AMO_ContentDefinition_247660852.26" vbProcedure="false">"'CustID&amp;lt;/cn&amp;gt;&amp;#xD;&amp;#xA;&amp;lt;cn&amp;gt;CustAddr&amp;lt;/cn&amp;gt;&amp;#xD;&amp;#xA;&amp;lt;cn&amp;gt;rptCustName&amp;lt;/cn&amp;gt;&amp;#xD;&amp;#xA;&amp;lt;cn&amp;gt;ShipperName&amp;lt;/cn&amp;gt;&amp;#xD;&amp;#xA;&amp;lt;cn&amp;gt;ShipperID&amp;lt;/cn&amp;gt;&amp;#xD;&amp;#xA;&amp;lt;cn&amp;gt;ShipperAddr&amp;lt;/cn&amp;gt;&amp;#xD;&amp;#xA;&amp;lt;cn&amp;gt;ShipperCi'"</definedName>
    <definedName function="false" hidden="true" name="_AMO_ContentDefinition_247660852.27" vbProcedure="false">"'ty&amp;lt;/cn&amp;gt;&amp;#xD;&amp;#xA;&amp;lt;cn&amp;gt;ShipperState&amp;lt;/cn&amp;gt;&amp;#xD;&amp;#xA;&amp;lt;cn&amp;gt;ShipperZipcode&amp;lt;/cn&amp;gt;&amp;#xD;&amp;#xA;&amp;lt;cn&amp;gt;ConsigneeName&amp;lt;/cn&amp;gt;&amp;#xD;&amp;#xA;&amp;lt;cn&amp;gt;ConsigneeID&amp;lt;/cn&amp;gt;&amp;#xD;&amp;#xA;&amp;lt;cn&amp;gt;ConsigneeAddr&amp;lt;/cn&amp;gt;&amp;#xD;&amp;#xA;&amp;lt;cn&amp;gt;'"</definedName>
    <definedName function="false" hidden="true" name="_AMO_ContentDefinition_247660852.28" vbProcedure="false">"'ConsigneeCity&amp;lt;/cn&amp;gt;&amp;#xD;&amp;#xA;&amp;lt;cn&amp;gt;ConsigneeState&amp;lt;/cn&amp;gt;&amp;#xD;&amp;#xA;&amp;lt;cn&amp;gt;ConsigneeZipcode&amp;lt;/cn&amp;gt;&amp;#xD;&amp;#xA;&amp;lt;cn&amp;gt;UltimateShipper&amp;lt;/cn&amp;gt;&amp;#xD;&amp;#xA;&amp;lt;cn&amp;gt;UltimateShipperID&amp;lt;/cn&amp;gt;&amp;#xD;&amp;#xA;&amp;lt;cn&amp;gt;UltimateShipperAddr&amp;l'"</definedName>
    <definedName function="false" hidden="true" name="_AMO_ContentDefinition_247660852.29" vbProcedure="false">"'t;/cn&amp;gt;&amp;#xD;&amp;#xA;&amp;lt;cn&amp;gt;UltimateShipperCity&amp;lt;/cn&amp;gt;&amp;#xD;&amp;#xA;&amp;lt;cn&amp;gt;UltimateShipperState&amp;lt;/cn&amp;gt;&amp;#xD;&amp;#xA;&amp;lt;cn&amp;gt;UltimateShipperZipcode&amp;lt;/cn&amp;gt;&amp;#xD;&amp;#xA;&amp;lt;cn&amp;gt;UltimateConsignee&amp;lt;/cn&amp;gt;&amp;#xD;&amp;#xA;&amp;lt;cn&amp;gt;UltimateConsigneeID&amp;'"</definedName>
    <definedName function="false" hidden="true" name="_AMO_ContentDefinition_247660852.3" vbProcedure="false">"'
  &lt;param n=""DataSource"" v=""&amp;lt;SasDataSource Version=&amp;quot;4.2&amp;quot; Type=&amp;quot;SAS.Servers.Dataset&amp;quot; Svr=&amp;quot;SASApp&amp;quot; Lib=&amp;quot;FECDL&amp;quot; Filter=&amp;quot;Year = '2015' AND TransportMethod = 'Intermodal' AND BusinessSegment = 'Motor Carri'"</definedName>
    <definedName function="false" hidden="true" name="_AMO_ContentDefinition_247660852.30" vbProcedure="false">"'lt;/cn&amp;gt;&amp;#xD;&amp;#xA;&amp;lt;cn&amp;gt;UltimateConsigneeAddr&amp;lt;/cn&amp;gt;&amp;#xD;&amp;#xA;&amp;lt;cn&amp;gt;UltimateConsigneeCity&amp;lt;/cn&amp;gt;&amp;#xD;&amp;#xA;&amp;lt;cn&amp;gt;UltimateConsigneeState&amp;lt;/cn&amp;gt;&amp;#xD;&amp;#xA;&amp;lt;cn&amp;gt;UltimateConsigneeZipcode&amp;lt;/cn&amp;gt;&amp;#xD;&amp;#xA;&amp;lt;cn&amp;gt;Beneficia'"</definedName>
    <definedName function="false" hidden="true" name="_AMO_ContentDefinition_247660852.31" vbProcedure="false">"'lOwner&amp;lt;/cn&amp;gt;&amp;#xD;&amp;#xA;&amp;lt;cn&amp;gt;BeneficialOwnerID&amp;lt;/cn&amp;gt;&amp;#xD;&amp;#xA;&amp;lt;cn&amp;gt;BeneficialOwnerAddr&amp;lt;/cn&amp;gt;&amp;#xD;&amp;#xA;&amp;lt;cn&amp;gt;BeneficialOwnerCity&amp;lt;/cn&amp;gt;&amp;#xD;&amp;#xA;&amp;lt;cn&amp;gt;BeneficialOwnerState&amp;lt;/cn&amp;gt;&amp;#xD;&amp;#xA;&amp;lt;cn&amp;gt;BeneficialOwner'"</definedName>
    <definedName function="false" hidden="true" name="_AMO_ContentDefinition_247660852.32" vbProcedure="false">"'Zipcode&amp;lt;/cn&amp;gt;&amp;#xD;&amp;#xA;&amp;lt;cn&amp;gt;NotifyParty&amp;lt;/cn&amp;gt;&amp;#xD;&amp;#xA;&amp;lt;cn&amp;gt;NotifyPartyCity&amp;lt;/cn&amp;gt;&amp;#xD;&amp;#xA;&amp;lt;cn&amp;gt;NotifyPartyState&amp;lt;/cn&amp;gt;&amp;#xD;&amp;#xA;&amp;lt;cn&amp;gt;NotifyPartyID&amp;lt;/cn&amp;gt;&amp;#xD;&amp;#xA;&amp;lt;cn&amp;gt;NotifyPartyAddr&amp;lt;/cn&amp;gt;&amp;#xD;&amp;#x'"</definedName>
    <definedName function="false" hidden="true" name="_AMO_ContentDefinition_247660852.33" vbProcedure="false">"'A;&amp;lt;cn&amp;gt;NotifyPartyZipcode&amp;lt;/cn&amp;gt;&amp;#xD;&amp;#xA;&amp;lt;cn&amp;gt;Rate1SCAC&amp;lt;/cn&amp;gt;&amp;#xD;&amp;#xA;&amp;lt;cn&amp;gt;Rate1AuthNbr&amp;lt;/cn&amp;gt;&amp;#xD;&amp;#xA;&amp;lt;cn&amp;gt;Rate2SCAC&amp;lt;/cn&amp;gt;&amp;#xD;&amp;#xA;&amp;lt;cn&amp;gt;Rate2AuthNbr&amp;lt;/cn&amp;gt;&amp;#xD;&amp;#xA;&amp;lt;cn&amp;gt;Rate3SCAC&amp;lt;/cn&amp;gt;&amp;#xD'"</definedName>
    <definedName function="false" hidden="true" name="_AMO_ContentDefinition_247660852.34" vbProcedure="false">"';&amp;#xA;&amp;lt;cn&amp;gt;Rate3AuthNbr&amp;lt;/cn&amp;gt;&amp;#xD;&amp;#xA;&amp;lt;cn&amp;gt;OurProp&amp;lt;/cn&amp;gt;&amp;#xD;&amp;#xA;&amp;lt;cn&amp;gt;Estimated&amp;lt;/cn&amp;gt;&amp;#xD;&amp;#xA;&amp;lt;cn&amp;gt;EstimateOnly&amp;lt;/cn&amp;gt;&amp;#xD;&amp;#xA;&amp;lt;cn&amp;gt;Revenue&amp;lt;/cn&amp;gt;&amp;#xD;&amp;#xA;&amp;lt;cn&amp;gt;RevenueNoFuel&amp;lt;/cn&amp;gt;&amp;#xD;&amp;#xA'"</definedName>
    <definedName function="false" hidden="true" name="_AMO_ContentDefinition_247660852.35" vbProcedure="false">"';&amp;lt;cn&amp;gt;Fuel&amp;lt;/cn&amp;gt;&amp;#xD;&amp;#xA;&amp;lt;cn&amp;gt;FuelAccrual&amp;lt;/cn&amp;gt;&amp;#xD;&amp;#xA;&amp;lt;cn&amp;gt;FuelEstimate&amp;lt;/cn&amp;gt;&amp;#xD;&amp;#xA;&amp;lt;cn&amp;gt;IProd&amp;lt;/cn&amp;gt;&amp;#xD;&amp;#xA;&amp;lt;cn&amp;gt;AtlantaServType&amp;lt;/cn&amp;gt;&amp;#xD;&amp;#xA;&amp;lt;cn&amp;gt;IPType&amp;lt;/cn&amp;gt;&amp;#xD;&amp;#xA;&amp;lt;cn&amp;gt;I'"</definedName>
    <definedName function="false" hidden="true" name="_AMO_ContentDefinition_247660852.36" vbProcedure="false">"'PTypeDesc&amp;lt;/cn&amp;gt;&amp;#xD;&amp;#xA;&amp;lt;cn&amp;gt;DataSource&amp;lt;/cn&amp;gt;&amp;#xD;&amp;#xA;&amp;lt;cn&amp;gt;InvoiceNbr&amp;lt;/cn&amp;gt;&amp;#xD;&amp;#xA;&amp;lt;cn&amp;gt;InvoiceVer&amp;lt;/cn&amp;gt;&amp;#xD;&amp;#xA;&amp;lt;cn&amp;gt;InvoiceBillDate&amp;lt;/cn&amp;gt;&amp;#xD;&amp;#xA;&amp;lt;cn&amp;gt;InvoiceCustName&amp;lt;/cn&amp;gt;&amp;#xD;&amp;#xA;&amp;lt;cn'"</definedName>
    <definedName function="false" hidden="true" name="_AMO_ContentDefinition_247660852.37" vbProcedure="false">"'&amp;gt;InvoiceCustID&amp;lt;/cn&amp;gt;&amp;#xD;&amp;#xA;&amp;lt;cn&amp;gt;InvoiceCustAddr&amp;lt;/cn&amp;gt;&amp;#xD;&amp;#xA;&amp;lt;cn&amp;gt;ProMiles&amp;lt;/cn&amp;gt;&amp;#xD;&amp;#xA;&amp;lt;cn&amp;gt;Direction&amp;lt;/cn&amp;gt;&amp;#xD;&amp;#xA;&amp;lt;cn&amp;gt;ICHRRoad&amp;lt;/cn&amp;gt;&amp;#xD;&amp;#xA;&amp;lt;cn&amp;gt;LineHaulACC&amp;lt;/cn&amp;gt;&amp;#xD;&amp;#xA;&amp;lt;cn&amp;'"</definedName>
    <definedName function="false" hidden="true" name="_AMO_ContentDefinition_247660852.38" vbProcedure="false">"'gt;Accessorial&amp;lt;/cn&amp;gt;&amp;#xD;&amp;#xA;&amp;lt;cn&amp;gt;HaulRoad&amp;lt;/cn&amp;gt;&amp;#xD;&amp;#xA;&amp;lt;cn&amp;gt;AARCarType&amp;lt;/cn&amp;gt;&amp;#xD;&amp;#xA;&amp;lt;cn&amp;gt;BlockToCustID&amp;lt;/cn&amp;gt;&amp;#xD;&amp;#xA;&amp;lt;cn&amp;gt;BlockToCustAddr&amp;lt;/cn&amp;gt;&amp;#xD;&amp;#xA;&amp;lt;cn&amp;gt;Commodity&amp;lt;/cn&amp;gt;&amp;#xD;&amp;#xA;&amp;lt;cn'"</definedName>
    <definedName function="false" hidden="true" name="_AMO_ContentDefinition_247660852.39" vbProcedure="false">"'&amp;gt;TrainID&amp;lt;/cn&amp;gt;&amp;#xD;&amp;#xA;&amp;lt;cn&amp;gt;InCareofPartyID&amp;lt;/cn&amp;gt;&amp;#xD;&amp;#xA;&amp;lt;cn&amp;gt;InCareofPartyAddr&amp;lt;/cn&amp;gt;&amp;#xD;&amp;#xA;&amp;lt;cn&amp;gt;InCareofParty&amp;lt;/cn&amp;gt;&amp;#xD;&amp;#xA;&amp;lt;cn&amp;gt;InCareofPartyCity&amp;lt;/cn&amp;gt;&amp;#xD;&amp;#xA;&amp;lt;cn&amp;gt;InCareofPartyState&amp;lt;/'"</definedName>
    <definedName function="false" hidden="true" name="_AMO_ContentDefinition_247660852.4" vbProcedure="false">"'ers'&amp;quot; FilterDS=&amp;quot;&amp;amp;lt;?xml version=&amp;amp;quot;1.0&amp;amp;quot; encoding=&amp;amp;quot;utf-16&amp;amp;quot;?&amp;amp;gt;&amp;amp;lt;FilterTree&amp;amp;gt;&amp;amp;lt;TreeRoot&amp;amp;gt;&amp;amp;lt;ID&amp;amp;gt;2194bfad-931f-4366-83c4-0dff9e587708&amp;amp;lt;/ID&amp;amp;gt;&amp;amp;lt;Filte'"</definedName>
    <definedName function="false" hidden="true" name="_AMO_ContentDefinition_247660852.40" vbProcedure="false">"'cn&amp;gt;&amp;#xD;&amp;#xA;&amp;lt;cn&amp;gt;InCareofPartyZipcode&amp;lt;/cn&amp;gt;&amp;#xD;&amp;#xA;&amp;lt;cn&amp;gt;GrossWeight&amp;lt;/cn&amp;gt;&amp;#xD;&amp;#xA;&amp;lt;cn&amp;gt;initiative_name&amp;lt;/cn&amp;gt;&amp;#xD;&amp;#xA;&amp;lt;cn&amp;gt;BudgetUnits&amp;lt;/cn&amp;gt;&amp;#xD;&amp;#xA;&amp;lt;cn&amp;gt;BudgetRevenue&amp;lt;/cn&amp;gt;&amp;#xD;&amp;#xA;&amp;lt;cn&amp;gt;'"</definedName>
    <definedName function="false" hidden="true" name="_AMO_ContentDefinition_247660852.41" vbProcedure="false">"'OrigCustID&amp;lt;/cn&amp;gt;&amp;#xD;&amp;#xA;&amp;lt;cn&amp;gt;OrigCustAddr&amp;lt;/cn&amp;gt;&amp;#xD;&amp;#xA;&amp;lt;cn&amp;gt;PortMiami&amp;lt;/cn&amp;gt;&amp;#xD;&amp;#xA;&amp;lt;cn&amp;gt;TrafficCustName&amp;lt;/cn&amp;gt;&amp;#xD;&amp;#xA;&amp;lt;cn&amp;gt;RevWeek&amp;lt;/cn&amp;gt;&amp;#xD;&amp;#xA;&amp;lt;cn&amp;gt;BudgetRec&amp;lt;/cn&amp;gt;&amp;#xD;&amp;#xA;&amp;lt;cn&amp;gt;eql'"</definedName>
    <definedName function="false" hidden="true" name="_AMO_ContentDefinition_247660852.42" vbProcedure="false">"'ength_adjusted&amp;lt;/cn&amp;gt;&amp;#xD;&amp;#xA;&amp;lt;cn&amp;gt;DivisionName&amp;lt;/cn&amp;gt;&amp;#xD;&amp;#xA;&amp;lt;cn&amp;gt;Salesperson&amp;lt;/cn&amp;gt;&amp;#xD;&amp;#xA;&amp;lt;cn&amp;gt;SalesVP&amp;lt;/cn&amp;gt;&amp;#xD;&amp;#xA;&amp;lt;cn&amp;gt;CSXFacilitator&amp;lt;/cn&amp;gt;&amp;#xD;&amp;#xA;&amp;lt;cn&amp;gt;OrigShippername&amp;lt;/cn&amp;gt;&amp;#xD;&amp;#xA;&amp;l'"</definedName>
    <definedName function="false" hidden="true" name="_AMO_ContentDefinition_247660852.43" vbProcedure="false">"'t;cn&amp;gt;OrigShipperID&amp;lt;/cn&amp;gt;&amp;#xD;&amp;#xA;&amp;lt;cn&amp;gt;OrigShipperAddr&amp;lt;/cn&amp;gt;&amp;#xD;&amp;#xA;&amp;lt;cn&amp;gt;OrigUltimateShipper&amp;lt;/cn&amp;gt;&amp;#xD;&amp;#xA;&amp;lt;cn&amp;gt;OrigUltimateShipperID&amp;lt;/cn&amp;gt;&amp;#xD;&amp;#xA;&amp;lt;cn&amp;gt;OrigUltimateShipperAddr&amp;lt;/cn&amp;gt;&amp;#xD;&amp;#xA;&amp;lt;cn&amp;'"</definedName>
    <definedName function="false" hidden="true" name="_AMO_ContentDefinition_247660852.44" vbProcedure="false">"'gt;OrigConsigneename&amp;lt;/cn&amp;gt;&amp;#xD;&amp;#xA;&amp;lt;cn&amp;gt;OrigConsigneeID&amp;lt;/cn&amp;gt;&amp;#xD;&amp;#xA;&amp;lt;cn&amp;gt;OrigConsigneeAddr&amp;lt;/cn&amp;gt;&amp;#xD;&amp;#xA;&amp;lt;cn&amp;gt;OrigUltimateConsignee&amp;lt;/cn&amp;gt;&amp;#xD;&amp;#xA;&amp;lt;cn&amp;gt;OrigUltimateConsigneeID&amp;lt;/cn&amp;gt;&amp;#xD;&amp;#xA;&amp;lt;cn&amp;gt;'"</definedName>
    <definedName function="false" hidden="true" name="_AMO_ContentDefinition_247660852.45" vbProcedure="false">"'OrigUltimateConsigneeAddr&amp;lt;/cn&amp;gt;&amp;#xD;&amp;#xA;&amp;lt;cn&amp;gt;E1CustID&amp;lt;/cn&amp;gt;&amp;#xD;&amp;#xA;&amp;lt;cn&amp;gt;DestCity&amp;lt;/cn&amp;gt;&amp;#xD;&amp;#xA;&amp;lt;cn&amp;gt;OrigCity&amp;lt;/cn&amp;gt;&amp;#xD;&amp;#xA;&amp;lt;cn&amp;gt;TrafficCategory&amp;lt;/cn&amp;gt;&amp;#xD;&amp;#xA;&amp;lt;cn&amp;gt;Old_ShipperName&amp;lt;/cn&amp;gt;&amp;#xD;&amp;'"</definedName>
    <definedName function="false" hidden="true" name="_AMO_ContentDefinition_247660852.46" vbProcedure="false">"'#xA;&amp;lt;cn&amp;gt;Old_ShipperID&amp;lt;/cn&amp;gt;&amp;#xD;&amp;#xA;&amp;lt;cn&amp;gt;Old_ShipperAddr&amp;lt;/cn&amp;gt;&amp;#xD;&amp;#xA;&amp;lt;cn&amp;gt;Old_Consigneename&amp;lt;/cn&amp;gt;&amp;#xD;&amp;#xA;&amp;lt;cn&amp;gt;Old_ConsigneeID&amp;lt;/cn&amp;gt;&amp;#xD;&amp;#xA;&amp;lt;cn&amp;gt;Old_ConsigneeAddr&amp;lt;/cn&amp;gt;&amp;#xD;&amp;#xA;&amp;lt;cn&amp;gt;New_S'"</definedName>
    <definedName function="false" hidden="true" name="_AMO_ContentDefinition_247660852.47" vbProcedure="false">"'hipperName&amp;lt;/cn&amp;gt;&amp;#xD;&amp;#xA;&amp;lt;cn&amp;gt;New_ShipperID&amp;lt;/cn&amp;gt;&amp;#xD;&amp;#xA;&amp;lt;cn&amp;gt;New_ShipperAddr&amp;lt;/cn&amp;gt;&amp;#xD;&amp;#xA;&amp;lt;cn&amp;gt;New_Consigneename&amp;lt;/cn&amp;gt;&amp;#xD;&amp;#xA;&amp;lt;cn&amp;gt;New_ConsigneeID&amp;lt;/cn&amp;gt;&amp;#xD;&amp;#xA;&amp;lt;cn&amp;gt;New_ConsigneeAddr&amp;lt;/cn&amp;g'"</definedName>
    <definedName function="false" hidden="true" name="_AMO_ContentDefinition_247660852.48" vbProcedure="false">"'t;&amp;#xD;&amp;#xA;&amp;lt;/ColOrd&amp;gt;&amp;#xD;&amp;#xA;&amp;lt;/SasDataSource&amp;gt;"" /&gt;_x005F_x000D_
  &lt;param n=""ServerName"" v=""SASApp"" /&gt;_x005F_x000D_
  &lt;param n=""SASFilter"" v=""Year = '2015' AND TransportMethod = 'Intermodal' AND BusinessSegment = 'Motor Carriers'"" /&gt;_x005F_x000D_
  &lt;param n=""DataF'"</definedName>
    <definedName function="false" hidden="true" name="_AMO_ContentDefinition_247660852.49" vbProcedure="false">"'ieldsList"" v=""Sum of Units,Sum of LineHaul"" /&gt;_x005F_x000D_
  &lt;param n=""ClassName"" v=""SAS.OfficeAddin.PivotTable"" /&gt;_x005F_x000D_
  &lt;param n=""NamedRange"" v=""_AMO_SingleObject_247660852_PivotTable_247660852"" /&gt;_x005F_x000D_
  &lt;ExcelXMLOptions AdjColWidths=""True"" RowOpt=""In'"</definedName>
    <definedName function="false" hidden="true" name="_AMO_ContentDefinition_247660852.5" vbProcedure="false">"'rType&amp;amp;gt;COLUMN&amp;amp;lt;/FilterType&amp;amp;gt;&amp;amp;lt;TableID /&amp;amp;gt;&amp;amp;lt;ColumnName&amp;amp;gt;Year&amp;amp;lt;/ColumnName&amp;amp;gt;&amp;amp;lt;ColumnType&amp;amp;gt;Character&amp;amp;lt;/ColumnType&amp;amp;gt;&amp;amp;lt;GroupLevel /&amp;amp;gt;&amp;amp;lt;SiblingLink&amp;amp;gt;&amp;amp;l'"</definedName>
    <definedName function="false" hidden="true" name="_AMO_ContentDefinition_247660852.50" vbProcedure="false">"'sertEntire"" ColOpt=""InsertCells"" /&gt;_x005F_x000D_
&lt;/ContentDefinition&gt;'"</definedName>
    <definedName function="false" hidden="true" name="_AMO_ContentDefinition_247660852.6" vbProcedure="false">"'t;LinkType&amp;amp;gt;AND&amp;amp;lt;/LinkType&amp;amp;gt;&amp;amp;lt;Node&amp;amp;gt;&amp;amp;lt;ID&amp;amp;gt;3c3c60b5-ce3c-4a6c-b0f5-eb8d5a33fe77&amp;amp;lt;/ID&amp;amp;gt;&amp;amp;lt;FilterType&amp;amp;gt;COLUMN&amp;amp;lt;/FilterType&amp;amp;gt;&amp;amp;lt;TableID /&amp;amp;gt;&amp;amp;lt;ColumnName&amp;amp;gt;Tr'"</definedName>
    <definedName function="false" hidden="true" name="_AMO_ContentDefinition_247660852.7" vbProcedure="false">"'ansportMethod&amp;amp;lt;/ColumnName&amp;amp;gt;&amp;amp;lt;ColumnType&amp;amp;gt;Character&amp;amp;lt;/ColumnType&amp;amp;gt;&amp;amp;lt;GroupLevel /&amp;amp;gt;&amp;amp;lt;SiblingLink&amp;amp;gt;&amp;amp;lt;LinkType&amp;amp;gt;AND&amp;amp;lt;/LinkType&amp;amp;gt;&amp;amp;lt;Node&amp;amp;gt;&amp;amp;lt;ID&amp;amp;gt;e422'"</definedName>
    <definedName function="false" hidden="true" name="_AMO_ContentDefinition_247660852.8" vbProcedure="false">"'ad42-6ae1-4401-9092-e4e90cdbc6e4&amp;amp;lt;/ID&amp;amp;gt;&amp;amp;lt;FilterType&amp;amp;gt;COLUMN&amp;amp;lt;/FilterType&amp;amp;gt;&amp;amp;lt;TableID /&amp;amp;gt;&amp;amp;lt;ColumnName&amp;amp;gt;BusinessSegment&amp;amp;lt;/ColumnName&amp;amp;gt;&amp;amp;lt;ColumnType&amp;amp;gt;Character&amp;amp;lt;/Colu'"</definedName>
    <definedName function="false" hidden="true" name="_AMO_ContentDefinition_247660852.9" vbProcedure="false">"'mnType&amp;amp;gt;&amp;amp;lt;GroupLevel /&amp;amp;gt;&amp;amp;lt;Operator&amp;amp;gt;=&amp;amp;lt;/Operator&amp;amp;gt;&amp;amp;lt;UseMacroFunction&amp;amp;gt;False&amp;amp;lt;/UseMacroFunction&amp;amp;gt;&amp;amp;lt;Not&amp;amp;gt;False&amp;amp;lt;/Not&amp;amp;gt;&amp;amp;lt;Label /&amp;amp;gt;&amp;amp;lt;RightHandSide&amp;'"</definedName>
    <definedName function="false" hidden="true" name="_AMO_ContentDefinition_682937942" vbProcedure="false">"'Partitions:13'"</definedName>
    <definedName function="false" hidden="true" name="_AMO_ContentDefinition_682937942.0" vbProcedure="false">"'&lt;ContentDefinition name=""SASApp:FECDL.DS_WB_REVENUE"" rsid=""682937942"" type=""PivotTable"" format=""ReportXml"" imgfmt=""ActiveX"" created=""08/24/2015 14:38:26"" modifed=""09/16/2015 15:21:24"" user=""Houghland"" apply=""False"" css=""C:\Program F'"</definedName>
    <definedName function="false" hidden="true" name="_AMO_ContentDefinition_682937942.1" vbProcedure="false">"'iles\SASHome\x86\SASAddinforMicrosoftOffice\5.1\Styles\AMODefault.css"" range=""SASApp_FECDL_DS_WB_REVENUE_2"" auto=""False"" xTime=""00:00:00"" rTime=""00:00:57.0700000"" bgnew=""False"" nFmt=""False"" grphSet=""False"" imgY=""0"" imgX=""0""&gt;_x005F_x000D_
  &lt;fil'"</definedName>
    <definedName function="false" hidden="true" name="_AMO_ContentDefinition_682937942.10" vbProcedure="false">"'Category&amp;lt;/cn&amp;gt;&amp;#xD;&amp;#xA;&amp;lt;cn&amp;gt;Division&amp;lt;/cn&amp;gt;&amp;#xD;&amp;#xA;&amp;lt;cn&amp;gt;OrigCity&amp;lt;/cn&amp;gt;&amp;#xD;&amp;#xA;&amp;lt;cn&amp;gt;DestCity&amp;lt;/cn&amp;gt;&amp;#xD;&amp;#xA;&amp;lt;cn&amp;gt;Units&amp;lt;/cn&amp;gt;&amp;#xD;&amp;#xA;&amp;lt;cn&amp;gt;LineHaul&amp;lt;/cn&amp;gt;&amp;#xD;&amp;#xA;&amp;lt;/Cols&amp;gt;&amp;#xD;&amp;#xA;&amp;lt;/Sa'"</definedName>
    <definedName function="false" hidden="true" name="_AMO_ContentDefinition_682937942.11" vbProcedure="false">"'sDataSource&amp;gt;"" /&gt;_x005F_x000D_
  &lt;param n=""ServerName"" v=""SASApp"" /&gt;_x005F_x000D_
  &lt;param n=""SASFilter"" v=""Year = '2015'"" /&gt;_x005F_x000D_
  &lt;param n=""DataFieldsList"" v=""Sum of Units,Sum of LineHaul"" /&gt;_x005F_x000D_
  &lt;param n=""ClassName"" v=""SAS.OfficeAddin.PivotTable"" /&gt;_x005F_x000D_
  &lt;p'"</definedName>
    <definedName function="false" hidden="true" name="_AMO_ContentDefinition_682937942.12" vbProcedure="false">"'aram n=""NamedRange"" v=""_AMO_SingleObject_682937942_PivotTable_682937942"" /&gt;_x005F_x000D_
  &lt;ExcelXMLOptions AdjColWidths=""True"" RowOpt=""InsertEntire"" ColOpt=""InsertCells"" /&gt;_x005F_x000D_
&lt;/ContentDefinition&gt;'"</definedName>
    <definedName function="false" hidden="true" name="_AMO_ContentDefinition_682937942.2" vbProcedure="false">"'es /&gt;_x005F_x000D_
  &lt;parents /&gt;_x005F_x000D_
  &lt;children /&gt;_x005F_x000D_
  &lt;param n=""DisplayName"" v=""SASApp:FECDL.DS_WB_REVENUE"" /&gt;_x005F_x000D_
  &lt;param n=""DisplayType"" v=""PivotTable"" /&gt;_x005F_x000D_
  &lt;param n=""AMO_Version"" v=""5.1"" /&gt;_x005F_x000D_
  &lt;param n=""DataSourceType"" v=""SAS DATASET"" /&gt;_x005F_x000D_
  &lt;par'"</definedName>
    <definedName function="false" hidden="true" name="_AMO_ContentDefinition_682937942.3" vbProcedure="false">"'am n=""DataSource"" v=""&amp;lt;SasDataSource Version=&amp;quot;4.2&amp;quot; Type=&amp;quot;SAS.Servers.Dataset&amp;quot; Svr=&amp;quot;SASApp&amp;quot; Lib=&amp;quot;FECDL&amp;quot; Filter=&amp;quot;Year = '2015'&amp;quot; FilterDS=&amp;quot;&amp;amp;lt;?xml version=&amp;amp;quot;1.0&amp;amp;quot; encoding=&amp;'"</definedName>
    <definedName function="false" hidden="true" name="_AMO_ContentDefinition_682937942.4" vbProcedure="false">"'amp;quot;utf-16&amp;amp;quot;?&amp;amp;gt;&amp;amp;lt;FilterTree&amp;amp;gt;&amp;amp;lt;TreeRoot&amp;amp;gt;&amp;amp;lt;ID&amp;amp;gt;a3eea8cd-91df-4e41-8ff3-670fc1487cdf&amp;amp;lt;/ID&amp;amp;gt;&amp;amp;lt;FilterType&amp;amp;gt;COLUMN&amp;amp;lt;/FilterType&amp;amp;gt;&amp;amp;lt;TableID /&amp;amp;gt;&amp;amp;lt;Co'"</definedName>
    <definedName function="false" hidden="true" name="_AMO_ContentDefinition_682937942.5" vbProcedure="false">"'lumnName&amp;amp;gt;Year&amp;amp;lt;/ColumnName&amp;amp;gt;&amp;amp;lt;ColumnType&amp;amp;gt;Character&amp;amp;lt;/ColumnType&amp;amp;gt;&amp;amp;lt;GroupLevel /&amp;amp;gt;&amp;amp;lt;Operator&amp;amp;gt;=&amp;amp;lt;/Operator&amp;amp;gt;&amp;amp;lt;UseMacroFunction&amp;amp;gt;False&amp;amp;lt;/UseMacroFunction&amp;a'"</definedName>
    <definedName function="false" hidden="true" name="_AMO_ContentDefinition_682937942.6" vbProcedure="false">"'mp;gt;&amp;amp;lt;Not&amp;amp;gt;False&amp;amp;lt;/Not&amp;amp;gt;&amp;amp;lt;Label /&amp;amp;gt;&amp;amp;lt;RightHandSide&amp;amp;gt;&amp;amp;lt;RightHandSideNumType&amp;amp;gt;SINGLE&amp;amp;lt;/RightHandSideNumType&amp;amp;gt;&amp;amp;lt;RightHandSideItems&amp;amp;gt;&amp;amp;lt;RHSItem&amp;amp;gt;&amp;amp;lt;RHSTy'"</definedName>
    <definedName function="false" hidden="true" name="_AMO_ContentDefinition_682937942.7" vbProcedure="false">"'pe&amp;amp;gt;EXPRESSION&amp;amp;lt;/RHSType&amp;amp;gt;&amp;amp;lt;AddQuotes&amp;amp;gt;True&amp;amp;lt;/AddQuotes&amp;amp;gt;&amp;amp;lt;DateFormat&amp;amp;gt;None&amp;amp;lt;/DateFormat&amp;amp;gt;&amp;amp;lt;RightHandSideExpression&amp;amp;gt;2015&amp;amp;lt;/RightHandSideExpression&amp;amp;gt;&amp;amp;lt;IsSu'"</definedName>
    <definedName function="false" hidden="true" name="_AMO_ContentDefinition_682937942.8" vbProcedure="false">"'bquery&amp;amp;gt;False&amp;amp;lt;/IsSubquery&amp;amp;gt;&amp;amp;lt;SubqueryTemplateName /&amp;amp;gt;&amp;amp;lt;/RHSItem&amp;amp;gt;&amp;amp;lt;/RightHandSideItems&amp;amp;gt;&amp;amp;lt;/RightHandSide&amp;amp;gt;&amp;amp;lt;/TreeRoot&amp;amp;gt;&amp;amp;lt;/FilterTree&amp;amp;gt;&amp;quot; ColSelFlg=&amp;quot;0&amp;q'"</definedName>
    <definedName function="false" hidden="true" name="_AMO_ContentDefinition_682937942.9" vbProcedure="false">"'uot; Name=&amp;quot;DS_WB_REVENUE&amp;quot;&amp;gt;&amp;#xD;&amp;#xA;&amp;lt;Cols&amp;gt;&amp;#xD;&amp;#xA;&amp;lt;cn&amp;gt;Year&amp;lt;/cn&amp;gt;&amp;#xD;&amp;#xA;&amp;lt;cn&amp;gt;Month&amp;lt;/cn&amp;gt;&amp;#xD;&amp;#xA;&amp;lt;cn&amp;gt;TransportMethod&amp;lt;/cn&amp;gt;&amp;#xD;&amp;#xA;&amp;lt;cn&amp;gt;BusinessSegment&amp;lt;/cn&amp;gt;&amp;#xD;&amp;#xA;&amp;lt;cn&amp;gt;Traffic'"</definedName>
    <definedName function="false" hidden="true" name="_AMO_ContentDefinition_972960867" vbProcedure="false">"'Partitions:49'"</definedName>
    <definedName function="false" hidden="true" name="_AMO_ContentDefinition_972960867.0" vbProcedure="false">"'&lt;ContentDefinition name=""SASApp:FECDL.DS_WB_REVENUE"" rsid=""972960867"" type=""PivotTable"" format=""ReportXml"" imgfmt=""ActiveX"" created=""08/24/2015 14:32:20"" modifed=""08/24/2015 14:43:02"" user=""Houghland"" apply=""False"" css=""C:\Program F'"</definedName>
    <definedName function="false" hidden="true" name="_AMO_ContentDefinition_972960867.1" vbProcedure="false">"'iles\SASHome\x86\SASAddinforMicrosoftOffice\5.1\Styles\AMODefault.css"" range=""SASApp_FECDL_DS_WB_REVENUE"" auto=""False"" xTime=""00:00:00"" rTime=""00:00:12.7005080"" bgnew=""False"" nFmt=""False"" grphSet=""False"" imgY=""0"" imgX=""0""&gt;_x005F_x000D_
  &lt;files'"</definedName>
    <definedName function="false" hidden="true" name="_AMO_ContentDefinition_972960867.10" vbProcedure="false">"';lt;/ColumnName&amp;amp;gt;&amp;amp;lt;ColumnType&amp;amp;gt;Character&amp;amp;lt;/ColumnType&amp;amp;gt;&amp;amp;lt;GroupLevel /&amp;amp;gt;&amp;amp;lt;Operator&amp;amp;gt;=&amp;amp;lt;/Operator&amp;amp;gt;&amp;amp;lt;UseMacroFunction&amp;amp;gt;False&amp;amp;lt;/UseMacroFunction&amp;amp;gt;&amp;amp;lt;Not&amp;amp;gt'"</definedName>
    <definedName function="false" hidden="true" name="_AMO_ContentDefinition_972960867.11" vbProcedure="false">"';False&amp;amp;lt;/Not&amp;amp;gt;&amp;amp;lt;Label /&amp;amp;gt;&amp;amp;lt;RightHandSide&amp;amp;gt;&amp;amp;lt;RightHandSideNumType&amp;amp;gt;SINGLE&amp;amp;lt;/RightHandSideNumType&amp;amp;gt;&amp;amp;lt;RightHandSideItems&amp;amp;gt;&amp;amp;lt;RHSItem&amp;amp;gt;&amp;amp;lt;RHSType&amp;amp;gt;EXPRESSION&amp;amp'"</definedName>
    <definedName function="false" hidden="true" name="_AMO_ContentDefinition_972960867.12" vbProcedure="false">"';lt;/RHSType&amp;amp;gt;&amp;amp;lt;AddQuotes&amp;amp;gt;True&amp;amp;lt;/AddQuotes&amp;amp;gt;&amp;amp;lt;DateFormat&amp;amp;gt;None&amp;amp;lt;/DateFormat&amp;amp;gt;&amp;amp;lt;RightHandSideExpression&amp;amp;gt;International Shippers&amp;amp;lt;/RightHandSideExpression&amp;amp;gt;&amp;amp;lt;IsSubquery'"</definedName>
    <definedName function="false" hidden="true" name="_AMO_ContentDefinition_972960867.13" vbProcedure="false">"'&amp;amp;gt;False&amp;amp;lt;/IsSubquery&amp;amp;gt;&amp;amp;lt;SubqueryTemplateName /&amp;amp;gt;&amp;amp;lt;/RHSItem&amp;amp;gt;&amp;amp;lt;/RightHandSideItems&amp;amp;gt;&amp;amp;lt;/RightHandSide&amp;amp;gt;&amp;amp;lt;/Node&amp;amp;gt;&amp;amp;lt;/SiblingLink&amp;amp;gt;&amp;amp;lt;Operator&amp;amp;gt;=&amp;amp;lt;/O'"</definedName>
    <definedName function="false" hidden="true" name="_AMO_ContentDefinition_972960867.14" vbProcedure="false">"'perator&amp;amp;gt;&amp;amp;lt;UseMacroFunction&amp;amp;gt;False&amp;amp;lt;/UseMacroFunction&amp;amp;gt;&amp;amp;lt;Not&amp;amp;gt;False&amp;amp;lt;/Not&amp;amp;gt;&amp;amp;lt;Label /&amp;amp;gt;&amp;amp;lt;RightHandSide&amp;amp;gt;&amp;amp;lt;RightHandSideNumType&amp;amp;gt;SINGLE&amp;amp;lt;/RightHandSideNumTyp'"</definedName>
    <definedName function="false" hidden="true" name="_AMO_ContentDefinition_972960867.15" vbProcedure="false">"'e&amp;amp;gt;&amp;amp;lt;RightHandSideItems&amp;amp;gt;&amp;amp;lt;RHSItem&amp;amp;gt;&amp;amp;lt;RHSType&amp;amp;gt;EXPRESSION&amp;amp;lt;/RHSType&amp;amp;gt;&amp;amp;lt;AddQuotes&amp;amp;gt;True&amp;amp;lt;/AddQuotes&amp;amp;gt;&amp;amp;lt;DateFormat&amp;amp;gt;None&amp;amp;lt;/DateFormat&amp;amp;gt;&amp;amp;lt;RightHan'"</definedName>
    <definedName function="false" hidden="true" name="_AMO_ContentDefinition_972960867.16" vbProcedure="false">"'dSideExpression&amp;amp;gt;Intermodal&amp;amp;lt;/RightHandSideExpression&amp;amp;gt;&amp;amp;lt;IsSubquery&amp;amp;gt;False&amp;amp;lt;/IsSubquery&amp;amp;gt;&amp;amp;lt;SubqueryTemplateName /&amp;amp;gt;&amp;amp;lt;/RHSItem&amp;amp;gt;&amp;amp;lt;/RightHandSideItems&amp;amp;gt;&amp;amp;lt;/RightHandSide&amp;'"</definedName>
    <definedName function="false" hidden="true" name="_AMO_ContentDefinition_972960867.17" vbProcedure="false">"'amp;gt;&amp;amp;lt;/Node&amp;amp;gt;&amp;amp;lt;/SiblingLink&amp;amp;gt;&amp;amp;lt;Operator&amp;amp;gt;=&amp;amp;lt;/Operator&amp;amp;gt;&amp;amp;lt;UseMacroFunction&amp;amp;gt;False&amp;amp;lt;/UseMacroFunction&amp;amp;gt;&amp;amp;lt;Not&amp;amp;gt;False&amp;amp;lt;/Not&amp;amp;gt;&amp;amp;lt;Label /&amp;amp;gt;&amp;amp;lt;'"</definedName>
    <definedName function="false" hidden="true" name="_AMO_ContentDefinition_972960867.18" vbProcedure="false">"'RightHandSide&amp;amp;gt;&amp;amp;lt;RightHandSideNumType&amp;amp;gt;SINGLE&amp;amp;lt;/RightHandSideNumType&amp;amp;gt;&amp;amp;lt;RightHandSideItems&amp;amp;gt;&amp;amp;lt;RHSItem&amp;amp;gt;&amp;amp;lt;RHSType&amp;amp;gt;EXPRESSION&amp;amp;lt;/RHSType&amp;amp;gt;&amp;amp;lt;AddQuotes&amp;amp;gt;True&amp;amp;lt;'"</definedName>
    <definedName function="false" hidden="true" name="_AMO_ContentDefinition_972960867.19" vbProcedure="false">"'/AddQuotes&amp;amp;gt;&amp;amp;lt;DateFormat&amp;amp;gt;None&amp;amp;lt;/DateFormat&amp;amp;gt;&amp;amp;lt;RightHandSideExpression&amp;amp;gt;2015&amp;amp;lt;/RightHandSideExpression&amp;amp;gt;&amp;amp;lt;IsSubquery&amp;amp;gt;False&amp;amp;lt;/IsSubquery&amp;amp;gt;&amp;amp;lt;SubqueryTemplateName /&amp;amp;'"</definedName>
    <definedName function="false" hidden="true" name="_AMO_ContentDefinition_972960867.2" vbProcedure="false">"' /&gt;_x005F_x000D_
  &lt;parents /&gt;_x005F_x000D_
  &lt;children /&gt;_x005F_x000D_
  &lt;param n=""DisplayName"" v=""SASApp:FECDL.DS_WB_REVENUE"" /&gt;_x005F_x000D_
  &lt;param n=""DisplayType"" v=""PivotTable"" /&gt;_x005F_x000D_
  &lt;param n=""AMO_Version"" v=""5.1"" /&gt;_x005F_x000D_
  &lt;param n=""DataSourceType"" v=""SAS DATASET"" /&gt;_x005F_x000D_
  &lt;param'"</definedName>
    <definedName function="false" hidden="true" name="_AMO_ContentDefinition_972960867.20" vbProcedure="false">"'gt;&amp;amp;lt;/RHSItem&amp;amp;gt;&amp;amp;lt;/RightHandSideItems&amp;amp;gt;&amp;amp;lt;/RightHandSide&amp;amp;gt;&amp;amp;lt;/TreeRoot&amp;amp;gt;&amp;amp;lt;/FilterTree&amp;amp;gt;&amp;quot; DispVarsSortOrder=&amp;quot;1&amp;quot; ColSelFlg=&amp;quot;0&amp;quot; Name=&amp;quot;DS_WB_REVENUE&amp;quot;&amp;gt;&amp;#xD;&amp;#xA;'"</definedName>
    <definedName function="false" hidden="true" name="_AMO_ContentDefinition_972960867.21" vbProcedure="false">"'&amp;lt;Cols&amp;gt;&amp;#xD;&amp;#xA;&amp;lt;cn&amp;gt;Year&amp;lt;/cn&amp;gt;&amp;#xD;&amp;#xA;&amp;lt;cn&amp;gt;Month&amp;lt;/cn&amp;gt;&amp;#xD;&amp;#xA;&amp;lt;cn&amp;gt;TransportMethod&amp;lt;/cn&amp;gt;&amp;#xD;&amp;#xA;&amp;lt;cn&amp;gt;BusinessSegment&amp;lt;/cn&amp;gt;&amp;#xD;&amp;#xA;&amp;lt;cn&amp;gt;TrafficCategory&amp;lt;/cn&amp;gt;&amp;#xD;&amp;#xA;&amp;lt;cn&amp;gt;Division&amp;l'"</definedName>
    <definedName function="false" hidden="true" name="_AMO_ContentDefinition_972960867.22" vbProcedure="false">"'t;/cn&amp;gt;&amp;#xD;&amp;#xA;&amp;lt;cn&amp;gt;OrigCity&amp;lt;/cn&amp;gt;&amp;#xD;&amp;#xA;&amp;lt;cn&amp;gt;DestCity&amp;lt;/cn&amp;gt;&amp;#xD;&amp;#xA;&amp;lt;cn&amp;gt;Units&amp;lt;/cn&amp;gt;&amp;#xD;&amp;#xA;&amp;lt;cn&amp;gt;LineHaul&amp;lt;/cn&amp;gt;&amp;#xD;&amp;#xA;&amp;lt;/Cols&amp;gt;&amp;#xD;&amp;#xA;&amp;lt;ColOrd&amp;gt;&amp;#xD;&amp;#xA;&amp;lt;cn&amp;gt;Year&amp;lt;/cn&amp;gt;&amp;#xD;&amp;#'"</definedName>
    <definedName function="false" hidden="true" name="_AMO_ContentDefinition_972960867.23" vbProcedure="false">"'xA;&amp;lt;cn&amp;gt;Month&amp;lt;/cn&amp;gt;&amp;#xD;&amp;#xA;&amp;lt;cn&amp;gt;TransportMethod&amp;lt;/cn&amp;gt;&amp;#xD;&amp;#xA;&amp;lt;cn&amp;gt;BusinessSegment&amp;lt;/cn&amp;gt;&amp;#xD;&amp;#xA;&amp;lt;cn&amp;gt;TrafficCategory&amp;lt;/cn&amp;gt;&amp;#xD;&amp;#xA;&amp;lt;cn&amp;gt;Division&amp;lt;/cn&amp;gt;&amp;#xD;&amp;#xA;&amp;lt;cn&amp;gt;OrigCity&amp;lt;/cn&amp;gt;&amp;#xD;&amp;'"</definedName>
    <definedName function="false" hidden="true" name="_AMO_ContentDefinition_972960867.24" vbProcedure="false">"'#xA;&amp;lt;cn&amp;gt;DestCity&amp;lt;/cn&amp;gt;&amp;#xD;&amp;#xA;&amp;lt;cn&amp;gt;Units&amp;lt;/cn&amp;gt;&amp;#xD;&amp;#xA;&amp;lt;cn&amp;gt;LineHaul&amp;lt;/cn&amp;gt;&amp;#xD;&amp;#xA;&amp;lt;cn&amp;gt;AARCarType&amp;lt;/cn&amp;gt;&amp;#xD;&amp;#xA;&amp;lt;cn&amp;gt;Accessorial&amp;lt;/cn&amp;gt;&amp;#xD;&amp;#xA;&amp;lt;cn&amp;gt;AcctYrMo&amp;lt;/cn&amp;gt;&amp;#xD;&amp;#xA;&amp;lt;cn&amp;gt;A'"</definedName>
    <definedName function="false" hidden="true" name="_AMO_ContentDefinition_972960867.25" vbProcedure="false">"'tlantaServType&amp;lt;/cn&amp;gt;&amp;#xD;&amp;#xA;&amp;lt;cn&amp;gt;BeneficialOwner&amp;lt;/cn&amp;gt;&amp;#xD;&amp;#xA;&amp;lt;cn&amp;gt;BeneficialOwnerAddr&amp;lt;/cn&amp;gt;&amp;#xD;&amp;#xA;&amp;lt;cn&amp;gt;BeneficialOwnerCity&amp;lt;/cn&amp;gt;&amp;#xD;&amp;#xA;&amp;lt;cn&amp;gt;BeneficialOwnerID&amp;lt;/cn&amp;gt;&amp;#xD;&amp;#xA;&amp;lt;cn&amp;gt;BeneficialOw'"</definedName>
    <definedName function="false" hidden="true" name="_AMO_ContentDefinition_972960867.26" vbProcedure="false">"'nerState&amp;lt;/cn&amp;gt;&amp;#xD;&amp;#xA;&amp;lt;cn&amp;gt;BeneficialOwnerZipcode&amp;lt;/cn&amp;gt;&amp;#xD;&amp;#xA;&amp;lt;cn&amp;gt;BlockToCustAddr&amp;lt;/cn&amp;gt;&amp;#xD;&amp;#xA;&amp;lt;cn&amp;gt;BlockToCustID&amp;lt;/cn&amp;gt;&amp;#xD;&amp;#xA;&amp;lt;cn&amp;gt;BOLDate&amp;lt;/cn&amp;gt;&amp;#xD;&amp;#xA;&amp;lt;cn&amp;gt;BOLNbr&amp;lt;/cn&amp;gt;&amp;#xD;&amp;#xA;&amp;lt;'"</definedName>
    <definedName function="false" hidden="true" name="_AMO_ContentDefinition_972960867.27" vbProcedure="false">"'cn&amp;gt;BudgetRec&amp;lt;/cn&amp;gt;&amp;#xD;&amp;#xA;&amp;lt;cn&amp;gt;BudgetRevenue&amp;lt;/cn&amp;gt;&amp;#xD;&amp;#xA;&amp;lt;cn&amp;gt;BudgetUnits&amp;lt;/cn&amp;gt;&amp;#xD;&amp;#xA;&amp;lt;cn&amp;gt;Commodity&amp;lt;/cn&amp;gt;&amp;#xD;&amp;#xA;&amp;lt;cn&amp;gt;ConsigneeAddr&amp;lt;/cn&amp;gt;&amp;#xD;&amp;#xA;&amp;lt;cn&amp;gt;ConsigneeCity&amp;lt;/cn&amp;gt;&amp;#xD;&amp;#xA;&amp;'"</definedName>
    <definedName function="false" hidden="true" name="_AMO_ContentDefinition_972960867.28" vbProcedure="false">"'lt;cn&amp;gt;ConsigneeID&amp;lt;/cn&amp;gt;&amp;#xD;&amp;#xA;&amp;lt;cn&amp;gt;ConsigneeName&amp;lt;/cn&amp;gt;&amp;#xD;&amp;#xA;&amp;lt;cn&amp;gt;ConsigneeState&amp;lt;/cn&amp;gt;&amp;#xD;&amp;#xA;&amp;lt;cn&amp;gt;ConsigneeZipcode&amp;lt;/cn&amp;gt;&amp;#xD;&amp;#xA;&amp;lt;cn&amp;gt;CSXFacilitator&amp;lt;/cn&amp;gt;&amp;#xD;&amp;#xA;&amp;lt;cn&amp;gt;CustAddr&amp;lt;/cn&amp;gt;'"</definedName>
    <definedName function="false" hidden="true" name="_AMO_ContentDefinition_972960867.29" vbProcedure="false">"'&amp;#xD;&amp;#xA;&amp;lt;cn&amp;gt;CustID&amp;lt;/cn&amp;gt;&amp;#xD;&amp;#xA;&amp;lt;cn&amp;gt;CustName&amp;lt;/cn&amp;gt;&amp;#xD;&amp;#xA;&amp;lt;cn&amp;gt;DataSource&amp;lt;/cn&amp;gt;&amp;#xD;&amp;#xA;&amp;lt;cn&amp;gt;Day&amp;lt;/cn&amp;gt;&amp;#xD;&amp;#xA;&amp;lt;cn&amp;gt;DestState&amp;lt;/cn&amp;gt;&amp;#xD;&amp;#xA;&amp;lt;cn&amp;gt;Direction&amp;lt;/cn&amp;gt;&amp;#xD;&amp;#xA;&amp;lt;cn&amp;gt;'"</definedName>
    <definedName function="false" hidden="true" name="_AMO_ContentDefinition_972960867.3" vbProcedure="false">"' n=""ServerName"" v=""SASApp"" /&gt;_x005F_x000D_
  &lt;param n=""SASFilter"" v=""Year = '2015' AND TransportMethod = 'Intermodal' AND BusinessSegment = 'International Shippers'"" /&gt;_x005F_x000D_
  &lt;param n=""ClassName"" v=""SAS.OfficeAddin.PivotTable"" /&gt;_x005F_x000D_
  &lt;param n=""NamedRan'"</definedName>
    <definedName function="false" hidden="true" name="_AMO_ContentDefinition_972960867.30" vbProcedure="false">"'DivisionName&amp;lt;/cn&amp;gt;&amp;#xD;&amp;#xA;&amp;lt;cn&amp;gt;DOW&amp;lt;/cn&amp;gt;&amp;#xD;&amp;#xA;&amp;lt;cn&amp;gt;DOWName&amp;lt;/cn&amp;gt;&amp;#xD;&amp;#xA;&amp;lt;cn&amp;gt;DropTerminal&amp;lt;/cn&amp;gt;&amp;#xD;&amp;#xA;&amp;lt;cn&amp;gt;E1CustID&amp;lt;/cn&amp;gt;&amp;#xD;&amp;#xA;&amp;lt;cn&amp;gt;EQInit&amp;lt;/cn&amp;gt;&amp;#xD;&amp;#xA;&amp;lt;cn&amp;gt;EQLength&amp;lt;/cn&amp;g'"</definedName>
    <definedName function="false" hidden="true" name="_AMO_ContentDefinition_972960867.31" vbProcedure="false">"'t;&amp;#xD;&amp;#xA;&amp;lt;cn&amp;gt;eqlength_adjusted&amp;lt;/cn&amp;gt;&amp;#xD;&amp;#xA;&amp;lt;cn&amp;gt;EQNbr&amp;lt;/cn&amp;gt;&amp;#xD;&amp;#xA;&amp;lt;cn&amp;gt;Estimated&amp;lt;/cn&amp;gt;&amp;#xD;&amp;#xA;&amp;lt;cn&amp;gt;EstimateOnly&amp;lt;/cn&amp;gt;&amp;#xD;&amp;#xA;&amp;lt;cn&amp;gt;Fuel&amp;lt;/cn&amp;gt;&amp;#xD;&amp;#xA;&amp;lt;cn&amp;gt;FuelAccrual&amp;lt;/cn&amp;gt;&amp;#xD;'"</definedName>
    <definedName function="false" hidden="true" name="_AMO_ContentDefinition_972960867.32" vbProcedure="false">"'&amp;#xA;&amp;lt;cn&amp;gt;FuelEstimate&amp;lt;/cn&amp;gt;&amp;#xD;&amp;#xA;&amp;lt;cn&amp;gt;GrossWeight&amp;lt;/cn&amp;gt;&amp;#xD;&amp;#xA;&amp;lt;cn&amp;gt;Haulage&amp;lt;/cn&amp;gt;&amp;#xD;&amp;#xA;&amp;lt;cn&amp;gt;HaulRoad&amp;lt;/cn&amp;gt;&amp;#xD;&amp;#xA;&amp;lt;cn&amp;gt;ICHRRoad&amp;lt;/cn&amp;gt;&amp;#xD;&amp;#xA;&amp;lt;cn&amp;gt;InCareofParty&amp;lt;/cn&amp;gt;&amp;#xD;&amp;#xA;&amp;'"</definedName>
    <definedName function="false" hidden="true" name="_AMO_ContentDefinition_972960867.33" vbProcedure="false">"'lt;cn&amp;gt;InCareofPartyAddr&amp;lt;/cn&amp;gt;&amp;#xD;&amp;#xA;&amp;lt;cn&amp;gt;InCareofPartyCity&amp;lt;/cn&amp;gt;&amp;#xD;&amp;#xA;&amp;lt;cn&amp;gt;InCareofPartyID&amp;lt;/cn&amp;gt;&amp;#xD;&amp;#xA;&amp;lt;cn&amp;gt;InCareofPartyState&amp;lt;/cn&amp;gt;&amp;#xD;&amp;#xA;&amp;lt;cn&amp;gt;InCareofPartyZipcode&amp;lt;/cn&amp;gt;&amp;#xD;&amp;#xA;&amp;lt;cn&amp;gt;'"</definedName>
    <definedName function="false" hidden="true" name="_AMO_ContentDefinition_972960867.34" vbProcedure="false">"'initiative_name&amp;lt;/cn&amp;gt;&amp;#xD;&amp;#xA;&amp;lt;cn&amp;gt;InvoiceBillDate&amp;lt;/cn&amp;gt;&amp;#xD;&amp;#xA;&amp;lt;cn&amp;gt;InvoiceCustAddr&amp;lt;/cn&amp;gt;&amp;#xD;&amp;#xA;&amp;lt;cn&amp;gt;InvoiceCustID&amp;lt;/cn&amp;gt;&amp;#xD;&amp;#xA;&amp;lt;cn&amp;gt;InvoiceCustName&amp;lt;/cn&amp;gt;&amp;#xD;&amp;#xA;&amp;lt;cn&amp;gt;InvoiceNbr&amp;lt;/cn&amp;gt;&amp;#'"</definedName>
    <definedName function="false" hidden="true" name="_AMO_ContentDefinition_972960867.35" vbProcedure="false">"'xD;&amp;#xA;&amp;lt;cn&amp;gt;InvoiceVer&amp;lt;/cn&amp;gt;&amp;#xD;&amp;#xA;&amp;lt;cn&amp;gt;IProd&amp;lt;/cn&amp;gt;&amp;#xD;&amp;#xA;&amp;lt;cn&amp;gt;IPType&amp;lt;/cn&amp;gt;&amp;#xD;&amp;#xA;&amp;lt;cn&amp;gt;IPTypeDesc&amp;lt;/cn&amp;gt;&amp;#xD;&amp;#xA;&amp;lt;cn&amp;gt;Kind&amp;lt;/cn&amp;gt;&amp;#xD;&amp;#xA;&amp;lt;cn&amp;gt;LESts&amp;lt;/cn&amp;gt;&amp;#xD;&amp;#xA;&amp;lt;cn&amp;gt;LineHau'"</definedName>
    <definedName function="false" hidden="true" name="_AMO_ContentDefinition_972960867.36" vbProcedure="false">"'lACC&amp;lt;/cn&amp;gt;&amp;#xD;&amp;#xA;&amp;lt;cn&amp;gt;NotifyParty&amp;lt;/cn&amp;gt;&amp;#xD;&amp;#xA;&amp;lt;cn&amp;gt;NotifyPartyAddr&amp;lt;/cn&amp;gt;&amp;#xD;&amp;#xA;&amp;lt;cn&amp;gt;NotifyPartyCity&amp;lt;/cn&amp;gt;&amp;#xD;&amp;#xA;&amp;lt;cn&amp;gt;NotifyPartyID&amp;lt;/cn&amp;gt;&amp;#xD;&amp;#xA;&amp;lt;cn&amp;gt;NotifyPartyState&amp;lt;/cn&amp;gt;&amp;#xD;&amp;#xA;&amp;'"</definedName>
    <definedName function="false" hidden="true" name="_AMO_ContentDefinition_972960867.37" vbProcedure="false">"'lt;cn&amp;gt;NotifyPartyZipcode&amp;lt;/cn&amp;gt;&amp;#xD;&amp;#xA;&amp;lt;cn&amp;gt;OrigConsigneeAddr&amp;lt;/cn&amp;gt;&amp;#xD;&amp;#xA;&amp;lt;cn&amp;gt;OrigConsigneeID&amp;lt;/cn&amp;gt;&amp;#xD;&amp;#xA;&amp;lt;cn&amp;gt;OrigConsigneename&amp;lt;/cn&amp;gt;&amp;#xD;&amp;#xA;&amp;lt;cn&amp;gt;OrigCustAddr&amp;lt;/cn&amp;gt;&amp;#xD;&amp;#xA;&amp;lt;cn&amp;gt;OrigCust'"</definedName>
    <definedName function="false" hidden="true" name="_AMO_ContentDefinition_972960867.38" vbProcedure="false">"'ID&amp;lt;/cn&amp;gt;&amp;#xD;&amp;#xA;&amp;lt;cn&amp;gt;OrigShipperAddr&amp;lt;/cn&amp;gt;&amp;#xD;&amp;#xA;&amp;lt;cn&amp;gt;OrigShipperID&amp;lt;/cn&amp;gt;&amp;#xD;&amp;#xA;&amp;lt;cn&amp;gt;OrigShippername&amp;lt;/cn&amp;gt;&amp;#xD;&amp;#xA;&amp;lt;cn&amp;gt;OrigState&amp;lt;/cn&amp;gt;&amp;#xD;&amp;#xA;&amp;lt;cn&amp;gt;OrigUltimateConsignee&amp;lt;/cn&amp;gt;&amp;#xD;&amp;#xA;'"</definedName>
    <definedName function="false" hidden="true" name="_AMO_ContentDefinition_972960867.39" vbProcedure="false">"'&amp;lt;cn&amp;gt;OrigUltimateConsigneeAddr&amp;lt;/cn&amp;gt;&amp;#xD;&amp;#xA;&amp;lt;cn&amp;gt;OrigUltimateConsigneeID&amp;lt;/cn&amp;gt;&amp;#xD;&amp;#xA;&amp;lt;cn&amp;gt;OrigUltimateShipper&amp;lt;/cn&amp;gt;&amp;#xD;&amp;#xA;&amp;lt;cn&amp;gt;OrigUltimateShipperAddr&amp;lt;/cn&amp;gt;&amp;#xD;&amp;#xA;&amp;lt;cn&amp;gt;OrigUltimateShipperID&amp;lt;/c'"</definedName>
    <definedName function="false" hidden="true" name="_AMO_ContentDefinition_972960867.4" vbProcedure="false">"'ge"" v=""_AMO_SingleObject_972960867_PivotTable_972960867"" /&gt;_x005F_x000D_
  &lt;param n=""DataSource"" v=""&amp;lt;SasDataSource Version=&amp;quot;4.2&amp;quot; Type=&amp;quot;SAS.Servers.Dataset&amp;quot; Svr=&amp;quot;SASApp&amp;quot; Lib=&amp;quot;FECDL&amp;quot; Filter=&amp;quot;Year = '2015' AND Tr'"</definedName>
    <definedName function="false" hidden="true" name="_AMO_ContentDefinition_972960867.40" vbProcedure="false">"'n&amp;gt;&amp;#xD;&amp;#xA;&amp;lt;cn&amp;gt;OurProp&amp;lt;/cn&amp;gt;&amp;#xD;&amp;#xA;&amp;lt;cn&amp;gt;OwnerProgram&amp;lt;/cn&amp;gt;&amp;#xD;&amp;#xA;&amp;lt;cn&amp;gt;Ownership&amp;lt;/cn&amp;gt;&amp;#xD;&amp;#xA;&amp;lt;cn&amp;gt;PayMethod&amp;lt;/cn&amp;gt;&amp;#xD;&amp;#xA;&amp;lt;cn&amp;gt;PortMiami&amp;lt;/cn&amp;gt;&amp;#xD;&amp;#xA;&amp;lt;cn&amp;gt;ProMiles&amp;lt;/cn&amp;gt;&amp;#xD;&amp;'"</definedName>
    <definedName function="false" hidden="true" name="_AMO_ContentDefinition_972960867.41" vbProcedure="false">"'#xA;&amp;lt;cn&amp;gt;ProNbr&amp;lt;/cn&amp;gt;&amp;#xD;&amp;#xA;&amp;lt;cn&amp;gt;Rate1AuthNbr&amp;lt;/cn&amp;gt;&amp;#xD;&amp;#xA;&amp;lt;cn&amp;gt;Rate1SCAC&amp;lt;/cn&amp;gt;&amp;#xD;&amp;#xA;&amp;lt;cn&amp;gt;Rate2AuthNbr&amp;lt;/cn&amp;gt;&amp;#xD;&amp;#xA;&amp;lt;cn&amp;gt;Rate2SCAC&amp;lt;/cn&amp;gt;&amp;#xD;&amp;#xA;&amp;lt;cn&amp;gt;Rate3AuthNbr&amp;lt;/cn&amp;gt;&amp;#xD;&amp;#xA;&amp;'"</definedName>
    <definedName function="false" hidden="true" name="_AMO_ContentDefinition_972960867.42" vbProcedure="false">"'lt;cn&amp;gt;Rate3SCAC&amp;lt;/cn&amp;gt;&amp;#xD;&amp;#xA;&amp;lt;cn&amp;gt;RevDate&amp;lt;/cn&amp;gt;&amp;#xD;&amp;#xA;&amp;lt;cn&amp;gt;Revenue&amp;lt;/cn&amp;gt;&amp;#xD;&amp;#xA;&amp;lt;cn&amp;gt;RevenueNoFuel&amp;lt;/cn&amp;gt;&amp;#xD;&amp;#xA;&amp;lt;cn&amp;gt;RevWeek&amp;lt;/cn&amp;gt;&amp;#xD;&amp;#xA;&amp;lt;cn&amp;gt;rptCustName&amp;lt;/cn&amp;gt;&amp;#xD;&amp;#xA;&amp;lt;cn&amp;gt;Sa'"</definedName>
    <definedName function="false" hidden="true" name="_AMO_ContentDefinition_972960867.43" vbProcedure="false">"'lesperson&amp;lt;/cn&amp;gt;&amp;#xD;&amp;#xA;&amp;lt;cn&amp;gt;SalesVP&amp;lt;/cn&amp;gt;&amp;#xD;&amp;#xA;&amp;lt;cn&amp;gt;ShipperAddr&amp;lt;/cn&amp;gt;&amp;#xD;&amp;#xA;&amp;lt;cn&amp;gt;ShipperCity&amp;lt;/cn&amp;gt;&amp;#xD;&amp;#xA;&amp;lt;cn&amp;gt;ShipperID&amp;lt;/cn&amp;gt;&amp;#xD;&amp;#xA;&amp;lt;cn&amp;gt;ShipperName&amp;lt;/cn&amp;gt;&amp;#xD;&amp;#xA;&amp;lt;cn&amp;gt;Shipper'"</definedName>
    <definedName function="false" hidden="true" name="_AMO_ContentDefinition_972960867.44" vbProcedure="false">"'State&amp;lt;/cn&amp;gt;&amp;#xD;&amp;#xA;&amp;lt;cn&amp;gt;ShipperZipcode&amp;lt;/cn&amp;gt;&amp;#xD;&amp;#xA;&amp;lt;cn&amp;gt;STCC&amp;lt;/cn&amp;gt;&amp;#xD;&amp;#xA;&amp;lt;cn&amp;gt;STCC2&amp;lt;/cn&amp;gt;&amp;#xD;&amp;#xA;&amp;lt;cn&amp;gt;TrafficCustName&amp;lt;/cn&amp;gt;&amp;#xD;&amp;#xA;&amp;lt;cn&amp;gt;TrainID&amp;lt;/cn&amp;gt;&amp;#xD;&amp;#xA;&amp;lt;cn&amp;gt;UltimateConsign'"</definedName>
    <definedName function="false" hidden="true" name="_AMO_ContentDefinition_972960867.45" vbProcedure="false">"'ee&amp;lt;/cn&amp;gt;&amp;#xD;&amp;#xA;&amp;lt;cn&amp;gt;UltimateConsigneeAddr&amp;lt;/cn&amp;gt;&amp;#xD;&amp;#xA;&amp;lt;cn&amp;gt;UltimateConsigneeCity&amp;lt;/cn&amp;gt;&amp;#xD;&amp;#xA;&amp;lt;cn&amp;gt;UltimateConsigneeID&amp;lt;/cn&amp;gt;&amp;#xD;&amp;#xA;&amp;lt;cn&amp;gt;UltimateConsigneeState&amp;lt;/cn&amp;gt;&amp;#xD;&amp;#xA;&amp;lt;cn&amp;gt;UltimateCon'"</definedName>
    <definedName function="false" hidden="true" name="_AMO_ContentDefinition_972960867.46" vbProcedure="false">"'signeeZipcode&amp;lt;/cn&amp;gt;&amp;#xD;&amp;#xA;&amp;lt;cn&amp;gt;UltimateShipper&amp;lt;/cn&amp;gt;&amp;#xD;&amp;#xA;&amp;lt;cn&amp;gt;UltimateShipperAddr&amp;lt;/cn&amp;gt;&amp;#xD;&amp;#xA;&amp;lt;cn&amp;gt;UltimateShipperCity&amp;lt;/cn&amp;gt;&amp;#xD;&amp;#xA;&amp;lt;cn&amp;gt;UltimateShipperID&amp;lt;/cn&amp;gt;&amp;#xD;&amp;#xA;&amp;lt;cn&amp;gt;UltimateShipp'"</definedName>
    <definedName function="false" hidden="true" name="_AMO_ContentDefinition_972960867.47" vbProcedure="false">"'erState&amp;lt;/cn&amp;gt;&amp;#xD;&amp;#xA;&amp;lt;cn&amp;gt;UltimateShipperZipcode&amp;lt;/cn&amp;gt;&amp;#xD;&amp;#xA;&amp;lt;cn&amp;gt;WBDate&amp;lt;/cn&amp;gt;&amp;#xD;&amp;#xA;&amp;lt;cn&amp;gt;WBNbr&amp;lt;/cn&amp;gt;&amp;#xD;&amp;#xA;&amp;lt;/ColOrd&amp;gt;&amp;#xD;&amp;#xA;&amp;lt;/SasDataSource&amp;gt;"" /&gt;_x005F_x000D_
  &lt;param n=""DataFieldsList"" v=""Sum of Un'"</definedName>
    <definedName function="false" hidden="true" name="_AMO_ContentDefinition_972960867.48" vbProcedure="false">"'its,Sum of LineHaul"" /&gt;_x005F_x000D_
  &lt;ExcelXMLOptions AdjColWidths=""True"" RowOpt=""InsertEntire"" ColOpt=""InsertCells"" /&gt;_x005F_x000D_
&lt;/ContentDefinition&gt;'"</definedName>
    <definedName function="false" hidden="true" name="_AMO_ContentDefinition_972960867.5" vbProcedure="false">"'ansportMethod = 'Intermodal' AND BusinessSegment = 'International Shippers'&amp;quot; FilterDS=&amp;quot;&amp;amp;lt;?xml version=&amp;amp;quot;1.0&amp;amp;quot; encoding=&amp;amp;quot;utf-16&amp;amp;quot;?&amp;amp;gt;&amp;amp;lt;FilterTree&amp;amp;gt;&amp;amp;lt;TreeRoot&amp;amp;gt;&amp;amp;lt;ID&amp;amp;'"</definedName>
    <definedName function="false" hidden="true" name="_AMO_ContentDefinition_972960867.6" vbProcedure="false">"'gt;d8a8e433-bfe2-49b2-a719-a7f0ef98262a&amp;amp;lt;/ID&amp;amp;gt;&amp;amp;lt;FilterType&amp;amp;gt;COLUMN&amp;amp;lt;/FilterType&amp;amp;gt;&amp;amp;lt;TableID /&amp;amp;gt;&amp;amp;lt;ColumnName&amp;amp;gt;Year&amp;amp;lt;/ColumnName&amp;amp;gt;&amp;amp;lt;ColumnType&amp;amp;gt;Character&amp;amp;lt;/ColumnTy'"</definedName>
    <definedName function="false" hidden="true" name="_AMO_ContentDefinition_972960867.7" vbProcedure="false">"'pe&amp;amp;gt;&amp;amp;lt;GroupLevel /&amp;amp;gt;&amp;amp;lt;SiblingLink&amp;amp;gt;&amp;amp;lt;LinkType&amp;amp;gt;AND&amp;amp;lt;/LinkType&amp;amp;gt;&amp;amp;lt;Node&amp;amp;gt;&amp;amp;lt;ID&amp;amp;gt;b7040e11-7e0f-4226-9638-160fade7f965&amp;amp;lt;/ID&amp;amp;gt;&amp;amp;lt;FilterType&amp;amp;gt;COLUMN&amp;amp;lt;/'"</definedName>
    <definedName function="false" hidden="true" name="_AMO_ContentDefinition_972960867.8" vbProcedure="false">"'FilterType&amp;amp;gt;&amp;amp;lt;TableID /&amp;amp;gt;&amp;amp;lt;ColumnName&amp;amp;gt;TransportMethod&amp;amp;lt;/ColumnName&amp;amp;gt;&amp;amp;lt;ColumnType&amp;amp;gt;Character&amp;amp;lt;/ColumnType&amp;amp;gt;&amp;amp;lt;GroupLevel /&amp;amp;gt;&amp;amp;lt;SiblingLink&amp;amp;gt;&amp;amp;lt;LinkType&amp;amp;gt'"</definedName>
    <definedName function="false" hidden="true" name="_AMO_ContentDefinition_972960867.9" vbProcedure="false">"';AND&amp;amp;lt;/LinkType&amp;amp;gt;&amp;amp;lt;Node&amp;amp;gt;&amp;amp;lt;ID&amp;amp;gt;8275a7ba-e52a-4e1b-91a8-95b9d06874b7&amp;amp;lt;/ID&amp;amp;gt;&amp;amp;lt;FilterType&amp;amp;gt;COLUMN&amp;amp;lt;/FilterType&amp;amp;gt;&amp;amp;lt;TableID /&amp;amp;gt;&amp;amp;lt;ColumnName&amp;amp;gt;BusinessSegment&amp;amp'"</definedName>
    <definedName function="false" hidden="true" name="_AMO_ContentDefinition_982752879" vbProcedure="false">"'Partitions:22'"</definedName>
    <definedName function="false" hidden="true" name="_AMO_ContentDefinition_982752879.0" vbProcedure="false">"'&lt;ContentDefinition name=""SASApp:FECDL.DS_WB_REVENUE"" rsid=""982752879"" type=""PivotTable"" format=""ReportXml"" imgfmt=""ActiveX"" created=""08/16/2013 14:22:12"" modifed=""08/16/2013 14:22:12"" user=""Stephanie"" apply=""False"" css=""C:\Program F'"</definedName>
    <definedName function="false" hidden="true" name="_AMO_ContentDefinition_982752879.1" vbProcedure="false">"'iles\SASHome\x86\SASAddinforMicrosoftOffice\5.1\Styles\AMODefault.css"" range=""SASApp_FECDL_DS_WB_REVENUE"" auto=""False"" xTime=""00:00:00"" rTime=""00:00:00.6890000"" bgnew=""False"" nFmt=""False"" grphSet=""False"" imgY=""0"" imgX=""0""&gt;_x005F_x000D_
  &lt;files'"</definedName>
    <definedName function="false" hidden="true" name="_AMO_ContentDefinition_982752879.10" vbProcedure="false">"'l /&amp;amp;gt;&amp;amp;lt;RightHandSide&amp;amp;gt;&amp;amp;lt;RightHandSideNumType&amp;amp;gt;SINGLE&amp;amp;lt;/RightHandSideNumType&amp;amp;gt;&amp;amp;lt;RightHandSideItems&amp;amp;gt;&amp;amp;lt;RHSItem&amp;amp;gt;&amp;amp;lt;RHSType&amp;amp;gt;EXPRESSION&amp;amp;lt;/RHSType&amp;amp;gt;&amp;amp;lt;AddQuotes&amp;'"</definedName>
    <definedName function="false" hidden="true" name="_AMO_ContentDefinition_982752879.11" vbProcedure="false">"'amp;gt;True&amp;amp;lt;/AddQuotes&amp;amp;gt;&amp;amp;lt;DateFormat&amp;amp;gt;None&amp;amp;lt;/DateFormat&amp;amp;gt;&amp;amp;lt;RightHandSideExpression&amp;amp;gt;WEST PALM BEACH&amp;amp;lt;/RightHandSideExpression&amp;amp;gt;&amp;amp;lt;IsSubquery&amp;amp;gt;False&amp;amp;lt;/IsSubquery&amp;amp;gt;&amp;amp;'"</definedName>
    <definedName function="false" hidden="true" name="_AMO_ContentDefinition_982752879.12" vbProcedure="false">"'lt;SubqueryTemplateName /&amp;amp;gt;&amp;amp;lt;/RHSItem&amp;amp;gt;&amp;amp;lt;/RightHandSideItems&amp;amp;gt;&amp;amp;lt;/RightHandSide&amp;amp;gt;&amp;amp;lt;/Node&amp;amp;gt;&amp;amp;lt;/SiblingLink&amp;amp;gt;&amp;amp;lt;Operator&amp;amp;gt;=&amp;amp;lt;/Operator&amp;amp;gt;&amp;amp;lt;UseMacroFunction&amp;amp;g'"</definedName>
    <definedName function="false" hidden="true" name="_AMO_ContentDefinition_982752879.13" vbProcedure="false">"'t;False&amp;amp;lt;/UseMacroFunction&amp;amp;gt;&amp;amp;lt;Not&amp;amp;gt;False&amp;amp;lt;/Not&amp;amp;gt;&amp;amp;lt;Label /&amp;amp;gt;&amp;amp;lt;RightHandSide&amp;amp;gt;&amp;amp;lt;RightHandSideNumType&amp;amp;gt;SINGLE&amp;amp;lt;/RightHandSideNumType&amp;amp;gt;&amp;amp;lt;RightHandSideItems&amp;amp;gt;&amp;a'"</definedName>
    <definedName function="false" hidden="true" name="_AMO_ContentDefinition_982752879.14" vbProcedure="false">"'mp;lt;RHSItem&amp;amp;gt;&amp;amp;lt;RHSType&amp;amp;gt;EXPRESSION&amp;amp;lt;/RHSType&amp;amp;gt;&amp;amp;lt;AddQuotes&amp;amp;gt;True&amp;amp;lt;/AddQuotes&amp;amp;gt;&amp;amp;lt;DateFormat&amp;amp;gt;None&amp;amp;lt;/DateFormat&amp;amp;gt;&amp;amp;lt;RightHandSideExpression&amp;amp;gt;08&amp;amp;lt;/RightHandSi'"</definedName>
    <definedName function="false" hidden="true" name="_AMO_ContentDefinition_982752879.15" vbProcedure="false">"'deExpression&amp;amp;gt;&amp;amp;lt;IsSubquery&amp;amp;gt;False&amp;amp;lt;/IsSubquery&amp;amp;gt;&amp;amp;lt;SubqueryTemplateName /&amp;amp;gt;&amp;amp;lt;/RHSItem&amp;amp;gt;&amp;amp;lt;/RightHandSideItems&amp;amp;gt;&amp;amp;lt;/RightHandSide&amp;amp;gt;&amp;amp;lt;/Node&amp;amp;gt;&amp;amp;lt;/SiblingLink&amp;amp;'"</definedName>
    <definedName function="false" hidden="true" name="_AMO_ContentDefinition_982752879.16" vbProcedure="false">"'gt;&amp;amp;lt;Operator&amp;amp;gt;=&amp;amp;lt;/Operator&amp;amp;gt;&amp;amp;lt;UseMacroFunction&amp;amp;gt;False&amp;amp;lt;/UseMacroFunction&amp;amp;gt;&amp;amp;lt;Not&amp;amp;gt;False&amp;amp;lt;/Not&amp;amp;gt;&amp;amp;lt;Label /&amp;amp;gt;&amp;amp;lt;RightHandSide&amp;amp;gt;&amp;amp;lt;RightHandSideNumType&amp;amp'"</definedName>
    <definedName function="false" hidden="true" name="_AMO_ContentDefinition_982752879.17" vbProcedure="false">"';gt;SINGLE&amp;amp;lt;/RightHandSideNumType&amp;amp;gt;&amp;amp;lt;RightHandSideItems&amp;amp;gt;&amp;amp;lt;RHSItem&amp;amp;gt;&amp;amp;lt;RHSType&amp;amp;gt;EXPRESSION&amp;amp;lt;/RHSType&amp;amp;gt;&amp;amp;lt;AddQuotes&amp;amp;gt;True&amp;amp;lt;/AddQuotes&amp;amp;gt;&amp;amp;lt;DateFormat&amp;amp;gt;None&amp;amp;'"</definedName>
    <definedName function="false" hidden="true" name="_AMO_ContentDefinition_982752879.18" vbProcedure="false">"'lt;/DateFormat&amp;amp;gt;&amp;amp;lt;RightHandSideExpression&amp;amp;gt;2013&amp;amp;lt;/RightHandSideExpression&amp;amp;gt;&amp;amp;lt;IsSubquery&amp;amp;gt;False&amp;amp;lt;/IsSubquery&amp;amp;gt;&amp;amp;lt;SubqueryTemplateName /&amp;amp;gt;&amp;amp;lt;/RHSItem&amp;amp;gt;&amp;amp;lt;/RightHandSideItem'"</definedName>
    <definedName function="false" hidden="true" name="_AMO_ContentDefinition_982752879.19" vbProcedure="false">"'s&amp;amp;gt;&amp;amp;lt;/RightHandSide&amp;amp;gt;&amp;amp;lt;/TreeRoot&amp;amp;gt;&amp;amp;lt;/FilterTree&amp;amp;gt;&amp;quot; ColSelFlg=&amp;quot;0&amp;quot; Name=&amp;quot;DS_WB_REVENUE&amp;quot; /&amp;gt;"" /&gt;_x005F_x000D_
  &lt;param n=""ServerName"" v=""SASApp"" /&gt;_x005F_x000D_
  &lt;param n=""SASFilter"" v=""Year = '2013' '"</definedName>
    <definedName function="false" hidden="true" name="_AMO_ContentDefinition_982752879.2" vbProcedure="false">"' /&gt;_x005F_x000D_
  &lt;parents /&gt;_x005F_x000D_
  &lt;children /&gt;_x005F_x000D_
  &lt;param n=""DisplayName"" v=""SASApp:FECDL.DS_WB_REVENUE"" /&gt;_x005F_x000D_
  &lt;param n=""DisplayType"" v=""PivotTable"" /&gt;_x005F_x000D_
  &lt;param n=""AMO_Version"" v=""5.1"" /&gt;_x005F_x000D_
  &lt;param n=""NamedRange"" v=""_AMO_SingleObject_982752879_Pivo'"</definedName>
    <definedName function="false" hidden="true" name="_AMO_ContentDefinition_982752879.20" vbProcedure="false">"'AND Month = '08' AND DestCity = 'WEST PALM BEACH'"" /&gt;_x005F_x000D_
  &lt;param n=""ClassName"" v=""SAS.OfficeAddin.PivotTable"" /&gt;_x005F_x000D_
  &lt;param n=""DataFieldsList"" v=""Sum of Units"" /&gt;_x005F_x000D_
  &lt;ExcelXMLOptions AdjColWidths=""True"" RowOpt=""InsertEntire"" ColOpt=""Inser'"</definedName>
    <definedName function="false" hidden="true" name="_AMO_ContentDefinition_982752879.21" vbProcedure="false">"'tCells"" /&gt;_x005F_x000D_
&lt;/ContentDefinition&gt;'"</definedName>
    <definedName function="false" hidden="true" name="_AMO_ContentDefinition_982752879.3" vbProcedure="false">"'tTable_982752879"" /&gt;_x005F_x000D_
  &lt;param n=""DataSourceType"" v=""SAS DATASET"" /&gt;_x005F_x000D_
  &lt;param n=""DataSource"" v=""&amp;lt;SasDataSource Version=&amp;quot;4.2&amp;quot; Type=&amp;quot;SAS.Servers.Dataset&amp;quot; Svr=&amp;quot;SASApp&amp;quot; Lib=&amp;quot;FECDL&amp;quot; Filter=&amp;quot;Year = '2'"</definedName>
    <definedName function="false" hidden="true" name="_AMO_ContentDefinition_982752879.4" vbProcedure="false">"'013' AND Month = '08' AND DestCity = 'WEST PALM BEACH'&amp;quot; FilterDS=&amp;quot;&amp;amp;lt;?xml version=&amp;amp;quot;1.0&amp;amp;quot; encoding=&amp;amp;quot;utf-16&amp;amp;quot;?&amp;amp;gt;&amp;amp;lt;FilterTree&amp;amp;gt;&amp;amp;lt;TreeRoot&amp;amp;gt;&amp;amp;lt;ID&amp;amp;gt;833f2438-e012-4d20'"</definedName>
    <definedName function="false" hidden="true" name="_AMO_ContentDefinition_982752879.5" vbProcedure="false">"'-b5e3-1f2202a5cf5f&amp;amp;lt;/ID&amp;amp;gt;&amp;amp;lt;FilterType&amp;amp;gt;COLUMN&amp;amp;lt;/FilterType&amp;amp;gt;&amp;amp;lt;TableID /&amp;amp;gt;&amp;amp;lt;ColumnName&amp;amp;gt;Year&amp;amp;lt;/ColumnName&amp;amp;gt;&amp;amp;lt;ColumnType&amp;amp;gt;Character&amp;amp;lt;/ColumnType&amp;amp;gt;&amp;amp;lt;Gro'"</definedName>
    <definedName function="false" hidden="true" name="_AMO_ContentDefinition_982752879.6" vbProcedure="false">"'upLevel /&amp;amp;gt;&amp;amp;lt;SiblingLink&amp;amp;gt;&amp;amp;lt;LinkType&amp;amp;gt;AND&amp;amp;lt;/LinkType&amp;amp;gt;&amp;amp;lt;Node&amp;amp;gt;&amp;amp;lt;ID&amp;amp;gt;971ff91c-d64e-49d2-b652-425a82147d07&amp;amp;lt;/ID&amp;amp;gt;&amp;amp;lt;FilterType&amp;amp;gt;COLUMN&amp;amp;lt;/FilterType&amp;amp;gt;&amp;am'"</definedName>
    <definedName function="false" hidden="true" name="_AMO_ContentDefinition_982752879.7" vbProcedure="false">"'p;lt;TableID /&amp;amp;gt;&amp;amp;lt;ColumnName&amp;amp;gt;Month&amp;amp;lt;/ColumnName&amp;amp;gt;&amp;amp;lt;ColumnType&amp;amp;gt;Character&amp;amp;lt;/ColumnType&amp;amp;gt;&amp;amp;lt;GroupLevel /&amp;amp;gt;&amp;amp;lt;SiblingLink&amp;amp;gt;&amp;amp;lt;LinkType&amp;amp;gt;AND&amp;amp;lt;/LinkType&amp;amp;gt;&amp;a'"</definedName>
    <definedName function="false" hidden="true" name="_AMO_ContentDefinition_982752879.8" vbProcedure="false">"'mp;lt;Node&amp;amp;gt;&amp;amp;lt;ID&amp;amp;gt;a72ed6c3-99e3-44a7-b147-17d8241a27b3&amp;amp;lt;/ID&amp;amp;gt;&amp;amp;lt;FilterType&amp;amp;gt;COLUMN&amp;amp;lt;/FilterType&amp;amp;gt;&amp;amp;lt;TableID /&amp;amp;gt;&amp;amp;lt;ColumnName&amp;amp;gt;DestCity&amp;amp;lt;/ColumnName&amp;amp;gt;&amp;amp;lt;ColumnT'"</definedName>
    <definedName function="false" hidden="true" name="_AMO_ContentDefinition_982752879.9" vbProcedure="false">"'ype&amp;amp;gt;Character&amp;amp;lt;/ColumnType&amp;amp;gt;&amp;amp;lt;GroupLevel /&amp;amp;gt;&amp;amp;lt;Operator&amp;amp;gt;=&amp;amp;lt;/Operator&amp;amp;gt;&amp;amp;lt;UseMacroFunction&amp;amp;gt;False&amp;amp;lt;/UseMacroFunction&amp;amp;gt;&amp;amp;lt;Not&amp;amp;gt;False&amp;amp;lt;/Not&amp;amp;gt;&amp;amp;lt;Labe'"</definedName>
    <definedName function="false" hidden="true" name="_AMO_ContentLocation_247660852_PivotTable_247660852" vbProcedure="false">"'&lt;ContentLocation path=""247660852"" rsid=""247660852"" tag=""PivotTable"" fid=""0""&gt;_x005F_x000D_
  &lt;param n=""_NumRows"" v=""5"" /&gt;_x005F_x000D_
  &lt;param n=""_NumCols"" v=""15"" /&gt;_x005F_x000D_
&lt;/ContentLocation&gt;'"</definedName>
    <definedName function="false" hidden="true" name="_AMO_ContentLocation_682937942_PivotTable_682937942" vbProcedure="false">"'&lt;ContentLocation path=""682937942"" rsid=""682937942"" tag=""PivotTable"" fid=""0""&gt;_x005F_x000D_
  &lt;param n=""_NumRows"" v=""10"" /&gt;_x005F_x000D_
  &lt;param n=""_NumCols"" v=""15"" /&gt;_x005F_x000D_
&lt;/ContentLocation&gt;'"</definedName>
    <definedName function="false" hidden="true" name="_AMO_ContentLocation_972960867_PivotTable_972960867" vbProcedure="false">"'&lt;ContentLocation path=""972960867"" rsid=""972960867"" tag=""PivotTable"" fid=""0""&gt;_x005F_x000D_
  &lt;param n=""_NumRows"" v=""14"" /&gt;_x005F_x000D_
  &lt;param n=""_NumCols"" v=""17"" /&gt;_x005F_x000D_
&lt;/ContentLocation&gt;'"</definedName>
    <definedName function="false" hidden="true" name="_AMO_ContentLocation_982752879_PivotTable_982752879" vbProcedure="false">"'&lt;ContentLocation path=""982752879"" rsid=""982752879"" tag=""PivotTable"" fid=""0""&gt;_x005F_x000D_
  &lt;param n=""_NumRows"" v=""1"" /&gt;_x005F_x000D_
  &lt;param n=""_NumCols"" v=""1"" /&gt;_x005F_x000D_
&lt;/ContentLocation&gt;'"</definedName>
    <definedName function="false" hidden="true" name="_AMO_RefreshMultipleList" vbProcedure="false">"'73452249'"</definedName>
    <definedName function="false" hidden="true" name="_AMO_XmlVersion" vbProcedure="false">"'1'"</definedName>
    <definedName function="false" hidden="true" name="_ap2" vbProcedure="false">{"detail",#N/A,FALSE,"mfg";"summary",#N/A,FALSE,"mfg"}</definedName>
    <definedName function="false" hidden="true" name="_AtRisk_SimSetting_AutomaticallyGenerateReports" vbProcedure="false">FALSE()</definedName>
    <definedName function="false" hidden="true" name="_AtRisk_SimSetting_AutomaticResultsDisplayMode" vbProcedure="false">3</definedName>
    <definedName function="false" hidden="true" name="_AtRisk_SimSetting_ConvergenceConfidenceLevel" vbProcedure="false">0.95</definedName>
    <definedName function="false" hidden="true" name="_AtRisk_SimSetting_ConvergencePercentileToTest" vbProcedure="false">0.9</definedName>
    <definedName function="false" hidden="true" name="_AtRisk_SimSetting_ConvergencePerformMeanTest" vbProcedure="false">TRUE()</definedName>
    <definedName function="false" hidden="true" name="_AtRisk_SimSetting_ConvergencePerformPercentileTest" vbProcedure="false">FALSE()</definedName>
    <definedName function="false" hidden="true" name="_AtRisk_SimSetting_ConvergencePerformStdDeviationTest" vbProcedure="false">FALSE()</definedName>
    <definedName function="false" hidden="true" name="_AtRisk_SimSetting_ConvergenceTestAllOutputs" vbProcedure="false">TRUE()</definedName>
    <definedName function="false" hidden="true" name="_AtRisk_SimSetting_ConvergenceTestingPeriod" vbProcedure="false">100</definedName>
    <definedName function="false" hidden="true" name="_AtRisk_SimSetting_ConvergenceTolerance" vbProcedure="false">0.03</definedName>
    <definedName function="false" hidden="true" name="_AtRisk_SimSetting_LiveUpdate" vbProcedure="false">FALSE()</definedName>
    <definedName function="false" hidden="true" name="_AtRisk_SimSetting_LiveUpdatePeriod" vbProcedure="false">-1</definedName>
    <definedName function="false" hidden="true" name="_AtRisk_SimSetting_RandomNumberGenerator" vbProcedure="false">0</definedName>
    <definedName function="false" hidden="true" name="_AtRisk_SimSetting_ReportsList" vbProcedure="false">0</definedName>
    <definedName function="false" hidden="true" name="_AtRisk_SimSetting_SimNameCount" vbProcedure="false">0</definedName>
    <definedName function="false" hidden="true" name="_AtRisk_SimSetting_SmartSensitivityAnalysisEnabled" vbProcedure="false">TRUE()</definedName>
    <definedName function="false" hidden="true" name="_AtRisk_SimSetting_StatisticFunctionUpdating" vbProcedure="false">1</definedName>
    <definedName function="false" hidden="true" name="_AtRisk_SimSetting_StdRecalcBehavior" vbProcedure="false">0</definedName>
    <definedName function="false" hidden="true" name="_AtRisk_SimSetting_StdRecalcWithoutRiskStatic" vbProcedure="false">0</definedName>
    <definedName function="false" hidden="true" name="_AtRisk_SimSetting_StdRecalcWithoutRiskStaticPercentile" vbProcedure="false">0.5</definedName>
    <definedName function="false" hidden="true" name="_b111" vbProcedure="false">{#N/A,#N/A,FALSE,"Pharm";#N/A,#N/A,FALSE,"WWCM"}</definedName>
    <definedName function="false" hidden="true" name="_bdm.00a2d55e6f1242e08795dd56c33ee4f1.edm" vbProcedure="false">#REF!</definedName>
    <definedName function="false" hidden="true" name="_bdm.00CE43CA37BF405F8250BAAA15FA4F8D.edm" vbProcedure="false">#N/A</definedName>
    <definedName function="false" hidden="true" name="_bdm.02E29E7B1053433EA3CCCBE4E5141596.edm" vbProcedure="false">#REF!</definedName>
    <definedName function="false" hidden="true" name="_bdm.037aca60fe7a4a74ac3e8815f8daadb3.edm" vbProcedure="false">#REF!</definedName>
    <definedName function="false" hidden="true" name="_bdm.044d3d7092a247e18b916ad2a4aedd19.edm" vbProcedure="false">#REF!</definedName>
    <definedName function="false" hidden="true" name="_bdm.0465D0F8BD2C4E888AB9C11EA0CBE52C.edm" vbProcedure="false">#REF!</definedName>
    <definedName function="false" hidden="true" name="_bdm.049AF7E691814E14ADD6230F1838C105.edm" vbProcedure="false">#N/A</definedName>
    <definedName function="false" hidden="true" name="_bdm.075cef152b134ebdba84cd436772b3c9.edm" vbProcedure="false">#REF!</definedName>
    <definedName function="false" hidden="true" name="_bdm.09FF308430834A478A69FC98B29B4DDB.edm" vbProcedure="false">#REF!</definedName>
    <definedName function="false" hidden="true" name="_bdm.0d3127be0e704f2c8c689e283914ac0b.edm" vbProcedure="false">#REF!</definedName>
    <definedName function="false" hidden="true" name="_bdm.0D36997B78AB466394832F21270DBFC5.edm" vbProcedure="false">#REF!</definedName>
    <definedName function="false" hidden="true" name="_bdm.0DEB5153B4174A38BB98AD01BCE49112.edm" vbProcedure="false">#N/A</definedName>
    <definedName function="false" hidden="true" name="_bdm.15EB37047682472E9895B21045E780F6.edm" vbProcedure="false">#N/A</definedName>
    <definedName function="false" hidden="true" name="_bdm.171DB9927CB04DA0A34634F5C57D2EDB.edm" vbProcedure="false">#REF!</definedName>
    <definedName function="false" hidden="true" name="_bdm.199CE51CD6604C2C96FE10969C5B6381.edm" vbProcedure="false">#N/A</definedName>
    <definedName function="false" hidden="true" name="_bdm.1FCF0ECA32D54B84A48FCD9F6B94FA0C.edm" vbProcedure="false">#N/A</definedName>
    <definedName function="false" hidden="true" name="_bdm.29f04197a2bf4d0fb83c4fb92029da96.edm" vbProcedure="false">#REF!</definedName>
    <definedName function="false" hidden="true" name="_bdm.2B140A12B7FE438EB51DA451EE96851B.edm" vbProcedure="false">#N/A</definedName>
    <definedName function="false" hidden="true" name="_bdm.2B2E16B8628B4DDE93E242C5944BBC2A.edm" vbProcedure="false">#N/A</definedName>
    <definedName function="false" hidden="true" name="_bdm.2BE1B6FB3FF847C6B05433A1B4320E97.edm" vbProcedure="false">#N/A</definedName>
    <definedName function="false" hidden="true" name="_bdm.2C2C8CE7AD294A9FB9B89B8D73EE2BDD.edm" vbProcedure="false">#N/A</definedName>
    <definedName function="false" hidden="true" name="_bdm.2D6EA23F79A343A2AFBF8BC29F20EF15.edm" vbProcedure="false">#REF!</definedName>
    <definedName function="false" hidden="true" name="_bdm.324DCBF8881846BE8FDFF9CEDE5A8C82.edm" vbProcedure="false">#REF!</definedName>
    <definedName function="false" hidden="true" name="_bdm.32F15C614E2047838261D30F2E50B850.edm" vbProcedure="false">#REF!</definedName>
    <definedName function="false" hidden="true" name="_bdm.36c0584e8c974897baa5bd9e615ce793.edm" vbProcedure="false">#REF!</definedName>
    <definedName function="false" hidden="true" name="_bdm.3B402E581D364D5F9C8B532825D712C2.edm" vbProcedure="false">#N/A</definedName>
    <definedName function="false" hidden="true" name="_bdm.3C815B76555B493AB602D9968CC7DD66.edm" vbProcedure="false">#REF!</definedName>
    <definedName function="false" hidden="true" name="_bdm.3DA076497D67457B8D7732CACE2B2957.edm" vbProcedure="false">#N/A</definedName>
    <definedName function="false" hidden="true" name="_bdm.42F3ED22E2544332B398BA763371E8E7.edm" vbProcedure="false">#N/A</definedName>
    <definedName function="false" hidden="true" name="_bdm.44e641d35f174021a0ee6d2f0380975e.edm" vbProcedure="false">#REF!</definedName>
    <definedName function="false" hidden="true" name="_bdm.49565B8E158E44FB89229994D5A19292.edm" vbProcedure="false">#N/A</definedName>
    <definedName function="false" hidden="true" name="_bdm.4ACBD9AA881F4A5BAD5712132FCA49C6.edm" vbProcedure="false">#N/A</definedName>
    <definedName function="false" hidden="true" name="_bdm.4b78de28768e43769f57c4f030fbc557.edm" vbProcedure="false">#REF!</definedName>
    <definedName function="false" hidden="true" name="_bdm.4cbe75833c2348de9c7c26fcf880363f.edm" vbProcedure="false">#REF!</definedName>
    <definedName function="false" hidden="true" name="_bdm.4E93F2B8DF7F4306AB2FC9401A7BC8B9.edm" vbProcedure="false">#N/A</definedName>
    <definedName function="false" hidden="true" name="_bdm.4F0ED42406564EB0B4EF21D4BDA22759.edm" vbProcedure="false">#REF!</definedName>
    <definedName function="false" hidden="true" name="_bdm.51E398638D774FC489DA2C3E579B9B7A.edm" vbProcedure="false">#REF!</definedName>
    <definedName function="false" hidden="true" name="_bdm.55D7D1668AC949EA9CFFACBB765CF14B.edm" vbProcedure="false">#N/A</definedName>
    <definedName function="false" hidden="true" name="_bdm.5D900F34585D429190BE9DC54828FD2A.edm" vbProcedure="false">#N/A</definedName>
    <definedName function="false" hidden="true" name="_bdm.5E317F46B07541CCBB72397A0D207CD7.edm" vbProcedure="false">#REF!</definedName>
    <definedName function="false" hidden="true" name="_bdm.5E46E830322B492E947554439AE5ADCB.edm" vbProcedure="false">#REF!</definedName>
    <definedName function="false" hidden="true" name="_bdm.5e5db16e8b1f4aefb5e02ed0b5ce3fe3.edm" vbProcedure="false">#REF!</definedName>
    <definedName function="false" hidden="true" name="_bdm.5FCD2F3F54F146738C1CCD11C765CEC5.edm" vbProcedure="false">#N/A</definedName>
    <definedName function="false" hidden="true" name="_bdm.62B03D84AE4F4347964AE24E79C4B938.edm" vbProcedure="false">#REF!</definedName>
    <definedName function="false" hidden="true" name="_bdm.637886DF6F964A3FBB3572B50FCE256D.edm" vbProcedure="false">#N/A</definedName>
    <definedName function="false" hidden="true" name="_bdm.652cd13ecde142928e15371e6afde8e2.edm" vbProcedure="false">#REF!</definedName>
    <definedName function="false" hidden="true" name="_bdm.65B6832B65C54D7492A4C73B76F04615.edm" vbProcedure="false">#N/A</definedName>
    <definedName function="false" hidden="true" name="_bdm.6663FF2214E84EB9A9614F1EA538570C.edm" vbProcedure="false">#N/A</definedName>
    <definedName function="false" hidden="true" name="_bdm.678BC342C6794DD2AAD67E2BFA1E146B.edm" vbProcedure="false">#N/A</definedName>
    <definedName function="false" hidden="true" name="_bdm.681856CF51684A4C8AE0F40622102A1F.edm" vbProcedure="false">#N/A</definedName>
    <definedName function="false" hidden="true" name="_bdm.6A0FD1929E154E2BBA019FAB777DF0BF.edm" vbProcedure="false">#REF!</definedName>
    <definedName function="false" hidden="true" name="_bdm.6EE9F001327A4815A74D6C76FD71049F.edm" vbProcedure="false">#REF!</definedName>
    <definedName function="false" hidden="true" name="_bdm.703DCCA3EC1F471B86ED2F21DB610B58.edm" vbProcedure="false">#REF!</definedName>
    <definedName function="false" hidden="true" name="_bdm.70a28a3531744bdda41a0280e88eb5f0.edm" vbProcedure="false">#REF!</definedName>
    <definedName function="false" hidden="true" name="_bdm.715604092C014992A091A7E3D868B1DA.edm" vbProcedure="false">#N/A</definedName>
    <definedName function="false" hidden="true" name="_bdm.74E41D00D7894B9AA6D93CD9136B75BA.edm" vbProcedure="false">#REF!</definedName>
    <definedName function="false" hidden="true" name="_bdm.74FE88D3DA4C4D3CB2145205F6F16DDB.edm" vbProcedure="false">#REF!</definedName>
    <definedName function="false" hidden="true" name="_bdm.76F8D51A4F8F4F279757E8BAB9049E38.edm" vbProcedure="false">#REF!</definedName>
    <definedName function="false" hidden="true" name="_bdm.7a7f5065aff8415ab46f20a04e6efc9a.edm" vbProcedure="false">#REF!</definedName>
    <definedName function="false" hidden="true" name="_bdm.7D19BA5009A94D07832D2DBB5F962E81.edm" vbProcedure="false">#N/A</definedName>
    <definedName function="false" hidden="true" name="_bdm.7DBDA030E1AD41FC9FDB644EC8B70ECF.edm" vbProcedure="false">#REF!</definedName>
    <definedName function="false" hidden="true" name="_bdm.7E562CB54AAD47DAA7CC022467B9703B.edm" vbProcedure="false">#REF!</definedName>
    <definedName function="false" hidden="true" name="_bdm.7EAC761F9BB14F8587A06E100F426D16.edm" vbProcedure="false">#N/A</definedName>
    <definedName function="false" hidden="true" name="_bdm.819DC72A5F9746BBB838650C1CF3CF4F.edm" vbProcedure="false">#REF!</definedName>
    <definedName function="false" hidden="true" name="_bdm.8255ceccf45649588c028a07b347369c.edm" vbProcedure="false">#REF!</definedName>
    <definedName function="false" hidden="true" name="_bdm.84D87C2383A04C829026C19F07C2EA4A.edm" vbProcedure="false">#REF!</definedName>
    <definedName function="false" hidden="true" name="_bdm.85B113706080479092AB40B9783E3C17.edm" vbProcedure="false">#N/A</definedName>
    <definedName function="false" hidden="true" name="_bdm.88E47E551DA64FD9AD70DFDF10A67288.edm" vbProcedure="false">#N/A</definedName>
    <definedName function="false" hidden="true" name="_bdm.895E5A5881164E53BC74EC24F4623C71.edm" vbProcedure="false">#REF!</definedName>
    <definedName function="false" hidden="true" name="_bdm.89f43af5df304953850487dc66e048b7.edm" vbProcedure="false">#REF!</definedName>
    <definedName function="false" hidden="true" name="_bdm.8A05BA6199B74F48BBB2324C06576B79.edm" vbProcedure="false">#REF!</definedName>
    <definedName function="false" hidden="true" name="_bdm.8A24C8FDA25F4951A5909FA4FC8D0F12.edm" vbProcedure="false">#REF!</definedName>
    <definedName function="false" hidden="true" name="_bdm.8A8E43394703478DA4D63567337EE99B.edm" vbProcedure="false">#N/A</definedName>
    <definedName function="false" hidden="true" name="_bdm.8EEDF57198474DBF8EAFFC85849F0B6F.edm" vbProcedure="false">#REF!</definedName>
    <definedName function="false" hidden="true" name="_bdm.8FE1AB05082D42C6B56589A085F635B9.edm" vbProcedure="false">#REF!</definedName>
    <definedName function="false" hidden="true" name="_bdm.908eae9de4a14f8c80bd2bfbaca74d6d.edm" vbProcedure="false">#REF!</definedName>
    <definedName function="false" hidden="true" name="_bdm.909D501CD72742FE987B50DB12632971.edm" vbProcedure="false">#REF!</definedName>
    <definedName function="false" hidden="true" name="_bdm.913c2f0e56f94f72b707c08aa48fe066.edm" vbProcedure="false">#REF!</definedName>
    <definedName function="false" hidden="true" name="_bdm.9301DDFC67D846248C16E96B86458D94.edm" vbProcedure="false">#REF!</definedName>
    <definedName function="false" hidden="true" name="_bdm.94B10F7FEFC345789F8A71A019993121.edm" vbProcedure="false">#REF!</definedName>
    <definedName function="false" hidden="true" name="_bdm.951ED7BA7FB9413C8AED2A74D987DCB1.edm" vbProcedure="false">#N/A</definedName>
    <definedName function="false" hidden="true" name="_bdm.9628FD7DE1094CB1ACD7DE7610DCEE29.edm" vbProcedure="false">#REF!</definedName>
    <definedName function="false" hidden="true" name="_bdm.9663DFEF05104ED587E6141F2DA4B56F.edm" vbProcedure="false">#N/A</definedName>
    <definedName function="false" hidden="true" name="_bdm.9B05FB9EE2954BEA86FC4F2D1880A52B.edm" vbProcedure="false">#N/A</definedName>
    <definedName function="false" hidden="true" name="_bdm.9B3A5B7FB2794DB798AD56302595A423.edm" vbProcedure="false">#REF!</definedName>
    <definedName function="false" hidden="true" name="_bdm.9E50FCC05DE5486D820DC9E4145F484C.edm" vbProcedure="false">#REF!</definedName>
    <definedName function="false" hidden="true" name="_bdm.A1600B43A6104DA8A1EEAA137EF388D1.edm" vbProcedure="false">#N/A</definedName>
    <definedName function="false" hidden="true" name="_bdm.A186F40BC883499DB9A1EB8BBE569A39.edm" vbProcedure="false">#REF!</definedName>
    <definedName function="false" hidden="true" name="_bdm.A1BAEFE926DB458297B8F72F3198289D.edm" vbProcedure="false">#REF!</definedName>
    <definedName function="false" hidden="true" name="_bdm.A1EA706CE6B64D66A2E10F992A7E8F2C.edm" vbProcedure="false">#N/A</definedName>
    <definedName function="false" hidden="true" name="_bdm.A4B6E8298D504274A71B14E71AA8DB0C.edm" vbProcedure="false">#REF!</definedName>
    <definedName function="false" hidden="true" name="_bdm.A4D30B7A36B04041BCC01387779E621E.edm" vbProcedure="false">#REF!</definedName>
    <definedName function="false" hidden="true" name="_bdm.a5c8bcee8837454780c71b0b2a4343ec.edm" vbProcedure="false">#REF!</definedName>
    <definedName function="false" hidden="true" name="_bdm.A64CFEDA80D0441BB0BE70398E0C093D.edm" vbProcedure="false">#N/A</definedName>
    <definedName function="false" hidden="true" name="_bdm.AA21185748A04CDB9F8733A1DC2D0BD3.edm" vbProcedure="false">#REF!</definedName>
    <definedName function="false" hidden="true" name="_bdm.ac27a97827d24619a7555e5740e81c11.edm" vbProcedure="false">#REF!</definedName>
    <definedName function="false" hidden="true" name="_bdm.ACF60CA571A744FD8F302A1F5A19D2E1.edm" vbProcedure="false">#REF!</definedName>
    <definedName function="false" hidden="true" name="_bdm.ADB7D3013F70400CBF89579543BDD551.edm" vbProcedure="false">#REF!</definedName>
    <definedName function="false" hidden="true" name="_bdm.ADEDF78ADA454B1796B8BDE0C18A8802.edm" vbProcedure="false">#REF!</definedName>
    <definedName function="false" hidden="true" name="_bdm.AED16B9E3F324E1FB845882B41A06705.edm" vbProcedure="false">#N/A</definedName>
    <definedName function="false" hidden="true" name="_bdm.b18cdd1ab6c4447e89cdafd75c9d4373.edm" vbProcedure="false">#REF!</definedName>
    <definedName function="false" hidden="true" name="_bdm.B2EB2BFC94F847DB839D7B9AF78CF333.edm" vbProcedure="false">#N/A</definedName>
    <definedName function="false" hidden="true" name="_bdm.B55E3824B40F434BB589E4713FF361BD.edm" vbProcedure="false">#REF!</definedName>
    <definedName function="false" hidden="true" name="_bdm.B5E1CE290D664EC9908CE120B7DDB7AD.edm" vbProcedure="false">#REF!</definedName>
    <definedName function="false" hidden="true" name="_bdm.b78ac411127541af914f6cf601ffca8b.edm" vbProcedure="false">#REF!</definedName>
    <definedName function="false" hidden="true" name="_bdm.b790dc691a8e4d60b7fee67b358a0f21.edm" vbProcedure="false">#REF!</definedName>
    <definedName function="false" hidden="true" name="_bdm.B8B94DB6C3A046A9A97601EB2CF1F264.edm" vbProcedure="false">#N/A</definedName>
    <definedName function="false" hidden="true" name="_bdm.BABE3AB22DBF4434947BDB4AB002DDA7.edm" vbProcedure="false">#N/A</definedName>
    <definedName function="false" hidden="true" name="_bdm.BBA07F5596C64DC1ABC01C6456B19CEE.edm" vbProcedure="false">#N/A</definedName>
    <definedName function="false" hidden="true" name="_bdm.BEF2049645054542A79E25D05ADCE4FB.edm" vbProcedure="false">#N/A</definedName>
    <definedName function="false" hidden="true" name="_bdm.c3cc6098386a465f868b619e876843ad.edm" vbProcedure="false">#REF!</definedName>
    <definedName function="false" hidden="true" name="_bdm.C469933243E44D62844154522B99E05F.edm" vbProcedure="false">#N/A</definedName>
    <definedName function="false" hidden="true" name="_bdm.C571A30360A04E58928A2403E725432A.edm" vbProcedure="false">#REF!</definedName>
    <definedName function="false" hidden="true" name="_bdm.CA281689ABFE429E8C0754F018B12509.edm" vbProcedure="false">#REF!</definedName>
    <definedName function="false" hidden="true" name="_bdm.cbf631dd656c4943be0c86022c1e0a60.edm" vbProcedure="false">#REF!</definedName>
    <definedName function="false" hidden="true" name="_bdm.CCF7F1EFC8E0414487790C98523200FC.edm" vbProcedure="false">#N/A</definedName>
    <definedName function="false" hidden="true" name="_bdm.CD21F88F9FFE47F995EBC5C81841CAE0.edm" vbProcedure="false">#N/A</definedName>
    <definedName function="false" hidden="true" name="_bdm.cf11a08f61444fcd9349867ab74c54a9.edm" vbProcedure="false">#REF!</definedName>
    <definedName function="false" hidden="true" name="_bdm.CFDE9ECF1F8B4C60A6B7FA6B9C50A76A.edm" vbProcedure="false">#REF!</definedName>
    <definedName function="false" hidden="true" name="_bdm.D02EBD2481214D4F820070F132C7C149.edm" vbProcedure="false">#N/A</definedName>
    <definedName function="false" hidden="true" name="_bdm.D1648DF05EAF4F148634597A0C06286A.edm" vbProcedure="false">#REF!</definedName>
    <definedName function="false" hidden="true" name="_bdm.D19822FE09284918AD3E41161BE43379.edm" vbProcedure="false">#N/A</definedName>
    <definedName function="false" hidden="true" name="_bdm.D53AE69ED9E841EFBC1CE6DD976C8FC6.edm" vbProcedure="false">#REF!</definedName>
    <definedName function="false" hidden="true" name="_bdm.D7CC7787E0E04BE09FB1C19316F79CDB.edm" vbProcedure="false">#REF!</definedName>
    <definedName function="false" hidden="true" name="_bdm.D8A23A2A23AD4CB18BDD315904A14865.edm" vbProcedure="false">#REF!</definedName>
    <definedName function="false" hidden="true" name="_bdm.D8A8AED6C35A451DBD164C72F71E65B2.edm" vbProcedure="false">#REF!</definedName>
    <definedName function="false" hidden="true" name="_bdm.d9378ef1b4e24f9baad5389e0585e7d9.edm" vbProcedure="false">#REF!</definedName>
    <definedName function="false" hidden="true" name="_bdm.D93B74B5BCF94CBB8291F5F5198A587D.edm" vbProcedure="false">#N/A</definedName>
    <definedName function="false" hidden="true" name="_bdm.D9E6F7E2FBDB4FF6A6D632BFBE3A1A0F.edm" vbProcedure="false">#REF!</definedName>
    <definedName function="false" hidden="true" name="_bdm.DB3604FA8FE649F684A0B00083628BD8.edm" vbProcedure="false">#REF!</definedName>
    <definedName function="false" hidden="true" name="_bdm.DBE77A39AF664227893C6EE3B4864DB6.edm" vbProcedure="false">#N/A</definedName>
    <definedName function="false" hidden="true" name="_bdm.DBF8F79D2FE244698C14155A4A3CFA25.edm" vbProcedure="false">#REF!</definedName>
    <definedName function="false" hidden="true" name="_bdm.DECE61D0B00740F8822691B828FDC6CA.edm" vbProcedure="false">#REF!</definedName>
    <definedName function="false" hidden="true" name="_bdm.DED1AAA456F44E25A24F1D959D5217AB.edm" vbProcedure="false">#N/A</definedName>
    <definedName function="false" hidden="true" name="_bdm.E15B36EB7FB34A3E8B5600A85ACBB02A.edm" vbProcedure="false">#N/A</definedName>
    <definedName function="false" hidden="true" name="_bdm.E395F42D17104097B59778D7258FFEAE.edm" vbProcedure="false">#N/A</definedName>
    <definedName function="false" hidden="true" name="_bdm.E4EACF2F9B1D411DB6CD9999843D5FFF.edm" vbProcedure="false">#REF!</definedName>
    <definedName function="false" hidden="true" name="_bdm.EAEC9C3D50474F6CA7AEE5FBEDB1FC8E.edm" vbProcedure="false">#REF!</definedName>
    <definedName function="false" hidden="true" name="_bdm.f1d092024d284d28915f98669dd5e164.edm" vbProcedure="false">#REF!</definedName>
    <definedName function="false" hidden="true" name="_bdm.F3E164B04C2E4A8184A2147D244CF7BE.edm" vbProcedure="false">#REF!</definedName>
    <definedName function="false" hidden="true" name="_bdm.F412B18EA8FE4C0A8395C5FE3F2B2382.edm" vbProcedure="false">#N/A</definedName>
    <definedName function="false" hidden="true" name="_bdm.F7BB8D8B4FFC43F986ABD54037C3BBBC.edm" vbProcedure="false">#REF!</definedName>
    <definedName function="false" hidden="true" name="_bdm.f7c2dac56ba34c6abff3979b5d2ba218.edm" vbProcedure="false">#REF!</definedName>
    <definedName function="false" hidden="true" name="_bdm.F910150D6B4C40E7B72516F18ECEE7D7.edm" vbProcedure="false">#N/A</definedName>
    <definedName function="false" hidden="true" name="_bdm.F929ADA323D4471A99C51D9452BF6DE2.edm" vbProcedure="false">#N/A</definedName>
    <definedName function="false" hidden="true" name="_bdm.fa394a61df204eccbfac12b4a63e04bc.edm" vbProcedure="false">#REF!</definedName>
    <definedName function="false" hidden="true" name="_bdm.fa6df23e605041c4a0ffd8eb76f7c1f4.edm" vbProcedure="false">#REF!</definedName>
    <definedName function="false" hidden="true" name="_bdm.FADD4CE7F2D9478CBC257D71776F0851.edm" vbProcedure="false">#REF!</definedName>
    <definedName function="false" hidden="true" name="_bdm.FastTrackBookmark.1_24_2022_9_13_26_PM.edm" vbProcedure="false">#REF!</definedName>
    <definedName function="false" hidden="true" name="_bdm.FastTrackBookmark.6_3_2019_1_04_45_PM.edm" vbProcedure="false">#REF!</definedName>
    <definedName function="false" hidden="true" name="_bdm.FastTrackBookmark.6_3_2019_1_04_46_PM.edm" vbProcedure="false">#REF!</definedName>
    <definedName function="false" hidden="true" name="_bdm.FastTrackBookmark.8_8_2007_1_44_32_PM.edm" vbProcedure="false">#N/A</definedName>
    <definedName function="false" hidden="true" name="_bdm.FCFC0CE45A254C9F81335F456701D59A.edm" vbProcedure="false">#N/A</definedName>
    <definedName function="false" hidden="true" name="_bji23" vbProcedure="false">{#N/A,"PURCHM",FALSE,"Business Analysis";#N/A,"SPADD",FALSE,"Business Analysis"}</definedName>
    <definedName function="false" hidden="true" name="_bkd87" vbProcedure="false">{#N/A,"PURCHM",FALSE,"Business Analysis";#N/A,"SPADD",FALSE,"Business Analysis"}</definedName>
    <definedName function="false" hidden="true" name="_BQ4.1" vbProcedure="false">#REF!</definedName>
    <definedName function="false" hidden="true" name="_BQ4.2" vbProcedure="false">#REF!</definedName>
    <definedName function="false" hidden="true" name="_BQ4.3" vbProcedure="false">#REF!</definedName>
    <definedName function="false" hidden="true" name="_BQ4.4" vbProcedure="false">#REF!</definedName>
    <definedName function="false" hidden="true" name="_BQ4.5" vbProcedure="false">#REF!</definedName>
    <definedName function="false" hidden="true" name="_BQ4.6" vbProcedure="false">#REF!</definedName>
    <definedName function="false" hidden="true" name="_BQ4.7" vbProcedure="false">#REF!</definedName>
    <definedName function="false" hidden="true" name="_BQ4.8" vbProcedure="false">#REF!</definedName>
    <definedName function="false" hidden="true" name="_BQ4.9" vbProcedure="false">#REF!</definedName>
    <definedName function="false" hidden="true" name="_BS1" vbProcedure="false">{"OEE OAP",#N/A,FALSE,"oap";"OEE APAP",#N/A,FALSE,"apap";"OEE nitros",#N/A,FALSE,"nitros"}</definedName>
    <definedName function="false" hidden="true" name="_c" vbProcedure="false">{"Fiesta Facer Page",#N/A,FALSE,"Q_C_S";"Fiesta Main Page",#N/A,FALSE,"V_L";"Fiesta 95BP Struct",#N/A,FALSE,"StructBP";"Fiesta Post 95BP Struct",#N/A,FALSE,"AdjStructBP"}</definedName>
    <definedName function="false" hidden="true" name="_C1001" vbProcedure="false">{#N/A,#N/A,FALSE,"TB";#N/A,#N/A,FALSE,"AR";#N/A,#N/A,FALSE,"BS";#N/A,#N/A,FALSE,"PL";#N/A,#N/A,FALSE,"NOTES";#N/A,#N/A,FALSE,"NOTES (2)";#N/A,#N/A,FALSE,"NOTES (3)";#N/A,#N/A,FALSE,"TAXC.INDEX";#N/A,#N/A,FALSE,"Schedule I";#N/A,#N/A,FALSE,"DPL";#N/A,#N/A,FALSE,"Schedule IV";#N/A,#N/A,FALSE,"Adjustments"}</definedName>
    <definedName function="false" hidden="true" name="_c83" vbProcedure="false">{0,0,0,0;0,0,0,0;0,0,0,0}</definedName>
    <definedName function="false" hidden="true" name="_c88" vbProcedure="false">{0,0,0,0;0,0,0,0;0,0,0,0;0,0,TRUE,0}</definedName>
    <definedName function="false" hidden="false" name="_CCY1" vbProcedure="false">#REF!</definedName>
    <definedName function="false" hidden="false" name="_CCY2" vbProcedure="false">#REF!</definedName>
    <definedName function="false" hidden="false" name="_CURMONTH" vbProcedure="false">#REF!</definedName>
    <definedName function="false" hidden="true" name="_del25" vbProcedure="false">{"'Sheet1'!$A$1:$G$85"}</definedName>
    <definedName function="false" hidden="true" name="_del8" vbProcedure="false">{"'Sheet1'!$A$1:$G$85"}</definedName>
    <definedName function="false" hidden="true" name="_df1" vbProcedure="false">{#N/A,#N/A,FALSE,"TB";#N/A,#N/A,FALSE,"AR";#N/A,#N/A,FALSE,"BS";#N/A,#N/A,FALSE,"PL";#N/A,#N/A,FALSE,"NOTES";#N/A,#N/A,FALSE,"NOTES (2)";#N/A,#N/A,FALSE,"NOTES (3)";#N/A,#N/A,FALSE,"TAXC.INDEX";#N/A,#N/A,FALSE,"Schedule I";#N/A,#N/A,FALSE,"DPL";#N/A,#N/A,FALSE,"Schedule IV";#N/A,#N/A,FALSE,"Adjustments"}</definedName>
    <definedName function="false" hidden="true" name="_df2" vbProcedure="false">{#N/A,#N/A,FALSE,"TB";#N/A,#N/A,FALSE,"DR";#N/A,#N/A,FALSE,"AR";#N/A,#N/A,FALSE,"PL";#N/A,#N/A,FALSE,"BS";#N/A,#N/A,FALSE,"NOTES";#N/A,#N/A,FALSE,"NOTES (2)";#N/A,#N/A,FALSE,"NOTES (3)";#N/A,#N/A,FALSE,"DPL";#N/A,#N/A,FALSE,"TAXC.INDEX";#N/A,#N/A,FALSE,"Schedule I";#N/A,#N/A,FALSE,"Adjustments"}</definedName>
    <definedName function="false" hidden="true" name="_DIM1" vbProcedure="false">"DIM1=0530/0830;DIM2=;DIM3=;DIM4=;DIM5=;DIM6=;DIM7=;DIM8=;DIM9=;"</definedName>
    <definedName function="false" hidden="true" name="_DIM2" vbProcedure="false">" "</definedName>
    <definedName function="false" hidden="true" name="_DIM3" vbProcedure="false">" "</definedName>
    <definedName function="false" hidden="true" name="_DIM4" vbProcedure="false">" "</definedName>
    <definedName function="false" hidden="true" name="_Dist_Bin" vbProcedure="false">#REF!</definedName>
    <definedName function="false" hidden="true" name="_Dist_Values" vbProcedure="false">#REF!</definedName>
    <definedName function="false" hidden="true" name="_div20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div203" vbProcedure="false">{#N/A,"PURADD",FALSE,"Business Analysis";#N/A,"PURSPP",FALSE,"Business Analysis";#N/A,"CTGIND",FALSE,"Business Analysis";#N/A,"PURCHM",FALSE,"Business Analysis";#N/A,"SPADD",FALSE,"Business Analysis";#N/A,"EPOXY",FALSE,"Business Analysis";#N/A,"PURPER",FALSE,"Business Analysis"}</definedName>
    <definedName function="false" hidden="true" name="_dkj" vbProcedure="false">#REF!</definedName>
    <definedName function="false" hidden="true" name="_dwa1" vbProcedure="false">{#N/A,"PURCHM",FALSE,"Business Analysis";#N/A,"SPADD",FALSE,"Business Analysis"}</definedName>
    <definedName function="false" hidden="true" name="_E1" vbProcedure="false">{#N/A,#N/A,FALSE,"TB";#N/A,#N/A,FALSE,"AR";#N/A,#N/A,FALSE,"BS";#N/A,#N/A,FALSE,"PL";#N/A,#N/A,FALSE,"NOTES";#N/A,#N/A,FALSE,"NOTES (2)";#N/A,#N/A,FALSE,"NOTES (3)";#N/A,#N/A,FALSE,"TAXC.INDEX";#N/A,#N/A,FALSE,"Schedule I";#N/A,#N/A,FALSE,"DPL";#N/A,#N/A,FALSE,"Schedule IV";#N/A,#N/A,FALSE,"Adjustments"}</definedName>
    <definedName function="false" hidden="true" name="_E1100" vbProcedure="false">{#N/A,#N/A,FALSE,"TAXC.INDEX";#N/A,#N/A,FALSE,"Schedule I";#N/A,#N/A,FALSE,"Schedule  II";#N/A,#N/A,FALSE,"Schedule III";#N/A,#N/A,FALSE,"Schedule IV";#N/A,#N/A,FALSE,"Schedule IV (Cont'd)";#N/A,#N/A,FALSE,"Schedule V";#N/A,#N/A,FALSE,"Schedule VI";#N/A,#N/A,FALSE,"Schedule VII"}</definedName>
    <definedName function="false" hidden="true" name="_e12" vbProcedure="false">{#N/A,#N/A,FALSE,"TB";#N/A,#N/A,FALSE,"AR";#N/A,#N/A,FALSE,"BS";#N/A,#N/A,FALSE,"PL";#N/A,#N/A,FALSE,"NOTES";#N/A,#N/A,FALSE,"NOTES (2)";#N/A,#N/A,FALSE,"NOTES (3)";#N/A,#N/A,FALSE,"TAXC.INDEX";#N/A,#N/A,FALSE,"Schedule I";#N/A,#N/A,FALSE,"DPL";#N/A,#N/A,FALSE,"Schedule IV";#N/A,#N/A,FALSE,"Adjustments"}</definedName>
    <definedName function="false" hidden="true" name="_eu93" vbProcedure="false">{"Comp_of_Price_Effect",#N/A,FALSE,"QTRDPVAR"}</definedName>
    <definedName function="false" hidden="true" name="_eu_lblSeed1" vbProcedure="false">6648124</definedName>
    <definedName function="false" hidden="true" name="_eu_lblSeed2" vbProcedure="false">3105613</definedName>
    <definedName function="false" hidden="true" name="_eu_lblSeed3" vbProcedure="false">9092828</definedName>
    <definedName function="false" hidden="true" name="_eu_lblSeed4" vbProcedure="false">8231087</definedName>
    <definedName function="false" hidden="true" name="_eu_lblSeed5" vbProcedure="false">8045525</definedName>
    <definedName function="false" hidden="true" name="_eu_lblSeed6" vbProcedure="false">1463957</definedName>
    <definedName function="false" hidden="true" name="_eu_lblSeed7" vbProcedure="false">1146085</definedName>
    <definedName function="false" hidden="true" name="_eu_lblSeed8" vbProcedure="false">0</definedName>
    <definedName function="false" hidden="true" name="_f"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fds2" vbProcedure="false">{"comps",#N/A,FALSE,"comps";"notes",#N/A,FALSE,"comps"}</definedName>
    <definedName function="false" hidden="true" name="_fhf2" vbProcedure="false">{#N/A,#N/A,FALSE,"CA";#N/A,#N/A,FALSE,"CN";#N/A,#N/A,FALSE,"Inv";#N/A,#N/A,FALSE,"Inv Acc";"Miguel_balance",#N/A,FALSE,"Bal";#N/A,#N/A,FALSE,"Plantilla";#N/A,#N/A,FALSE,"CA (2)";#N/A,#N/A,FALSE,"CN (2)"}</definedName>
    <definedName function="false" hidden="true" name="_FI4" vbProcedure="false">{"Vinyl1999Q1IFOrecon",#N/A,TRUE,"Vinyl";"Vinyl1999Q2IFOrecon",#N/A,TRUE,"Vinyl";"Vinyl1999Q3IFOrecon",#N/A,TRUE,"Vinyl";"Vinyl1999Q4IFOrecon",#N/A,TRUE,"Vinyl";"Vinyl1999TotalIFOrecon",#N/A,TRUE,"Vinyl";#N/A,#N/A,TRUE,"Vinyl"}</definedName>
    <definedName function="false" hidden="true" name="_Fill" vbProcedure="false">#REF!</definedName>
    <definedName function="false" hidden="true" name="_FilterDatabase2" vbProcedure="false">#REF!</definedName>
    <definedName function="false" hidden="true" name="_fy97" vbProcedure="false">{#N/A,#N/A,FALSE,"FY97";#N/A,#N/A,FALSE,"FY98";#N/A,#N/A,FALSE,"FY99";#N/A,#N/A,FALSE,"FY00";#N/A,#N/A,FALSE,"FY01"}</definedName>
    <definedName function="false" hidden="true" name="_gfg2" vbProcedure="false">{"Sum WW A",#N/A,FALSE,"FY95SLS";"Sum WW B",#N/A,FALSE,"FY95SLS";"Sum US A",#N/A,FALSE,"FY95SLS";"Sum US B",#N/A,FALSE,"FY95SLS";"Sum US Bocg",#N/A,FALSE,"FY95SLS";"Sum Can A",#N/A,FALSE,"FY95SLS";"Sum Can B",#N/A,FALSE,"FY95SLS";"Sum Europe",#N/A,FALSE,"FY95SLS";"Sum Row",#N/A,FALSE,"FY95SLS"}</definedName>
    <definedName function="false" hidden="true" name="_GSRATESR_1" vbProcedure="false">#REF!</definedName>
    <definedName function="false" hidden="true" name="_GSRATESR_2" vbProcedure="false">#REF!</definedName>
    <definedName function="false" hidden="true" name="_GSRATESR_3" vbProcedure="false">#REF!</definedName>
    <definedName function="false" hidden="true" name="_GSRATES_1" vbProcedure="false">"CT300001Latest          "</definedName>
    <definedName function="false" hidden="true" name="_GSRATES_10" vbProcedure="false">"CT30000120010930        "</definedName>
    <definedName function="false" hidden="true" name="_GSRATES_11" vbProcedure="false">"CF3000012001102420001024"</definedName>
    <definedName function="false" hidden="true" name="_GSRATES_12" vbProcedure="false">"CT30000120011024        "</definedName>
    <definedName function="false" hidden="true" name="_GSRATES_13" vbProcedure="false">"CF3000122000123120000101"</definedName>
    <definedName function="false" hidden="true" name="_GSRATES_14" vbProcedure="false">"CF3000012000093020000101"</definedName>
    <definedName function="false" hidden="true" name="_GSRATES_15" vbProcedure="false">"CF3000012005072520040901"</definedName>
    <definedName function="false" hidden="true" name="_GSRATES_16" vbProcedure="false">"CT30000120050725        "</definedName>
    <definedName function="false" hidden="true" name="_GSRATES_17" vbProcedure="false">"CF3000012004083120040726"</definedName>
    <definedName function="false" hidden="true" name="_GSRATES_2" vbProcedure="false">"CT30000120040521        "</definedName>
    <definedName function="false" hidden="true" name="_GSRATES_3" vbProcedure="false">"CT300001Latest          "</definedName>
    <definedName function="false" hidden="true" name="_GSRATES_4" vbProcedure="false">"CF3000012001092920010101"</definedName>
    <definedName function="false" hidden="true" name="_GSRATES_5" vbProcedure="false">"CT30000120010929        "</definedName>
    <definedName function="false" hidden="true" name="_GSRATES_6" vbProcedure="false">"CF3000012000093020000101"</definedName>
    <definedName function="false" hidden="true" name="_GSRATES_7" vbProcedure="false">"CF3000012000093020000101"</definedName>
    <definedName function="false" hidden="true" name="_GSRATES_8" vbProcedure="false">"CF3000012001092920010101"</definedName>
    <definedName function="false" hidden="true" name="_GSRATES_9" vbProcedure="false">"CF3000012001093020010101"</definedName>
    <definedName function="false" hidden="true" name="_GSRATES_COUNT" vbProcedure="false">2</definedName>
    <definedName function="false" hidden="false" name="_INDEX1" vbProcedure="false">#REF!</definedName>
    <definedName function="false" hidden="false" name="_INDEX2" vbProcedure="false">#REF!</definedName>
    <definedName function="false" hidden="false" name="_INDEX3" vbProcedure="false">#REF!</definedName>
    <definedName function="false" hidden="false" name="_INDEX4" vbProcedure="false">#REF!</definedName>
    <definedName function="false" hidden="false" name="_INDEX5" vbProcedure="false">#REF!</definedName>
    <definedName function="false" hidden="false" name="_INDEX6" vbProcedure="false">#REF!</definedName>
    <definedName function="false" hidden="true" name="_k1" vbProcedure="false">{#N/A,#N/A,FALSE,"TB";#N/A,#N/A,FALSE,"DR";#N/A,#N/A,FALSE,"AR";#N/A,#N/A,FALSE,"PL";#N/A,#N/A,FALSE,"BS";#N/A,#N/A,FALSE,"NOTES";#N/A,#N/A,FALSE,"NOTES (2)";#N/A,#N/A,FALSE,"NOTES (3)";#N/A,#N/A,FALSE,"DPL";#N/A,#N/A,FALSE,"TAXC.INDEX";#N/A,#N/A,FALSE,"Schedule I";#N/A,#N/A,FALSE,"Adjustments"}</definedName>
    <definedName function="false" hidden="true" name="_KAW999929" vbProcedure="false">#REF!</definedName>
    <definedName function="false" hidden="true" name="_KAW999934" vbProcedure="false">#REF!</definedName>
    <definedName function="false" hidden="true" name="_KAW999957" vbProcedure="false">#REF!</definedName>
    <definedName function="false" hidden="true" name="_Key" vbProcedure="false">#REF!</definedName>
    <definedName function="false" hidden="true" name="_Key1" vbProcedure="false">#REF!</definedName>
    <definedName function="false" hidden="true" name="_Key2" vbProcedure="false">#REF!</definedName>
    <definedName function="false" hidden="true" name="_key3" vbProcedure="false">#REF!</definedName>
    <definedName function="false" hidden="true" name="_lay1" vbProcedure="false">{#N/A,#N/A,FALSE,"TB";#N/A,#N/A,FALSE,"DR";#N/A,#N/A,FALSE,"AR";#N/A,#N/A,FALSE,"BS";#N/A,#N/A,FALSE,"PL";#N/A,#N/A,FALSE,"NOTES";#N/A,#N/A,FALSE,"NOTES (2)";#N/A,#N/A,FALSE,"NOTES (3)";#N/A,#N/A,FALSE,"DPL";#N/A,#N/A,FALSE,"DPL"}</definedName>
    <definedName function="false" hidden="true" name="_lot3" vbProcedure="false">{"First Page",#N/A,FALSE,"Surfactants LBO";"Second Page",#N/A,FALSE,"Surfactants LBO"}</definedName>
    <definedName function="false" hidden="true" name="_mno9" vbProcedure="false">{"detail",#N/A,FALSE,"mfg";"summary",#N/A,FALSE,"mfg"}</definedName>
    <definedName function="false" hidden="true" name="_nam305" vbProcedure="false">{"detail",#N/A,FALSE,"mfg";"summary",#N/A,FALSE,"mfg"}</definedName>
    <definedName function="false" hidden="true" name="_new1" vbProcedure="false">{#N/A,#N/A,FALSE,"Pharm";#N/A,#N/A,FALSE,"WWCM"}</definedName>
    <definedName function="false" hidden="true" name="_new2" vbProcedure="false">{#N/A,#N/A,FALSE,"3";#N/A,#N/A,FALSE,"5";#N/A,#N/A,FALSE,"6";#N/A,#N/A,FALSE,"8";#N/A,#N/A,FALSE,"10";#N/A,#N/A,FALSE,"13";#N/A,#N/A,FALSE,"14";#N/A,#N/A,FALSE,"15";#N/A,#N/A,FALSE,"16"}</definedName>
    <definedName function="false" hidden="true" name="_new3" vbProcedure="false">{#N/A,#N/A,FALSE,"3";#N/A,#N/A,FALSE,"5";#N/A,#N/A,FALSE,"6";#N/A,#N/A,FALSE,"8";#N/A,#N/A,FALSE,"10";#N/A,#N/A,FALSE,"13";#N/A,#N/A,FALSE,"14";#N/A,#N/A,FALSE,"15";#N/A,#N/A,FALSE,"16"}</definedName>
    <definedName function="false" hidden="true" name="_new4" vbProcedure="false">{#N/A,#N/A,FALSE,"3";#N/A,#N/A,FALSE,"5";#N/A,#N/A,FALSE,"6";#N/A,#N/A,FALSE,"8";#N/A,#N/A,FALSE,"10";#N/A,#N/A,FALSE,"13";#N/A,#N/A,FALSE,"14";#N/A,#N/A,FALSE,"15";#N/A,#N/A,FALSE,"16"}</definedName>
    <definedName function="false" hidden="true" name="_new5" vbProcedure="false">{#N/A,#N/A,FALSE,"3";#N/A,#N/A,FALSE,"5";#N/A,#N/A,FALSE,"6";#N/A,#N/A,FALSE,"8";#N/A,#N/A,FALSE,"10";#N/A,#N/A,FALSE,"13";#N/A,#N/A,FALSE,"14";#N/A,#N/A,FALSE,"15";#N/A,#N/A,FALSE,"16"}</definedName>
    <definedName function="false" hidden="true" name="_ok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OK2" vbProcedure="false">{#N/A,#N/A,FALSE,"00 P&amp;L vs 99"}</definedName>
    <definedName function="false" hidden="true" name="_oo1" vbProcedure="false">{#N/A,#N/A,FALSE,"TAXC.INDEX";#N/A,#N/A,FALSE,"Schedule I";#N/A,#N/A,FALSE,"Schedule  II";#N/A,#N/A,FALSE,"Schedule III";#N/A,#N/A,FALSE,"Schedule IV";#N/A,#N/A,FALSE,"Schedule IV (Cont'd)";#N/A,#N/A,FALSE,"Schedule V";#N/A,#N/A,FALSE,"Schedule VI";#N/A,#N/A,FALSE,"Schedule VII"}</definedName>
    <definedName function="false" hidden="true" name="_Order1" vbProcedure="false">255</definedName>
    <definedName function="false" hidden="true" name="_Order2" vbProcedure="false">255</definedName>
    <definedName function="false" hidden="true" name="_Order39" vbProcedure="false">255</definedName>
    <definedName function="false" hidden="true" name="_Parse_Out" vbProcedure="false">#REF!</definedName>
    <definedName function="false" hidden="true" name="_pd123" vbProcedure="false">{"Units A",#N/A,FALSE,"FY95SLS";"Units B",#N/A,FALSE,"FY95SLS"}</definedName>
    <definedName function="false" hidden="true" name="_PERIODE" vbProcedure="false">FALSE()</definedName>
    <definedName function="false" hidden="true" name="_pp1" vbProcedure="false">{#N/A,#N/A,FALSE,"Trends";#N/A,#N/A,FALSE,"As Reported";#N/A,#N/A,FALSE,"(un) Commited"}</definedName>
    <definedName function="false" hidden="true" name="_PSM2"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_PSM3" vbProcedure="false">{"Pound Sterling",#N/A,TRUE,"PPD";"Pound Sterling",#N/A,TRUE,"Anaquest";"Pound Sterling",#N/A,TRUE,"Delta";"Pound Sterling",#N/A,TRUE,"INO"}</definedName>
    <definedName function="false" hidden="true" name="_puc101" vbProcedure="false">{#N/A,"PURCHM",FALSE,"Business Analysis";#N/A,"SPADD",FALSE,"Business Analysis"}</definedName>
    <definedName function="false" hidden="true" name="_puc102" vbProcedure="false">{#N/A,"PURCHM",FALSE,"Business Analysis";#N/A,"SPADD",FALSE,"Business Analysis"}</definedName>
    <definedName function="false" hidden="true" name="_q3" vbProcedure="false">#REF!</definedName>
    <definedName function="false" hidden="true" name="_Q5" vbProcedure="false">{#N/A,#N/A,FALSE,"CA";#N/A,#N/A,FALSE,"CN";#N/A,#N/A,FALSE,"Inv";#N/A,#N/A,FALSE,"Inv Acc";"Miguel_balance",#N/A,FALSE,"Bal";#N/A,#N/A,FALSE,"Plantilla";#N/A,#N/A,FALSE,"CA (2)";#N/A,#N/A,FALSE,"CN (2)"}</definedName>
    <definedName function="false" hidden="true" name="_qq1" vbProcedure="false">{#N/A,#N/A,FALSE,"TB";#N/A,#N/A,FALSE,"DR";#N/A,#N/A,FALSE,"AR";#N/A,#N/A,FALSE,"PL";#N/A,#N/A,FALSE,"BS";#N/A,#N/A,FALSE,"NOTES";#N/A,#N/A,FALSE,"NOTES (2)";#N/A,#N/A,FALSE,"NOTES (3)";#N/A,#N/A,FALSE,"DPL";#N/A,#N/A,FALSE,"TAXC.INDEX";#N/A,#N/A,FALSE,"Schedule I";#N/A,#N/A,FALSE,"Adjustments"}</definedName>
    <definedName function="false" hidden="true" name="_r" vbProcedure="false">{#N/A,#N/A,FALSE,"Pharm";#N/A,#N/A,FALSE,"WWCM"}</definedName>
    <definedName function="false" hidden="true" name="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true" name="_ROrder1" vbProcedure="false">0</definedName>
    <definedName function="false" hidden="true" name="_s34" vbProcedure="false">{"QTD_GENERALH2",#N/A,FALSE,"QTD"}</definedName>
    <definedName function="false" hidden="true" name="_sd34" vbProcedure="false">{"QTD",#N/A,FALSE,"SUM"}</definedName>
    <definedName function="false" hidden="true" name="_sdf2" vbProcedure="false">{#N/A,#N/A,FALSE,"Calc";#N/A,#N/A,FALSE,"Sensitivity";#N/A,#N/A,FALSE,"LT Earn.Dil.";#N/A,#N/A,FALSE,"Dil. AVP"}</definedName>
    <definedName function="false" hidden="true" name="_Sort" vbProcedure="false">#REF!</definedName>
    <definedName function="false" hidden="true" name="_ss1" vbProcedure="false">{"detail",#N/A,FALSE,"mfg";"summary",#N/A,FALSE,"mfg"}</definedName>
    <definedName function="false" hidden="false" name="_STARTMONTH" vbProcedure="false">#REF!</definedName>
    <definedName function="false" hidden="true" name="_tabel1_outx" vbProcedure="false">#REF!</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true" name="_tft2" vbProcedure="false">{#N/A,#N/A,FALSE,"3";#N/A,#N/A,FALSE,"5";#N/A,#N/A,FALSE,"6";#N/A,#N/A,FALSE,"8";#N/A,#N/A,FALSE,"10";#N/A,#N/A,FALSE,"13";#N/A,#N/A,FALSE,"14";#N/A,#N/A,FALSE,"15";#N/A,#N/A,FALSE,"16"}</definedName>
    <definedName function="false" hidden="true" name="_tm1" vbProcedure="false">{#N/A,#N/A,FALSE,"Pharm";#N/A,#N/A,FALSE,"WWCM"}</definedName>
    <definedName function="false" hidden="true" name="_TMAutoChart1Names" vbProcedure="false">{"Courbes CA EBIT","Chart 7","Courbes CA EBIT Graphique 7"}</definedName>
    <definedName function="false" hidden="true" name="_TMAutoChart1Refs" vbProcedure="false">{"","","'Courbes CA EBIT'!$R$78","'Courbes CA EBIT'!$R$79","","","","","'Courbes CA EBIT'!$R$82","'Courbes CA EBIT'!$R$83"}</definedName>
    <definedName function="false" hidden="true" name="_TMAutoChart2Names" vbProcedure="false">{"Flash","Chart 6","Flash Graphique 6"}</definedName>
    <definedName function="false" hidden="true" name="_TMAutoChart2Refs" vbProcedure="false">{"","","'Flash'!$R$78","'Flash'!$R$79","","","","","'Flash'!$R$82","'Flash'!$R$83"}</definedName>
    <definedName function="false" hidden="true" name="_TMAutoChart3Names" vbProcedure="false">{"Focus","Chart 6","Focus Graphique 6"}</definedName>
    <definedName function="false" hidden="true" name="_TMAutoChart3Refs" vbProcedure="false">{"","","'Focus'!$R$78","'Focus'!$R$79","","","","","'Focus'!$R$82","'Focus'!$R$83"}</definedName>
    <definedName function="false" hidden="true" name="_TMAutoChart5Names" vbProcedure="false">{"CTD","Chart 5","CTD Graphique 5"}</definedName>
    <definedName function="false" hidden="true" name="_TMAutoChart5Refs" vbProcedure="false">{"","","'CTD'!$R$78","'CTD'!$R$79","","","","","'CTD'!$R$82","'CTD'!$R$83"}</definedName>
    <definedName function="false" hidden="true" name="_TMAutoChartCount" vbProcedure="false">7</definedName>
    <definedName function="false" hidden="true" name="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UNDO31X31X_" vbProcedure="false">#REF!</definedName>
    <definedName function="false" hidden="true" name="_UNDO_UPS_" vbProcedure="false">#REF!</definedName>
    <definedName function="false" hidden="true" name="_UNDO_UPS_SEL_" vbProcedure="false">#REF!</definedName>
    <definedName function="false" hidden="true" name="_vin1" vbProcedure="false">#REF!</definedName>
    <definedName function="false" hidden="true" name="_w1" vbProcedure="false">{#N/A,#N/A,FALSE,"DIR-REP";#N/A,#N/A,FALSE,"AUD-REPORT";#N/A,#N/A,FALSE,"P7L&amp;BS";#N/A,#N/A,FALSE,"NOTES";#N/A,#N/A,FALSE,"FA";#N/A,#N/A,FALSE,"NOTES (2)";#N/A,#N/A,FALSE,"Schedule  IV";#N/A,#N/A,FALSE,"Schedule V"}</definedName>
    <definedName function="false" hidden="true" name="_wrn071" vbProcedure="false">{#N/A,"PURCHM",FALSE,"Business Analysis";#N/A,"SPADD",FALSE,"Business Analysis"}</definedName>
    <definedName function="false" hidden="true" name="_wrn2" vbProcedure="false">{#N/A,#N/A,FALSE,"Calc";#N/A,#N/A,FALSE,"Sensitivity";#N/A,#N/A,FALSE,"LT Earn.Dil.";#N/A,#N/A,FALSE,"Dil. AVP"}</definedName>
    <definedName function="false" hidden="true" name="_wrn213" vbProcedure="false">{"detail",#N/A,FALSE,"mfg";"summary",#N/A,FALSE,"mfg"}</definedName>
    <definedName function="false" hidden="true" name="_wrn3" vbProcedure="false">{#N/A,#N/A,FALSE,"ASSUMPTIONS";#N/A,#N/A,FALSE,"Valuation Summary";"page1",#N/A,FALSE,"PRESENTATION";"page2",#N/A,FALSE,"PRESENTATION";#N/A,#N/A,FALSE,"ORIGINAL_ROLLBACK"}</definedName>
    <definedName function="false" hidden="true" name="_wrn4" vbProcedure="false">{"general",#N/A,FALSE,"Assumptions"}</definedName>
    <definedName function="false" hidden="true" name="_WRN41" vbProcedure="false">{"detail",#N/A,FALSE,"mfg";"summary",#N/A,FALSE,"mfg"}</definedName>
    <definedName function="false" hidden="true" name="_wrn413" vbProcedure="false">{"detail",#N/A,FALSE,"mfg";"summary",#N/A,FALSE,"mfg"}</definedName>
    <definedName function="false" hidden="true" name="_wrn51" vbProcedure="false">{#N/A,"PURCHM",FALSE,"Business Analysis";#N/A,"SPADD",FALSE,"Business Analysis"}</definedName>
    <definedName function="false" hidden="true" name="_wrn61" vbProcedure="false">{"detail",#N/A,FALSE,"mfg";"summary",#N/A,FALSE,"mfg"}</definedName>
    <definedName function="false" hidden="true" name="_wrn651" vbProcedure="false">{"detail",#N/A,FALSE,"mfg";"summary",#N/A,FALSE,"mfg"}</definedName>
    <definedName function="false" hidden="true" name="_WVU4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_wvu4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_x1" vbProcedure="false">{"detail",#N/A,FALSE,"mfg";"summary",#N/A,FALSE,"mfg"}</definedName>
    <definedName function="false" hidden="true" name="_X2" vbProcedure="false">{#N/A,#N/A,FALSE,"Other";#N/A,#N/A,FALSE,"Ace";#N/A,#N/A,FALSE,"Derm"}</definedName>
    <definedName function="false" hidden="true" name="_x3" vbProcedure="false">{"detail",#N/A,FALSE,"mfg";"summary",#N/A,FALSE,"mfg"}</definedName>
    <definedName function="false" hidden="true" name="_x4" vbProcedure="false">{#N/A,"PURCHM",FALSE,"Business Analysis";#N/A,"SPADD",FALSE,"Business Analysis"}</definedName>
    <definedName function="false" hidden="true" name="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xlcn.WorksheetConnection_171229KeplerVentasxartículoyproveedor201411m2017v2.xlsbRawDataB2U64511" vbProcedure="false">#REF!</definedName>
    <definedName function="false" hidden="true" name="_xlcn.WorksheetConnection_180119KeplerVentasxartículoyproveedor201412m2017.xlsbRawDataB2U66141" vbProcedure="false">#REF!</definedName>
    <definedName function="false" hidden="true" name="_xlcn.WorksheetConnection_DataBaseIntercosFY12B6L23481" vbProcedure="false">#REF!</definedName>
    <definedName function="false" hidden="true" name="_xx10" vbProcedure="false">{#N/A,"PURCHM",FALSE,"Business Analysis";#N/A,"SPADD",FALSE,"Business Analysis"}</definedName>
    <definedName function="false" hidden="true" name="_xx3" vbProcedure="false">{"detail",#N/A,FALSE,"mfg";"summary",#N/A,FALSE,"mfg"}</definedName>
    <definedName function="false" hidden="true" name="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xx7" vbProcedure="false">{"oct_res_comm",#N/A,FALSE,"VarToBud"}</definedName>
    <definedName function="false" hidden="true" name="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xx9" vbProcedure="false">{"AS REP",#N/A,FALSE,"EEFSNAP2";"PROP",#N/A,FALSE,"EEFSNAP2";"RISKS",#N/A,FALSE,"EEFSNAP2";"VIEW ALL",#N/A,FALSE,"EEFSNAP2"}</definedName>
    <definedName function="false" hidden="false" name="_YE1" vbProcedure="false">#REF!</definedName>
    <definedName function="false" hidden="false" name="_YE2" vbProcedure="false">#REF!</definedName>
    <definedName function="false" hidden="false" name="_YE3" vbProcedure="false">#REF!</definedName>
    <definedName function="false" hidden="false" name="_YE4" vbProcedure="false">#REF!</definedName>
    <definedName function="false" hidden="false" name="_YE5" vbProcedure="false">#REF!</definedName>
    <definedName function="false" hidden="false" name="_YE6" vbProcedure="false">#REF!</definedName>
    <definedName function="false" hidden="false" name="_YE7" vbProcedure="false">#REF!</definedName>
    <definedName function="false" hidden="false" name="_YE8" vbProcedure="false">#REF!</definedName>
    <definedName function="false" hidden="false" name="_YE9" vbProcedure="false">#REF!</definedName>
    <definedName function="false" hidden="true" name="_z12" vbProcedure="false">{"pro_view",#N/A,FALSE,"EEFSNAP2";"rep_view",#N/A,FALSE,"EEFSNAP2"}</definedName>
    <definedName function="false" hidden="true" name="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z25" vbProcedure="false">{"detail",#N/A,FALSE,"mfg";"summary",#N/A,FALSE,"mfg"}</definedName>
    <definedName function="false" hidden="true" name="_zz08" vbProcedure="false">#REF!</definedName>
    <definedName function="false" hidden="true" name="_zz09" vbProcedure="false">#REF!</definedName>
    <definedName function="false" hidden="true" name="_zz1" vbProcedure="false">{"pro_view",#N/A,FALSE,"EEFSNAP2";"rep_view",#N/A,FALSE,"EEFSNAP2"}</definedName>
    <definedName function="false" hidden="true" name="_zz10" vbProcedure="false">#REF!</definedName>
    <definedName function="false" hidden="true" name="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123GraphB1" vbProcedure="false">#REF!</definedName>
    <definedName function="false" hidden="true" name="__123Graph_A" vbProcedure="false">#REF!</definedName>
    <definedName function="false" hidden="true" name="__123Graph_ACASHFLOW" vbProcedure="false">#N/A</definedName>
    <definedName function="false" hidden="true" name="__123Graph_AChart1" vbProcedure="false">#REF!</definedName>
    <definedName function="false" hidden="true" name="__123Graph_AChart2" vbProcedure="false">#REF!</definedName>
    <definedName function="false" hidden="true" name="__123Graph_AChart3" vbProcedure="false">#REF!</definedName>
    <definedName function="false" hidden="true" name="__123Graph_AChart4" vbProcedure="false">#REF!</definedName>
    <definedName function="false" hidden="true" name="__123Graph_AChart5" vbProcedure="false">#REF!</definedName>
    <definedName function="false" hidden="true" name="__123Graph_AChart6" vbProcedure="false">#REF!</definedName>
    <definedName function="false" hidden="true" name="__123Graph_AChart7" vbProcedure="false">#REF!</definedName>
    <definedName function="false" hidden="true" name="__123Graph_AChart8" vbProcedure="false">#REF!</definedName>
    <definedName function="false" hidden="true" name="__123Graph_ACK" vbProcedure="false">#REF!</definedName>
    <definedName function="false" hidden="true" name="__123Graph_ACurrent" vbProcedure="false">#REF!</definedName>
    <definedName function="false" hidden="true" name="__123Graph_ADRIVER2" vbProcedure="false">#N/A</definedName>
    <definedName function="false" hidden="true" name="__123Graph_AGRAPH2" vbProcedure="false">#REF!</definedName>
    <definedName function="false" hidden="true" name="__123Graph_AINCOME1" vbProcedure="false">#N/A</definedName>
    <definedName function="false" hidden="true" name="__123Graph_AINCOME2" vbProcedure="false">#N/A</definedName>
    <definedName function="false" hidden="true" name="__123Graph_APREZZI1" vbProcedure="false">#REF!</definedName>
    <definedName function="false" hidden="true" name="__123Graph_APREZZI1A" vbProcedure="false">#REF!</definedName>
    <definedName function="false" hidden="true" name="__123Graph_APREZZI2" vbProcedure="false">#REF!</definedName>
    <definedName function="false" hidden="true" name="__123Graph_APREZZI2A" vbProcedure="false">#REF!</definedName>
    <definedName function="false" hidden="true" name="__123Graph_APREZZI3" vbProcedure="false">#REF!</definedName>
    <definedName function="false" hidden="true" name="__123Graph_APREZZI3A" vbProcedure="false">#REF!</definedName>
    <definedName function="false" hidden="true" name="__123Graph_APREZZI4" vbProcedure="false">#REF!</definedName>
    <definedName function="false" hidden="true" name="__123Graph_APREZZI4A" vbProcedure="false">#REF!</definedName>
    <definedName function="false" hidden="true" name="__123Graph_APREZZI5" vbProcedure="false">#REF!</definedName>
    <definedName function="false" hidden="true" name="__123Graph_APREZZI5A" vbProcedure="false">#REF!</definedName>
    <definedName function="false" hidden="true" name="__123Graph_APREZZI6" vbProcedure="false">#REF!</definedName>
    <definedName function="false" hidden="true" name="__123Graph_APREZZI6A" vbProcedure="false">#REF!</definedName>
    <definedName function="false" hidden="true" name="__123Graph_APREZZI7" vbProcedure="false">#REF!</definedName>
    <definedName function="false" hidden="true" name="__123Graph_APREZZI7A" vbProcedure="false">#REF!</definedName>
    <definedName function="false" hidden="true" name="__123Graph_APTA" vbProcedure="false">#REF!</definedName>
    <definedName function="false" hidden="true" name="__123Graph_B" vbProcedure="false">#REF!</definedName>
    <definedName function="false" hidden="true" name="__123Graph_BCASHFLOW" vbProcedure="false">#N/A</definedName>
    <definedName function="false" hidden="true" name="__123Graph_BCK" vbProcedure="false">#REF!</definedName>
    <definedName function="false" hidden="true" name="__123Graph_BDRIVER2" vbProcedure="false">#N/A</definedName>
    <definedName function="false" hidden="true" name="__123Graph_BINCOME1" vbProcedure="false">#N/A</definedName>
    <definedName function="false" hidden="true" name="__123Graph_BINCOME2" vbProcedure="false">#N/A</definedName>
    <definedName function="false" hidden="true" name="__123Graph_BPTA" vbProcedure="false">#REF!</definedName>
    <definedName function="false" hidden="true" name="__123Graph_C" vbProcedure="false">#REF!</definedName>
    <definedName function="false" hidden="true" name="__123Graph_CCK" vbProcedure="false">#REF!</definedName>
    <definedName function="false" hidden="true" name="__123Graph_CPTA" vbProcedure="false">#REF!</definedName>
    <definedName function="false" hidden="true" name="__123Graph_D" vbProcedure="false">#REF!</definedName>
    <definedName function="false" hidden="true" name="__123Graph_DCK" vbProcedure="false">#REF!</definedName>
    <definedName function="false" hidden="true" name="__123Graph_DPTA" vbProcedure="false">#REF!</definedName>
    <definedName function="false" hidden="true" name="__123Graph_E" vbProcedure="false">#REF!</definedName>
    <definedName function="false" hidden="true" name="__123Graph_F" vbProcedure="false">#REF!</definedName>
    <definedName function="false" hidden="true" name="__123Graph_LBL_A" vbProcedure="false">#REF!</definedName>
    <definedName function="false" hidden="true" name="__123Graph_LBL_B" vbProcedure="false">#REF!</definedName>
    <definedName function="false" hidden="true" name="__123Graph_LBL_C" vbProcedure="false">#REF!</definedName>
    <definedName function="false" hidden="true" name="__123Graph_LBL_D" vbProcedure="false">#REF!</definedName>
    <definedName function="false" hidden="true" name="__123Graph_LBL_E" vbProcedure="false">#REF!</definedName>
    <definedName function="false" hidden="true" name="__123Graph_LBL_F" vbProcedure="false">#REF!</definedName>
    <definedName function="false" hidden="true" name="__123Graph_X" vbProcedure="false">#REF!</definedName>
    <definedName function="false" hidden="true" name="__123Graph_XCASHFLOW" vbProcedure="false">#N/A</definedName>
    <definedName function="false" hidden="true" name="__123Graph_XCK" vbProcedure="false">#REF!</definedName>
    <definedName function="false" hidden="true" name="__123Graph_XDRIVER2" vbProcedure="false">#N/A</definedName>
    <definedName function="false" hidden="true" name="__123Graph_XINCOME1" vbProcedure="false">#N/A</definedName>
    <definedName function="false" hidden="true" name="__123Graph_XINCOME2" vbProcedure="false">#N/A</definedName>
    <definedName function="false" hidden="true" name="__123Graph_XPREZZI1" vbProcedure="false">#REF!</definedName>
    <definedName function="false" hidden="true" name="__123Graph_XPREZZI1A" vbProcedure="false">#REF!</definedName>
    <definedName function="false" hidden="true" name="__123Graph_XPREZZI2" vbProcedure="false">#REF!</definedName>
    <definedName function="false" hidden="true" name="__123Graph_XPREZZI2A" vbProcedure="false">#REF!</definedName>
    <definedName function="false" hidden="true" name="__123Graph_XPREZZI3" vbProcedure="false">#REF!</definedName>
    <definedName function="false" hidden="true" name="__123Graph_XPREZZI3A" vbProcedure="false">#REF!</definedName>
    <definedName function="false" hidden="true" name="__123Graph_XPREZZI4" vbProcedure="false">#REF!</definedName>
    <definedName function="false" hidden="true" name="__123Graph_XPREZZI4A" vbProcedure="false">#REF!</definedName>
    <definedName function="false" hidden="true" name="__123Graph_XPREZZI5" vbProcedure="false">#REF!</definedName>
    <definedName function="false" hidden="true" name="__123Graph_XPREZZI5A" vbProcedure="false">#REF!</definedName>
    <definedName function="false" hidden="true" name="__123Graph_XPREZZI6" vbProcedure="false">#REF!</definedName>
    <definedName function="false" hidden="true" name="__123Graph_XPREZZI6A" vbProcedure="false">#REF!</definedName>
    <definedName function="false" hidden="true" name="__123Graph_XPREZZI7" vbProcedure="false">#REF!</definedName>
    <definedName function="false" hidden="true" name="__123Graph_XPREZZI7A" vbProcedure="false">#REF!</definedName>
    <definedName function="false" hidden="true" name="__a1" vbProcedure="false">{#N/A,#N/A,FALSE,"Pharm";#N/A,#N/A,FALSE,"WWCM"}</definedName>
    <definedName function="false" hidden="true" name="__a10" vbProcedure="false">{#N/A,#N/A,FALSE,"Bilan"}</definedName>
    <definedName function="false" hidden="true" name="__A11" vbProcedure="false">{#N/A,#N/A,FALSE,"Umsatz 99";#N/A,#N/A,FALSE,"ER 99 "}</definedName>
    <definedName function="false" hidden="true" name="__a12" vbProcedure="false">{#N/A,#N/A,FALSE,"Bilan"}</definedName>
    <definedName function="false" hidden="true" name="__a13" vbProcedure="false">{#N/A,#N/A,FALSE,"Bilan"}</definedName>
    <definedName function="false" hidden="true" name="__a14" vbProcedure="false">{#N/A,#N/A,FALSE,"Bilan"}</definedName>
    <definedName function="false" hidden="true" name="__a15" vbProcedure="false">{#N/A,#N/A,FALSE,"Bilan"}</definedName>
    <definedName function="false" hidden="true" name="__a2" vbProcedure="false">{"mgmt forecast",#N/A,FALSE,"Mgmt Forecast";"dcf table",#N/A,FALSE,"Mgmt Forecast";"sensitivity",#N/A,FALSE,"Mgmt Forecast";"table inputs",#N/A,FALSE,"Mgmt Forecast";"calculations",#N/A,FALSE,"Mgmt Forecast"}</definedName>
    <definedName function="false" hidden="true" name="__A4" vbProcedure="false">{#N/A,#N/A,FALSE,"Bilan"}</definedName>
    <definedName function="false" hidden="true" name="__a40" vbProcedure="false">{#N/A,#N/A,FALSE,"Bilan"}</definedName>
    <definedName function="false" hidden="true" name="__a41" vbProcedure="false">{#N/A,#N/A,FALSE,"Bilan"}</definedName>
    <definedName function="false" hidden="true" name="__a42" vbProcedure="false">{#N/A,#N/A,FALSE,"Bilan"}</definedName>
    <definedName function="false" hidden="true" name="__a43" vbProcedure="false">{#N/A,#N/A,FALSE,"Bilan"}</definedName>
    <definedName function="false" hidden="true" name="__a44" vbProcedure="false">{#N/A,#N/A,FALSE,"Bilan"}</definedName>
    <definedName function="false" hidden="true" name="__a45" vbProcedure="false">{#N/A,#N/A,FALSE,"Bilan"}</definedName>
    <definedName function="false" hidden="true" name="__a5" vbProcedure="false">{#N/A,#N/A,FALSE,"Bilan"}</definedName>
    <definedName function="false" hidden="true" name="__a6" vbProcedure="false">{#N/A,#N/A,FALSE,"Bilan"}</definedName>
    <definedName function="false" hidden="true" name="__a8" vbProcedure="false">{#N/A,#N/A,FALSE,"Partnership Splits";#N/A,#N/A,FALSE,"Condensed Financials-Endo";#N/A,#N/A,FALSE,"Condensed Financials-Partner";#N/A,#N/A,FALSE,"P&amp;L Detail";#N/A,#N/A,FALSE,"Payments";#N/A,#N/A,FALSE,"Selling &amp; Mktg Summary (3)"}</definedName>
    <definedName function="false" hidden="true" name="__aa1"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aaa1" vbProcedure="false">{#N/A,#N/A,FALSE,"REPORT"}</definedName>
    <definedName function="false" hidden="true" name="__aas1" vbProcedure="false">{#N/A,#N/A,FALSE,"REPORT"}</definedName>
    <definedName function="false" hidden="true" name="__abc1" vbProcedure="false">{"detail",#N/A,FALSE,"mfg";"summary",#N/A,FALSE,"mfg"}</definedName>
    <definedName function="false" hidden="true" name="__abc2" vbProcedure="false">{"detail",#N/A,FALSE,"mfg";"summary",#N/A,FALSE,"mfg"}</definedName>
    <definedName function="false" hidden="true" name="__abc3" vbProcedure="false">{"detail",#N/A,FALSE,"mfg";"summary",#N/A,FALSE,"mfg"}</definedName>
    <definedName function="false" hidden="true" name="__ACS2000" vbProcedure="false">{#N/A,#N/A,FALSE,"REPORT"}</definedName>
    <definedName function="false" hidden="true" name="__ae2" vbProcedure="false">{"'Inventory &amp; Anal-Cur Wkbk'!$A$7:$AP$71"}</definedName>
    <definedName function="false" hidden="true" name="__ap2" vbProcedure="false">{"detail",#N/A,FALSE,"mfg";"summary",#N/A,FALSE,"mfg"}</definedName>
    <definedName function="false" hidden="true" name="__APW_RESTORE_DATA1000__" vbProcedure="false">#REF!,#REF!,#REF!,#REF!,#REF!,#REF!,#REF!,#REF!,#REF!,#REF!,#REF!,#REF!,#REF!,#REF!,#REF!</definedName>
    <definedName function="false" hidden="true" name="__APW_RESTORE_DATA1001__" vbProcedure="false">#REF!,#REF!,#REF!,#REF!,#REF!,#REF!,#REF!,#REF!,#REF!,#REF!,#REF!,#REF!,#REF!,#REF!,#REF!</definedName>
    <definedName function="false" hidden="true" name="__APW_RESTORE_DATA1002__" vbProcedure="false">#REF!,#REF!,#REF!,#REF!,#REF!,#REF!,#REF!,#REF!,#REF!,#REF!,#REF!,#REF!,#REF!,#REF!,#REF!</definedName>
    <definedName function="false" hidden="true" name="__APW_RESTORE_DATA1003__" vbProcedure="false">#REF!,#REF!,#REF!,#REF!,#REF!,#REF!,#REF!,#REF!,#REF!,#REF!,#REF!,#REF!,#REF!,#REF!,#REF!</definedName>
    <definedName function="false" hidden="true" name="__APW_RESTORE_DATA1004__" vbProcedure="false">#REF!,#REF!,#REF!,#REF!,#REF!,#REF!,#REF!,#REF!,#REF!,#REF!,#REF!,#REF!,#REF!,#REF!,#REF!</definedName>
    <definedName function="false" hidden="true" name="__APW_RESTORE_DATA1005__" vbProcedure="false">#REF!,#REF!,#REF!,#REF!,#REF!,#REF!,#REF!,#REF!,#REF!,#REF!,#REF!,#REF!,#REF!,#REF!,#REF!</definedName>
    <definedName function="false" hidden="true" name="__APW_RESTORE_DATA1006__" vbProcedure="false">#REF!,#REF!,#REF!,#REF!,#REF!,#REF!,#REF!,#REF!,#REF!,#REF!,#REF!,#REF!,#REF!,#REF!,#REF!</definedName>
    <definedName function="false" hidden="true" name="__APW_RESTORE_DATA1007__" vbProcedure="false">#REF!,#REF!,#REF!,#REF!,#REF!,#REF!,#REF!,#REF!,#REF!,#REF!,#REF!,#REF!,#REF!,#REF!,#REF!</definedName>
    <definedName function="false" hidden="true" name="__APW_RESTORE_DATA1008__" vbProcedure="false">#REF!,#REF!,#REF!,#REF!,#REF!,#REF!,#REF!,#REF!,#REF!,#REF!,#REF!,#REF!,#REF!,#REF!,#REF!</definedName>
    <definedName function="false" hidden="true" name="__APW_RESTORE_DATA1009__" vbProcedure="false">#REF!,#REF!,#REF!,#REF!,#REF!,#REF!,#REF!,#REF!,#REF!,#REF!,#REF!,#REF!,#REF!,#REF!,#REF!</definedName>
    <definedName function="false" hidden="true" name="__APW_RESTORE_DATA1010__" vbProcedure="false">#REF!,#REF!,#REF!,#REF!,#REF!,#REF!,#REF!,#REF!,#REF!,#REF!,#REF!,#REF!,#REF!,#REF!,#REF!</definedName>
    <definedName function="false" hidden="true" name="__APW_RESTORE_DATA1011__" vbProcedure="false">#REF!,#REF!,#REF!,#REF!,#REF!,#REF!,#REF!,#REF!,#REF!,#REF!,#REF!,#REF!,#REF!,#REF!,#REF!</definedName>
    <definedName function="false" hidden="true" name="__APW_RESTORE_DATA1012__" vbProcedure="false">#REF!,#REF!,#REF!,#REF!,#REF!,#REF!,#REF!,#REF!,#REF!,#REF!,#REF!,#REF!,#REF!,#REF!,#REF!</definedName>
    <definedName function="false" hidden="true" name="__APW_RESTORE_DATA1013__" vbProcedure="false">#REF!,#REF!,#REF!,#REF!,#REF!,#REF!,#REF!,#REF!,#REF!,#REF!,#REF!,#REF!,#REF!,#REF!,#REF!</definedName>
    <definedName function="false" hidden="true" name="__APW_RESTORE_DATA1014__" vbProcedure="false">#REF!,#REF!,#REF!,#REF!,#REF!,#REF!,#REF!,#REF!,#REF!,#REF!,#REF!,#REF!,#REF!,#REF!,#REF!</definedName>
    <definedName function="false" hidden="true" name="__APW_RESTORE_DATA1015__" vbProcedure="false">#REF!,#REF!,#REF!,#REF!,#REF!,#REF!,#REF!,#REF!,#REF!,#REF!,#REF!,#REF!,#REF!,#REF!,#REF!</definedName>
    <definedName function="false" hidden="true" name="__APW_RESTORE_DATA1016__" vbProcedure="false">#REF!,#REF!,#REF!,#REF!,#REF!,#REF!,#REF!,#REF!,#REF!,#REF!,#REF!,#REF!,#REF!,#REF!,#REF!</definedName>
    <definedName function="false" hidden="true" name="__APW_RESTORE_DATA1017__" vbProcedure="false">#REF!,#REF!,#REF!,#REF!,#REF!,#REF!,#REF!,#REF!,#REF!,#REF!,#REF!,#REF!,#REF!,#REF!,#REF!</definedName>
    <definedName function="false" hidden="true" name="__APW_RESTORE_DATA1018__" vbProcedure="false">#REF!,#REF!,#REF!,#REF!,#REF!,#REF!,#REF!,#REF!,#REF!,#REF!,#REF!,#REF!,#REF!,#REF!,#REF!</definedName>
    <definedName function="false" hidden="true" name="__APW_RESTORE_DATA1019__" vbProcedure="false">#REF!,#REF!,#REF!,#REF!,#REF!,#REF!,#REF!,#REF!,#REF!,#REF!,#REF!,#REF!,#REF!,#REF!,#REF!</definedName>
    <definedName function="false" hidden="true" name="__APW_RESTORE_DATA1020__" vbProcedure="false">#REF!,#REF!,#REF!,#REF!,#REF!,#REF!,#REF!,#REF!,#REF!,#REF!,#REF!,#REF!,#REF!,#REF!,#REF!</definedName>
    <definedName function="false" hidden="true" name="__APW_RESTORE_DATA1021__" vbProcedure="false">#REF!,#REF!,#REF!,#REF!,#REF!,#REF!,#REF!,#REF!,#REF!,#REF!,#REF!,#REF!,#REF!,#REF!,#REF!</definedName>
    <definedName function="false" hidden="true" name="__APW_RESTORE_DATA1022__" vbProcedure="false">#REF!,#REF!,#REF!,#REF!,#REF!,#REF!,#REF!,#REF!,#REF!,#REF!,#REF!,#REF!,#REF!,#REF!,#REF!</definedName>
    <definedName function="false" hidden="true" name="__APW_RESTORE_DATA1023__" vbProcedure="false">#REF!,#REF!,#REF!,#REF!,#REF!,#REF!,#REF!,#REF!,#REF!,#REF!,#REF!,#REF!,#REF!,#REF!,#REF!</definedName>
    <definedName function="false" hidden="true" name="__APW_RESTORE_DATA1024__" vbProcedure="false">#REF!,#REF!,#REF!,#REF!,#REF!,#REF!,#REF!,#REF!,#REF!,#REF!,#REF!,#REF!,#REF!,#REF!,#REF!</definedName>
    <definedName function="false" hidden="true" name="__APW_RESTORE_DATA1025__" vbProcedure="false">#REF!,#REF!,#REF!,#REF!,#REF!,#REF!,#REF!,#REF!,#REF!,#REF!,#REF!,#REF!,#REF!,#REF!,#REF!</definedName>
    <definedName function="false" hidden="true" name="__APW_RESTORE_DATA1026__" vbProcedure="false">#REF!,#REF!,#REF!,#REF!,#REF!,#REF!,#REF!,#REF!,#REF!,#REF!,#REF!,#REF!,#REF!,#REF!,#REF!</definedName>
    <definedName function="false" hidden="true" name="__APW_RESTORE_DATA1027__" vbProcedure="false">#REF!,#REF!,#REF!,#REF!,#REF!,#REF!,#REF!,#REF!,#REF!,#REF!,#REF!,#REF!,#REF!,#REF!,#REF!</definedName>
    <definedName function="false" hidden="true" name="__APW_RESTORE_DATA1028__" vbProcedure="false">#REF!,#REF!,#REF!,#REF!,#REF!,#REF!,#REF!,#REF!,#REF!,#REF!,#REF!,#REF!,#REF!,#REF!,#REF!</definedName>
    <definedName function="false" hidden="true" name="__APW_RESTORE_DATA1029__" vbProcedure="false">#REF!,#REF!,#REF!,#REF!,#REF!,#REF!,#REF!,#REF!,#REF!,#REF!,#REF!,#REF!,#REF!,#REF!,#REF!</definedName>
    <definedName function="false" hidden="true" name="__APW_RESTORE_DATA1030__" vbProcedure="false">#REF!,#REF!,#REF!,#REF!,#REF!,#REF!,#REF!,#REF!,#REF!,#REF!,#REF!,#REF!,#REF!,#REF!,#REF!</definedName>
    <definedName function="false" hidden="true" name="__APW_RESTORE_DATA1031__" vbProcedure="false">#REF!,#REF!,#REF!,#REF!,#REF!,#REF!,#REF!,#REF!,#REF!,#REF!,#REF!,#REF!,#REF!,#REF!,#REF!</definedName>
    <definedName function="false" hidden="true" name="__APW_RESTORE_DATA1032__" vbProcedure="false">#REF!,#REF!,#REF!,#REF!,#REF!,#REF!,#REF!,#REF!,#REF!,#REF!,#REF!,#REF!,#REF!,#REF!,#REF!</definedName>
    <definedName function="false" hidden="true" name="__APW_RESTORE_DATA1033__" vbProcedure="false">#REF!,#REF!,#REF!,#REF!,#REF!,#REF!,#REF!,#REF!,#REF!,#REF!,#REF!,#REF!,#REF!,#REF!,#REF!</definedName>
    <definedName function="false" hidden="true" name="__APW_RESTORE_DATA1034__" vbProcedure="false">#REF!,#REF!,#REF!,#REF!,#REF!,#REF!,#REF!,#REF!,#REF!,#REF!,#REF!,#REF!,#REF!,#REF!,#REF!</definedName>
    <definedName function="false" hidden="true" name="__APW_RESTORE_DATA1035__" vbProcedure="false">#REF!,#REF!,#REF!,#REF!,#REF!,#REF!,#REF!,#REF!,#REF!,#REF!,#REF!,#REF!,#REF!,#REF!,#REF!</definedName>
    <definedName function="false" hidden="true" name="__APW_RESTORE_DATA1036__" vbProcedure="false">#REF!,#REF!,#REF!,#REF!,#REF!,#REF!,#REF!,#REF!,#REF!,#REF!,#REF!,#REF!,#REF!,#REF!,#REF!</definedName>
    <definedName function="false" hidden="true" name="__APW_RESTORE_DATA1037__" vbProcedure="false">#REF!,#REF!,#REF!,#REF!,#REF!,#REF!,#REF!,#REF!,#REF!,#REF!,#REF!,#REF!,#REF!,#REF!,#REF!</definedName>
    <definedName function="false" hidden="true" name="__APW_RESTORE_DATA1038__" vbProcedure="false">#REF!,#REF!,#REF!,#REF!,#REF!,#REF!,#REF!,#REF!,#REF!,#REF!,#REF!,#REF!,#REF!,#REF!,#REF!</definedName>
    <definedName function="false" hidden="true" name="__APW_RESTORE_DATA1039__" vbProcedure="false">#REF!,#REF!,#REF!,#REF!,#REF!,#REF!,#REF!,#REF!,#REF!,#REF!,#REF!,#REF!,#REF!,#REF!,#REF!</definedName>
    <definedName function="false" hidden="true" name="__APW_RESTORE_DATA1040__" vbProcedure="false">#REF!,#REF!,#REF!,#REF!,#REF!,#REF!,#REF!,#REF!,#REF!,#REF!,#REF!,#REF!,#REF!,#REF!,#REF!</definedName>
    <definedName function="false" hidden="true" name="__APW_RESTORE_DATA1041__" vbProcedure="false">#REF!,#REF!,#REF!,#REF!,#REF!,#REF!,#REF!,#REF!,#REF!,#REF!,#REF!,#REF!,#REF!,#REF!,#REF!</definedName>
    <definedName function="false" hidden="true" name="__APW_RESTORE_DATA1042__" vbProcedure="false">#REF!,#REF!,#REF!,#REF!,#REF!,#REF!,#REF!,#REF!,#REF!,#REF!,#REF!,#REF!,#REF!,#REF!,#REF!</definedName>
    <definedName function="false" hidden="true" name="__APW_RESTORE_DATA1043__" vbProcedure="false">#REF!,#REF!,#REF!,#REF!,#REF!,#REF!,#REF!,#REF!,#REF!,#REF!,#REF!,#REF!,#REF!,#REF!,#REF!</definedName>
    <definedName function="false" hidden="true" name="__APW_RESTORE_DATA1044__" vbProcedure="false">#REF!,#REF!,#REF!,#REF!,#REF!,#REF!,#REF!,#REF!,#REF!,#REF!,#REF!,#REF!,#REF!,#REF!,#REF!</definedName>
    <definedName function="false" hidden="true" name="__APW_RESTORE_DATA1045__" vbProcedure="false">#REF!,#REF!,#REF!,#REF!,#REF!,#REF!,#REF!,#REF!,#REF!,#REF!,#REF!,#REF!,#REF!,#REF!,#REF!</definedName>
    <definedName function="false" hidden="true" name="__APW_RESTORE_DATA1046__" vbProcedure="false">#REF!,#REF!,#REF!,#REF!,#REF!</definedName>
    <definedName function="false" hidden="true" name="__APW_RESTORE_DATA1048__" vbProcedure="false">#REF!,#REF!,#REF!,#REF!,#REF!</definedName>
    <definedName function="false" hidden="true" name="__APW_RESTORE_DATA1049__" vbProcedure="false">#REF!,#REF!,#REF!,#REF!,#REF!,#REF!,#REF!,#REF!,#REF!,#REF!,#REF!,#REF!,#REF!,#REF!,#REF!,#REF!</definedName>
    <definedName function="false" hidden="true" name="__APW_RESTORE_DATA1050__" vbProcedure="false">#REF!,#REF!,#REF!,#REF!,#REF!,#REF!,#REF!,#REF!,#REF!,#REF!,#REF!,#REF!,#REF!,#REF!,#REF!,#REF!</definedName>
    <definedName function="false" hidden="true" name="__APW_RESTORE_DATA1051__" vbProcedure="false">#REF!,#REF!,#REF!,#REF!,#REF!,#REF!,#REF!,#REF!,#REF!,#REF!,#REF!,#REF!,#REF!,#REF!,#REF!,#REF!</definedName>
    <definedName function="false" hidden="true" name="__APW_RESTORE_DATA1052__" vbProcedure="false">#REF!,#REF!,#REF!,#REF!,#REF!,#REF!,#REF!,#REF!,#REF!,#REF!,#REF!,#REF!,#REF!,#REF!,#REF!,#REF!</definedName>
    <definedName function="false" hidden="true" name="__APW_RESTORE_DATA1053__" vbProcedure="false">#REF!,#REF!,#REF!,#REF!,#REF!,#REF!,#REF!,#REF!,#REF!,#REF!,#REF!,#REF!,#REF!,#REF!,#REF!,#REF!</definedName>
    <definedName function="false" hidden="true" name="__APW_RESTORE_DATA1054__" vbProcedure="false">#REF!,#REF!,#REF!,#REF!,#REF!,#REF!,#REF!,#REF!,#REF!,#REF!,#REF!,#REF!,#REF!,#REF!,#REF!</definedName>
    <definedName function="false" hidden="true" name="__APW_RESTORE_DATA1055__" vbProcedure="false">#REF!,#REF!,#REF!,#REF!,#REF!,#REF!,#REF!,#REF!,#REF!,#REF!,#REF!,#REF!,#REF!,#REF!,#REF!</definedName>
    <definedName function="false" hidden="true" name="__APW_RESTORE_DATA1056__" vbProcedure="false">#REF!,#REF!,#REF!,#REF!,#REF!,#REF!,#REF!,#REF!,#REF!,#REF!,#REF!,#REF!,#REF!,#REF!,#REF!</definedName>
    <definedName function="false" hidden="true" name="__APW_RESTORE_DATA1057__" vbProcedure="false">#REF!,#REF!,#REF!,#REF!,#REF!,#REF!,#REF!,#REF!,#REF!,#REF!,#REF!,#REF!,#REF!,#REF!,#REF!</definedName>
    <definedName function="false" hidden="true" name="__APW_RESTORE_DATA1058__" vbProcedure="false">#REF!,#REF!,#REF!,#REF!,#REF!,#REF!,#REF!,#REF!,#REF!,#REF!,#REF!,#REF!,#REF!,#REF!,#REF!</definedName>
    <definedName function="false" hidden="true" name="__APW_RESTORE_DATA1059__" vbProcedure="false">#REF!,#REF!,#REF!,#REF!,#REF!,#REF!,#REF!,#REF!,#REF!,#REF!,#REF!,#REF!,#REF!,#REF!,#REF!</definedName>
    <definedName function="false" hidden="true" name="__APW_RESTORE_DATA1060__" vbProcedure="false">#REF!,#REF!,#REF!,#REF!,#REF!,#REF!,#REF!,#REF!,#REF!,#REF!,#REF!,#REF!,#REF!,#REF!,#REF!</definedName>
    <definedName function="false" hidden="true" name="__APW_RESTORE_DATA1061__" vbProcedure="false">#REF!,#REF!,#REF!,#REF!,#REF!,#REF!,#REF!,#REF!,#REF!,#REF!,#REF!,#REF!,#REF!,#REF!,#REF!</definedName>
    <definedName function="false" hidden="true" name="__APW_RESTORE_DATA1062__" vbProcedure="false">#REF!,#REF!,#REF!,#REF!,#REF!,#REF!,#REF!,#REF!,#REF!,#REF!,#REF!,#REF!,#REF!,#REF!,#REF!</definedName>
    <definedName function="false" hidden="true" name="__APW_RESTORE_DATA1063__" vbProcedure="false">#REF!,#REF!,#REF!,#REF!,#REF!,#REF!,#REF!,#REF!,#REF!,#REF!,#REF!,#REF!,#REF!,#REF!,#REF!</definedName>
    <definedName function="false" hidden="true" name="__APW_RESTORE_DATA1064__" vbProcedure="false">#REF!,#REF!,#REF!,#REF!,#REF!,#REF!,#REF!,#REF!,#REF!,#REF!,#REF!,#REF!,#REF!,#REF!,#REF!</definedName>
    <definedName function="false" hidden="true" name="__APW_RESTORE_DATA1065__" vbProcedure="false">#REF!,#REF!,#REF!,#REF!,#REF!,#REF!,#REF!,#REF!,#REF!,#REF!</definedName>
    <definedName function="false" hidden="true" name="__APW_RESTORE_DATA1066__" vbProcedure="false">#REF!,#REF!,#REF!,#REF!,#REF!,#REF!,#REF!,#REF!,#REF!,#REF!,#REF!,#REF!,#REF!,#REF!,#REF!,#REF!</definedName>
    <definedName function="false" hidden="true" name="__APW_RESTORE_DATA1067__" vbProcedure="false">#REF!,#REF!,#REF!,#REF!,#REF!,#REF!,#REF!,#REF!,#REF!,#REF!,#REF!,#REF!,#REF!,#REF!,#REF!,#REF!</definedName>
    <definedName function="false" hidden="true" name="__APW_RESTORE_DATA1068__" vbProcedure="false">#REF!,#REF!,#REF!,#REF!,#REF!,#REF!,#REF!,#REF!,#REF!,#REF!,#REF!,#REF!,#REF!,#REF!,#REF!,#REF!</definedName>
    <definedName function="false" hidden="true" name="__APW_RESTORE_DATA1069__" vbProcedure="false">#REF!,#REF!,#REF!,#REF!,#REF!,#REF!,#REF!,#REF!,#REF!,#REF!,#REF!,#REF!,#REF!,#REF!,#REF!,#REF!</definedName>
    <definedName function="false" hidden="true" name="__APW_RESTORE_DATA1070__" vbProcedure="false">#REF!,#REF!,#REF!,#REF!,#REF!,#REF!,#REF!,#REF!,#REF!,#REF!,#REF!,#REF!,#REF!,#REF!,#REF!,#REF!</definedName>
    <definedName function="false" hidden="true" name="__APW_RESTORE_DATA1071__" vbProcedure="false">#REF!,#REF!,#REF!,#REF!,#REF!,#REF!,#REF!,#REF!,#REF!,#REF!,#REF!,#REF!,#REF!,#REF!,#REF!,#REF!</definedName>
    <definedName function="false" hidden="true" name="__APW_RESTORE_DATA1072__" vbProcedure="false">#REF!,#REF!,#REF!,#REF!,#REF!,#REF!,#REF!,#REF!,#REF!,#REF!,#REF!,#REF!,#REF!,#REF!,#REF!,#REF!</definedName>
    <definedName function="false" hidden="true" name="__APW_RESTORE_DATA1073__" vbProcedure="false">#REF!,#REF!,#REF!,#REF!,#REF!,#REF!,#REF!,#REF!,#REF!,#REF!,#REF!,#REF!,#REF!,#REF!,#REF!,#REF!</definedName>
    <definedName function="false" hidden="true" name="__APW_RESTORE_DATA1074__" vbProcedure="false">#REF!,#REF!,#REF!,#REF!,#REF!,#REF!,#REF!,#REF!,#REF!,#REF!,#REF!,#REF!,#REF!,#REF!,#REF!,#REF!</definedName>
    <definedName function="false" hidden="true" name="__APW_RESTORE_DATA1075__" vbProcedure="false">#REF!,#REF!,#REF!,#REF!,#REF!,#REF!,#REF!,#REF!,#REF!,#REF!,#REF!,#REF!,#REF!,#REF!,#REF!,#REF!</definedName>
    <definedName function="false" hidden="true" name="__APW_RESTORE_DATA1076__" vbProcedure="false">#REF!,#REF!,#REF!,#REF!,#REF!,#REF!,#REF!,#REF!,#REF!,#REF!,#REF!,#REF!,#REF!,#REF!,#REF!,#REF!</definedName>
    <definedName function="false" hidden="true" name="__APW_RESTORE_DATA1077__" vbProcedure="false">#REF!,#REF!,#REF!,#REF!,#REF!,#REF!,#REF!,#REF!,#REF!,#REF!,#REF!,#REF!,#REF!,#REF!,#REF!,#REF!</definedName>
    <definedName function="false" hidden="true" name="__APW_RESTORE_DATA1078__" vbProcedure="false">#REF!,#REF!,#REF!,#REF!,#REF!,#REF!,#REF!,#REF!,#REF!,#REF!,#REF!,#REF!,#REF!,#REF!,#REF!,#REF!</definedName>
    <definedName function="false" hidden="true" name="__APW_RESTORE_DATA1079__" vbProcedure="false">#REF!,#REF!,#REF!,#REF!,#REF!,#REF!,#REF!,#REF!,#REF!,#REF!,#REF!,#REF!,#REF!,#REF!,#REF!,#REF!</definedName>
    <definedName function="false" hidden="true" name="__APW_RESTORE_DATA1080__" vbProcedure="false">#REF!,#REF!,#REF!,#REF!,#REF!,#REF!,#REF!,#REF!,#REF!,#REF!,#REF!,#REF!,#REF!,#REF!,#REF!,#REF!</definedName>
    <definedName function="false" hidden="true" name="__APW_RESTORE_DATA1081__" vbProcedure="false">#REF!,#REF!,#REF!,#REF!,#REF!,#REF!,#REF!,#REF!,#REF!,#REF!,#REF!,#REF!,#REF!,#REF!,#REF!,#REF!</definedName>
    <definedName function="false" hidden="true" name="__APW_RESTORE_DATA1082__" vbProcedure="false">#REF!,#REF!,#REF!,#REF!,#REF!,#REF!,#REF!,#REF!,#REF!,#REF!,#REF!,#REF!,#REF!,#REF!,#REF!,#REF!</definedName>
    <definedName function="false" hidden="true" name="__APW_RESTORE_DATA1083__" vbProcedure="false">#REF!,#REF!,#REF!,#REF!,#REF!,#REF!,#REF!,#REF!,#REF!,#REF!,#REF!,#REF!,#REF!,#REF!,#REF!,#REF!</definedName>
    <definedName function="false" hidden="true" name="__APW_RESTORE_DATA1084__" vbProcedure="false">#REF!,#REF!,#REF!,#REF!,#REF!,#REF!,#REF!,#REF!,#REF!,#REF!,#REF!,#REF!,#REF!,#REF!,#REF!,#REF!</definedName>
    <definedName function="false" hidden="true" name="__APW_RESTORE_DATA1085__" vbProcedure="false">#REF!,#REF!,#REF!,#REF!,#REF!,#REF!,#REF!,#REF!,#REF!,#REF!,#REF!,#REF!,#REF!,#REF!,#REF!,#REF!</definedName>
    <definedName function="false" hidden="true" name="__APW_RESTORE_DATA1086__" vbProcedure="false">#REF!,#REF!,#REF!,#REF!,#REF!,#REF!,#REF!,#REF!,#REF!,#REF!,#REF!,#REF!,#REF!,#REF!,#REF!,#REF!</definedName>
    <definedName function="false" hidden="true" name="__APW_RESTORE_DATA1087__" vbProcedure="false">#REF!,#REF!,#REF!,#REF!,#REF!,#REF!,#REF!,#REF!,#REF!,#REF!,#REF!,#REF!,#REF!,#REF!,#REF!,#REF!</definedName>
    <definedName function="false" hidden="true" name="__APW_RESTORE_DATA1088__" vbProcedure="false">#REF!,#REF!,#REF!,#REF!,#REF!,#REF!,#REF!,#REF!,#REF!,#REF!,#REF!,#REF!,#REF!,#REF!,#REF!,#REF!</definedName>
    <definedName function="false" hidden="true" name="__APW_RESTORE_DATA1089__" vbProcedure="false">#REF!,#REF!,#REF!,#REF!,#REF!,#REF!,#REF!,#REF!,#REF!,#REF!,#REF!,#REF!,#REF!,#REF!,#REF!,#REF!</definedName>
    <definedName function="false" hidden="true" name="__APW_RESTORE_DATA1090__" vbProcedure="false">#REF!,#REF!,#REF!,#REF!,#REF!,#REF!,#REF!,#REF!,#REF!,#REF!,#REF!,#REF!,#REF!,#REF!,#REF!,#REF!</definedName>
    <definedName function="false" hidden="true" name="__APW_RESTORE_DATA1091__" vbProcedure="false">#REF!,#REF!,#REF!,#REF!,#REF!,#REF!,#REF!,#REF!,#REF!,#REF!,#REF!,#REF!,#REF!,#REF!,#REF!</definedName>
    <definedName function="false" hidden="true" name="__APW_RESTORE_DATA1092__" vbProcedure="false">#REF!,#REF!,#REF!,#REF!,#REF!,#REF!,#REF!,#REF!,#REF!,#REF!,#REF!,#REF!,#REF!,#REF!,#REF!</definedName>
    <definedName function="false" hidden="true" name="__APW_RESTORE_DATA1093__" vbProcedure="false">#REF!,#REF!,#REF!,#REF!,#REF!,#REF!,#REF!,#REF!,#REF!,#REF!,#REF!,#REF!,#REF!,#REF!,#REF!</definedName>
    <definedName function="false" hidden="true" name="__APW_RESTORE_DATA1094__" vbProcedure="false">#REF!,#REF!,#REF!,#REF!,#REF!,#REF!,#REF!,#REF!,#REF!,#REF!,#REF!,#REF!,#REF!,#REF!,#REF!</definedName>
    <definedName function="false" hidden="true" name="__APW_RESTORE_DATA1095__" vbProcedure="false">#REF!,#REF!,#REF!,#REF!,#REF!,#REF!,#REF!,#REF!,#REF!,#REF!,#REF!,#REF!,#REF!,#REF!,#REF!</definedName>
    <definedName function="false" hidden="true" name="__APW_RESTORE_DATA1096__" vbProcedure="false">#REF!,#REF!,#REF!,#REF!,#REF!,#REF!,#REF!,#REF!,#REF!,#REF!,#REF!,#REF!,#REF!,#REF!,#REF!</definedName>
    <definedName function="false" hidden="true" name="__APW_RESTORE_DATA1097__" vbProcedure="false">#REF!,#REF!,#REF!,#REF!,#REF!,#REF!,#REF!,#REF!,#REF!,#REF!,#REF!,#REF!,#REF!,#REF!,#REF!</definedName>
    <definedName function="false" hidden="true" name="__APW_RESTORE_DATA1098__" vbProcedure="false">#REF!,#REF!,#REF!,#REF!,#REF!,#REF!,#REF!,#REF!,#REF!,#REF!,#REF!,#REF!,#REF!,#REF!,#REF!</definedName>
    <definedName function="false" hidden="true" name="__APW_RESTORE_DATA1099__" vbProcedure="false">#REF!,#REF!,#REF!,#REF!,#REF!,#REF!,#REF!,#REF!,#REF!,#REF!,#REF!,#REF!,#REF!,#REF!,#REF!</definedName>
    <definedName function="false" hidden="true" name="__APW_RESTORE_DATA1100__" vbProcedure="false">#REF!,#REF!,#REF!,#REF!,#REF!,#REF!,#REF!,#REF!,#REF!,#REF!,#REF!,#REF!,#REF!,#REF!,#REF!</definedName>
    <definedName function="false" hidden="true" name="__APW_RESTORE_DATA1101__" vbProcedure="false">#REF!,#REF!,#REF!,#REF!,#REF!,#REF!,#REF!,#REF!,#REF!,#REF!,#REF!,#REF!,#REF!,#REF!,#REF!</definedName>
    <definedName function="false" hidden="true" name="__APW_RESTORE_DATA1102__" vbProcedure="false">#REF!,#REF!,#REF!,#REF!,#REF!,#REF!,#REF!,#REF!,#REF!,#REF!,#REF!,#REF!,#REF!,#REF!,#REF!</definedName>
    <definedName function="false" hidden="true" name="__APW_RESTORE_DATA1103__" vbProcedure="false">#REF!,#REF!,#REF!,#REF!,#REF!,#REF!,#REF!,#REF!,#REF!,#REF!,#REF!,#REF!,#REF!,#REF!,#REF!</definedName>
    <definedName function="false" hidden="true" name="__APW_RESTORE_DATA1104__" vbProcedure="false">#REF!,#REF!,#REF!,#REF!,#REF!,#REF!,#REF!,#REF!,#REF!,#REF!,#REF!,#REF!,#REF!,#REF!,#REF!</definedName>
    <definedName function="false" hidden="true" name="__APW_RESTORE_DATA1105__" vbProcedure="false">#REF!,#REF!,#REF!,#REF!,#REF!,#REF!,#REF!,#REF!,#REF!,#REF!,#REF!,#REF!,#REF!,#REF!,#REF!</definedName>
    <definedName function="false" hidden="true" name="__APW_RESTORE_DATA1106__" vbProcedure="false">#REF!,#REF!,#REF!,#REF!,#REF!,#REF!,#REF!,#REF!,#REF!,#REF!,#REF!,#REF!,#REF!,#REF!,#REF!</definedName>
    <definedName function="false" hidden="true" name="__APW_RESTORE_DATA1107__" vbProcedure="false">#REF!,#REF!,#REF!,#REF!,#REF!,#REF!,#REF!,#REF!,#REF!,#REF!,#REF!,#REF!,#REF!,#REF!,#REF!</definedName>
    <definedName function="false" hidden="true" name="__APW_RESTORE_DATA1108__" vbProcedure="false">#REF!,#REF!,#REF!,#REF!,#REF!,#REF!,#REF!,#REF!,#REF!,#REF!,#REF!,#REF!,#REF!,#REF!,#REF!</definedName>
    <definedName function="false" hidden="true" name="__APW_RESTORE_DATA1109__" vbProcedure="false">#REF!,#REF!,#REF!,#REF!,#REF!,#REF!,#REF!,#REF!,#REF!,#REF!,#REF!,#REF!,#REF!,#REF!,#REF!</definedName>
    <definedName function="false" hidden="true" name="__APW_RESTORE_DATA1110__" vbProcedure="false">#REF!,#REF!,#REF!,#REF!,#REF!,#REF!,#REF!,#REF!,#REF!,#REF!,#REF!,#REF!,#REF!,#REF!,#REF!</definedName>
    <definedName function="false" hidden="true" name="__APW_RESTORE_DATA1111__" vbProcedure="false">#REF!,#REF!,#REF!,#REF!,#REF!,#REF!,#REF!,#REF!,#REF!,#REF!,#REF!,#REF!,#REF!,#REF!,#REF!</definedName>
    <definedName function="false" hidden="true" name="__APW_RESTORE_DATA1112__" vbProcedure="false">#REF!,#REF!,#REF!,#REF!,#REF!,#REF!,#REF!,#REF!,#REF!,#REF!,#REF!,#REF!,#REF!,#REF!,#REF!</definedName>
    <definedName function="false" hidden="true" name="__APW_RESTORE_DATA1113__" vbProcedure="false">#REF!,#REF!,#REF!,#REF!,#REF!,#REF!,#REF!,#REF!,#REF!,#REF!,#REF!,#REF!,#REF!,#REF!,#REF!</definedName>
    <definedName function="false" hidden="true" name="__APW_RESTORE_DATA1114__" vbProcedure="false">#REF!,#REF!,#REF!,#REF!,#REF!,#REF!,#REF!,#REF!,#REF!,#REF!,#REF!,#REF!,#REF!,#REF!,#REF!</definedName>
    <definedName function="false" hidden="true" name="__APW_RESTORE_DATA1115__" vbProcedure="false">#REF!,#REF!,#REF!,#REF!,#REF!,#REF!,#REF!,#REF!,#REF!,#REF!,#REF!,#REF!,#REF!,#REF!,#REF!</definedName>
    <definedName function="false" hidden="true" name="__APW_RESTORE_DATA1116__" vbProcedure="false">#REF!,#REF!,#REF!,#REF!,#REF!,#REF!,#REF!,#REF!,#REF!,#REF!,#REF!,#REF!,#REF!,#REF!,#REF!</definedName>
    <definedName function="false" hidden="true" name="__APW_RESTORE_DATA1117__" vbProcedure="false">#REF!,#REF!,#REF!,#REF!,#REF!,#REF!,#REF!,#REF!,#REF!,#REF!,#REF!,#REF!,#REF!,#REF!,#REF!</definedName>
    <definedName function="false" hidden="true" name="__APW_RESTORE_DATA1118__" vbProcedure="false">#REF!,#REF!,#REF!,#REF!,#REF!,#REF!,#REF!,#REF!,#REF!,#REF!,#REF!,#REF!,#REF!,#REF!,#REF!</definedName>
    <definedName function="false" hidden="true" name="__APW_RESTORE_DATA1119__" vbProcedure="false">#REF!,#REF!,#REF!,#REF!,#REF!,#REF!,#REF!,#REF!,#REF!,#REF!,#REF!,#REF!,#REF!,#REF!,#REF!</definedName>
    <definedName function="false" hidden="true" name="__APW_RESTORE_DATA1120__" vbProcedure="false">#REF!,#REF!,#REF!,#REF!,#REF!,#REF!,#REF!,#REF!,#REF!,#REF!,#REF!,#REF!,#REF!,#REF!,#REF!</definedName>
    <definedName function="false" hidden="true" name="__APW_RESTORE_DATA1121__" vbProcedure="false">#REF!,#REF!,#REF!,#REF!,#REF!,#REF!,#REF!,#REF!,#REF!,#REF!,#REF!,#REF!,#REF!,#REF!,#REF!</definedName>
    <definedName function="false" hidden="true" name="__APW_RESTORE_DATA1122__" vbProcedure="false">#REF!,#REF!,#REF!,#REF!,#REF!,#REF!,#REF!,#REF!,#REF!,#REF!,#REF!,#REF!,#REF!,#REF!,#REF!</definedName>
    <definedName function="false" hidden="true" name="__APW_RESTORE_DATA1123__" vbProcedure="false">#REF!,#REF!,#REF!,#REF!,#REF!,#REF!,#REF!,#REF!,#REF!,#REF!,#REF!,#REF!,#REF!,#REF!,#REF!</definedName>
    <definedName function="false" hidden="true" name="__APW_RESTORE_DATA1124__" vbProcedure="false">#REF!,#REF!,#REF!,#REF!,#REF!,#REF!,#REF!,#REF!,#REF!,#REF!,#REF!,#REF!,#REF!,#REF!,#REF!</definedName>
    <definedName function="false" hidden="true" name="__APW_RESTORE_DATA1125__" vbProcedure="false">#REF!,#REF!,#REF!,#REF!,#REF!,#REF!,#REF!,#REF!,#REF!,#REF!,#REF!,#REF!,#REF!,#REF!,#REF!</definedName>
    <definedName function="false" hidden="true" name="__APW_RESTORE_DATA1126__" vbProcedure="false">#REF!,#REF!,#REF!,#REF!,#REF!,#REF!,#REF!,#REF!,#REF!,#REF!,#REF!,#REF!,#REF!,#REF!,#REF!</definedName>
    <definedName function="false" hidden="true" name="__APW_RESTORE_DATA1127__" vbProcedure="false">#REF!,#REF!,#REF!,#REF!,#REF!,#REF!,#REF!,#REF!,#REF!,#REF!,#REF!,#REF!,#REF!,#REF!,#REF!</definedName>
    <definedName function="false" hidden="true" name="__APW_RESTORE_DATA1128__" vbProcedure="false">#REF!,#REF!,#REF!,#REF!,#REF!,#REF!,#REF!,#REF!,#REF!,#REF!,#REF!,#REF!,#REF!,#REF!,#REF!</definedName>
    <definedName function="false" hidden="true" name="__APW_RESTORE_DATA1129__" vbProcedure="false">#REF!,#REF!,#REF!,#REF!,#REF!,#REF!,#REF!,#REF!,#REF!,#REF!,#REF!,#REF!,#REF!,#REF!,#REF!</definedName>
    <definedName function="false" hidden="true" name="__APW_RESTORE_DATA1130__" vbProcedure="false">#REF!,#REF!,#REF!,#REF!,#REF!,#REF!,#REF!,#REF!,#REF!,#REF!,#REF!,#REF!,#REF!,#REF!,#REF!</definedName>
    <definedName function="false" hidden="true" name="__APW_RESTORE_DATA1131__" vbProcedure="false">#REF!,#REF!,#REF!,#REF!,#REF!,#REF!,#REF!,#REF!,#REF!,#REF!,#REF!,#REF!,#REF!,#REF!,#REF!</definedName>
    <definedName function="false" hidden="true" name="__APW_RESTORE_DATA1132__" vbProcedure="false">#REF!,#REF!,#REF!,#REF!,#REF!,#REF!,#REF!,#REF!,#REF!,#REF!,#REF!,#REF!,#REF!,#REF!,#REF!</definedName>
    <definedName function="false" hidden="true" name="__APW_RESTORE_DATA1133__" vbProcedure="false">#REF!,#REF!,#REF!,#REF!,#REF!,#REF!,#REF!,#REF!,#REF!,#REF!,#REF!,#REF!,#REF!,#REF!,#REF!</definedName>
    <definedName function="false" hidden="true" name="__APW_RESTORE_DATA1134__" vbProcedure="false">#REF!,#REF!,#REF!,#REF!,#REF!,#REF!,#REF!,#REF!,#REF!,#REF!,#REF!,#REF!,#REF!,#REF!,#REF!</definedName>
    <definedName function="false" hidden="true" name="__APW_RESTORE_DATA1135__" vbProcedure="false">#REF!,#REF!,#REF!,#REF!,#REF!,#REF!,#REF!,#REF!,#REF!,#REF!,#REF!,#REF!,#REF!,#REF!,#REF!</definedName>
    <definedName function="false" hidden="true" name="__APW_RESTORE_DATA1136__" vbProcedure="false">#REF!,#REF!,#REF!,#REF!,#REF!,#REF!,#REF!,#REF!,#REF!,#REF!,#REF!,#REF!,#REF!,#REF!,#REF!</definedName>
    <definedName function="false" hidden="true" name="__APW_RESTORE_DATA1137__" vbProcedure="false">#REF!,#REF!,#REF!,#REF!,#REF!,#REF!,#REF!,#REF!,#REF!,#REF!,#REF!,#REF!,#REF!,#REF!,#REF!</definedName>
    <definedName function="false" hidden="true" name="__APW_RESTORE_DATA1138__" vbProcedure="false">#REF!,#REF!,#REF!,#REF!,#REF!,#REF!,#REF!,#REF!,#REF!,#REF!,#REF!,#REF!,#REF!,#REF!,#REF!</definedName>
    <definedName function="false" hidden="true" name="__APW_RESTORE_DATA1139__" vbProcedure="false">#REF!,#REF!,#REF!,#REF!,#REF!,#REF!,#REF!,#REF!,#REF!,#REF!,#REF!,#REF!,#REF!,#REF!,#REF!</definedName>
    <definedName function="false" hidden="true" name="__APW_RESTORE_DATA1140__" vbProcedure="false">#REF!,#REF!,#REF!,#REF!,#REF!,#REF!,#REF!,#REF!,#REF!,#REF!,#REF!,#REF!,#REF!,#REF!,#REF!</definedName>
    <definedName function="false" hidden="true" name="__APW_RESTORE_DATA1141__" vbProcedure="false">#REF!,#REF!,#REF!,#REF!,#REF!,#REF!,#REF!,#REF!,#REF!,#REF!,#REF!,#REF!,#REF!,#REF!,#REF!</definedName>
    <definedName function="false" hidden="true" name="__APW_RESTORE_DATA1142__" vbProcedure="false">#REF!,#REF!,#REF!,#REF!,#REF!,#REF!,#REF!,#REF!,#REF!,#REF!,#REF!,#REF!,#REF!,#REF!,#REF!</definedName>
    <definedName function="false" hidden="true" name="__APW_RESTORE_DATA1143__" vbProcedure="false">#REF!,#REF!,#REF!,#REF!,#REF!,#REF!,#REF!,#REF!,#REF!,#REF!,#REF!,#REF!,#REF!,#REF!,#REF!</definedName>
    <definedName function="false" hidden="true" name="__APW_RESTORE_DATA1144__" vbProcedure="false">#REF!,#REF!,#REF!,#REF!,#REF!,#REF!,#REF!,#REF!,#REF!,#REF!,#REF!,#REF!,#REF!,#REF!,#REF!</definedName>
    <definedName function="false" hidden="true" name="__APW_RESTORE_DATA1145__" vbProcedure="false">#REF!,#REF!,#REF!,#REF!,#REF!,#REF!,#REF!,#REF!,#REF!,#REF!,#REF!,#REF!,#REF!,#REF!,#REF!</definedName>
    <definedName function="false" hidden="true" name="__APW_RESTORE_DATA1146__" vbProcedure="false">#REF!,#REF!,#REF!,#REF!,#REF!,#REF!,#REF!,#REF!,#REF!,#REF!,#REF!,#REF!,#REF!,#REF!,#REF!</definedName>
    <definedName function="false" hidden="true" name="__APW_RESTORE_DATA1147__" vbProcedure="false">#REF!,#REF!,#REF!,#REF!,#REF!,#REF!,#REF!,#REF!,#REF!,#REF!,#REF!,#REF!,#REF!,#REF!,#REF!</definedName>
    <definedName function="false" hidden="true" name="__APW_RESTORE_DATA1148__" vbProcedure="false">#REF!,#REF!,#REF!,#REF!,#REF!,#REF!,#REF!,#REF!,#REF!,#REF!,#REF!,#REF!,#REF!,#REF!,#REF!</definedName>
    <definedName function="false" hidden="true" name="__APW_RESTORE_DATA1149__" vbProcedure="false">#REF!,#REF!,#REF!,#REF!,#REF!</definedName>
    <definedName function="false" hidden="true" name="__APW_RESTORE_DATA1182__" vbProcedure="false">#REF!,#REF!,#REF!,#REF!,#REF!</definedName>
    <definedName function="false" hidden="true" name="__APW_RESTORE_DATA54__" vbProcedure="false">#REF!,#REF!,#REF!,#REF!,#REF!,#REF!,#REF!,#REF!,#REF!,#REF!,#REF!,#REF!,#REF!,#REF!,#REF!,#REF!</definedName>
    <definedName function="false" hidden="true" name="__APW_RESTORE_DATA55__" vbProcedure="false">#REF!,#REF!,#REF!,#REF!,#REF!,#REF!,#REF!,#REF!,#REF!,#REF!,#REF!,#REF!,#REF!,#REF!,#REF!</definedName>
    <definedName function="false" hidden="true" name="__APW_RESTORE_DATA56__" vbProcedure="false">#REF!,#REF!,#REF!,#REF!,#REF!,#REF!,#REF!,#REF!,#REF!,#REF!,#REF!,#REF!,#REF!,#REF!,#REF!</definedName>
    <definedName function="false" hidden="true" name="__APW_RESTORE_DATA57__" vbProcedure="false">#REF!,#REF!,#REF!,#REF!,#REF!,#REF!,#REF!,#REF!,#REF!,#REF!,#REF!,#REF!,#REF!,#REF!,#REF!</definedName>
    <definedName function="false" hidden="true" name="__APW_RESTORE_DATA58__" vbProcedure="false">#REF!,#REF!,#REF!,#REF!,#REF!,#REF!,#REF!,#REF!,#REF!,#REF!,#REF!,#REF!,#REF!,#REF!,#REF!</definedName>
    <definedName function="false" hidden="true" name="__APW_RESTORE_DATA59__" vbProcedure="false">#REF!,#REF!,#REF!,#REF!,#REF!,#REF!,#REF!,#REF!,#REF!,#REF!,#REF!,#REF!,#REF!,#REF!,#REF!</definedName>
    <definedName function="false" hidden="true" name="__APW_RESTORE_DATA60__" vbProcedure="false">#REF!,#REF!,#REF!,#REF!,#REF!,#REF!,#REF!,#REF!,#REF!,#REF!,#REF!,#REF!,#REF!,#REF!,#REF!</definedName>
    <definedName function="false" hidden="true" name="__APW_RESTORE_DATA61__" vbProcedure="false">#REF!,#REF!,#REF!,#REF!,#REF!,#REF!,#REF!,#REF!,#REF!,#REF!,#REF!,#REF!,#REF!,#REF!</definedName>
    <definedName function="false" hidden="true" name="__APW_RESTORE_DATA62__" vbProcedure="false">#REF!,#REF!,#REF!,#REF!,#REF!,#REF!,#REF!,#REF!,#REF!,#REF!</definedName>
    <definedName function="false" hidden="true" name="__APW_RESTORE_DATA63__" vbProcedure="false">#REF!,#REF!,#REF!,#REF!,#REF!,#REF!,#REF!,#REF!,#REF!,#REF!,#REF!,#REF!,#REF!,#REF!,#REF!,#REF!</definedName>
    <definedName function="false" hidden="true" name="__APW_RESTORE_DATA64__" vbProcedure="false">#REF!,#REF!,#REF!,#REF!,#REF!,#REF!,#REF!,#REF!,#REF!,#REF!,#REF!,#REF!,#REF!,#REF!,#REF!</definedName>
    <definedName function="false" hidden="true" name="__APW_RESTORE_DATA65__" vbProcedure="false">#REF!,#REF!,#REF!,#REF!,#REF!,#REF!,#REF!,#REF!,#REF!,#REF!,#REF!,#REF!,#REF!,#REF!,#REF!</definedName>
    <definedName function="false" hidden="true" name="__APW_RESTORE_DATA66__" vbProcedure="false">#REF!,#REF!,#REF!,#REF!,#REF!,#REF!,#REF!,#REF!,#REF!,#REF!,#REF!,#REF!,#REF!,#REF!,#REF!</definedName>
    <definedName function="false" hidden="true" name="__APW_RESTORE_DATA67__" vbProcedure="false">#REF!,#REF!,#REF!,#REF!,#REF!,#REF!,#REF!,#REF!,#REF!,#REF!,#REF!,#REF!,#REF!,#REF!,#REF!</definedName>
    <definedName function="false" hidden="true" name="__APW_RESTORE_DATA68__" vbProcedure="false">#REF!,#REF!,#REF!,#REF!,#REF!,#REF!,#REF!,#REF!,#REF!,#REF!,#REF!,#REF!,#REF!,#REF!,#REF!</definedName>
    <definedName function="false" hidden="true" name="__APW_RESTORE_DATA69__" vbProcedure="false">#REF!,#REF!,#REF!,#REF!,#REF!,#REF!,#REF!,#REF!,#REF!,#REF!,#REF!,#REF!,#REF!,#REF!,#REF!</definedName>
    <definedName function="false" hidden="true" name="__APW_RESTORE_DATA70__" vbProcedure="false">#REF!,#REF!,#REF!,#REF!,#REF!,#REF!,#REF!,#REF!,#REF!,#REF!,#REF!,#REF!,#REF!,#REF!</definedName>
    <definedName function="false" hidden="true" name="__APW_RESTORE_DATA71__" vbProcedure="false">#REF!,#REF!,#REF!,#REF!,#REF!,#REF!,#REF!,#REF!,#REF!,#REF!</definedName>
    <definedName function="false" hidden="true" name="__APW_RESTORE_DATA72__" vbProcedure="false">#REF!,#REF!,#REF!,#REF!,#REF!,#REF!,#REF!,#REF!,#REF!,#REF!,#REF!,#REF!,#REF!,#REF!,#REF!,#REF!</definedName>
    <definedName function="false" hidden="true" name="__APW_RESTORE_DATA73__" vbProcedure="false">#REF!,#REF!,#REF!,#REF!,#REF!,#REF!,#REF!,#REF!,#REF!,#REF!,#REF!,#REF!,#REF!,#REF!,#REF!</definedName>
    <definedName function="false" hidden="true" name="__APW_RESTORE_DATA74__" vbProcedure="false">#REF!,#REF!,#REF!,#REF!,#REF!,#REF!,#REF!,#REF!,#REF!,#REF!,#REF!,#REF!,#REF!,#REF!,#REF!</definedName>
    <definedName function="false" hidden="true" name="__APW_RESTORE_DATA75__" vbProcedure="false">#REF!,#REF!,#REF!,#REF!,#REF!,#REF!,#REF!,#REF!,#REF!,#REF!,#REF!,#REF!,#REF!,#REF!,#REF!</definedName>
    <definedName function="false" hidden="true" name="__APW_RESTORE_DATA76__" vbProcedure="false">#REF!,#REF!,#REF!,#REF!,#REF!,#REF!,#REF!,#REF!,#REF!,#REF!,#REF!,#REF!,#REF!,#REF!,#REF!</definedName>
    <definedName function="false" hidden="true" name="__APW_RESTORE_DATA77__" vbProcedure="false">#REF!,#REF!,#REF!,#REF!,#REF!,#REF!,#REF!,#REF!,#REF!,#REF!,#REF!,#REF!,#REF!,#REF!,#REF!</definedName>
    <definedName function="false" hidden="true" name="__APW_RESTORE_DATA78__" vbProcedure="false">#REF!,#REF!,#REF!,#REF!,#REF!,#REF!,#REF!,#REF!,#REF!,#REF!,#REF!,#REF!,#REF!,#REF!,#REF!</definedName>
    <definedName function="false" hidden="true" name="__APW_RESTORE_DATA79__" vbProcedure="false">#REF!,#REF!,#REF!,#REF!,#REF!,#REF!,#REF!,#REF!,#REF!,#REF!,#REF!,#REF!,#REF!,#REF!</definedName>
    <definedName function="false" hidden="true" name="__APW_RESTORE_DATA80__" vbProcedure="false">#REF!,#REF!,#REF!,#REF!,#REF!,#REF!,#REF!,#REF!,#REF!,#REF!</definedName>
    <definedName function="false" hidden="true" name="__APW_RESTORE_DATA945__" vbProcedure="false">#REF!,#REF!,#REF!,#REF!,#REF!</definedName>
    <definedName function="false" hidden="true" name="__APW_RESTORE_DATA946__" vbProcedure="false">#REF!,#REF!,#REF!,#REF!,#REF!,#REF!,#REF!,#REF!,#REF!,#REF!,#REF!,#REF!,#REF!,#REF!,#REF!,#REF!</definedName>
    <definedName function="false" hidden="true" name="__APW_RESTORE_DATA947__" vbProcedure="false">#REF!,#REF!,#REF!,#REF!,#REF!,#REF!,#REF!,#REF!,#REF!,#REF!,#REF!,#REF!,#REF!,#REF!,#REF!,#REF!</definedName>
    <definedName function="false" hidden="true" name="__APW_RESTORE_DATA948__" vbProcedure="false">#REF!,#REF!,#REF!,#REF!,#REF!,#REF!,#REF!,#REF!,#REF!,#REF!,#REF!,#REF!,#REF!,#REF!,#REF!,#REF!</definedName>
    <definedName function="false" hidden="true" name="__APW_RESTORE_DATA949__" vbProcedure="false">#REF!,#REF!,#REF!,#REF!,#REF!,#REF!,#REF!,#REF!,#REF!,#REF!,#REF!,#REF!,#REF!,#REF!,#REF!,#REF!</definedName>
    <definedName function="false" hidden="true" name="__APW_RESTORE_DATA950__" vbProcedure="false">#REF!,#REF!,#REF!,#REF!,#REF!,#REF!,#REF!,#REF!,#REF!,#REF!,#REF!,#REF!,#REF!,#REF!,#REF!,#REF!</definedName>
    <definedName function="false" hidden="true" name="__APW_RESTORE_DATA951__" vbProcedure="false">#REF!,#REF!,#REF!,#REF!,#REF!,#REF!,#REF!,#REF!,#REF!,#REF!,#REF!,#REF!,#REF!,#REF!,#REF!</definedName>
    <definedName function="false" hidden="true" name="__APW_RESTORE_DATA952__" vbProcedure="false">#REF!,#REF!,#REF!,#REF!,#REF!,#REF!,#REF!,#REF!,#REF!,#REF!,#REF!,#REF!,#REF!,#REF!,#REF!</definedName>
    <definedName function="false" hidden="true" name="__APW_RESTORE_DATA953__" vbProcedure="false">#REF!,#REF!,#REF!,#REF!,#REF!,#REF!,#REF!,#REF!,#REF!,#REF!,#REF!,#REF!,#REF!,#REF!,#REF!</definedName>
    <definedName function="false" hidden="true" name="__APW_RESTORE_DATA954__" vbProcedure="false">#REF!,#REF!,#REF!,#REF!,#REF!,#REF!,#REF!,#REF!,#REF!,#REF!,#REF!,#REF!,#REF!,#REF!,#REF!</definedName>
    <definedName function="false" hidden="true" name="__APW_RESTORE_DATA955__" vbProcedure="false">#REF!,#REF!,#REF!,#REF!,#REF!,#REF!,#REF!,#REF!,#REF!,#REF!,#REF!,#REF!,#REF!,#REF!,#REF!</definedName>
    <definedName function="false" hidden="true" name="__APW_RESTORE_DATA956__" vbProcedure="false">#REF!,#REF!,#REF!,#REF!,#REF!,#REF!,#REF!,#REF!,#REF!,#REF!,#REF!,#REF!,#REF!,#REF!,#REF!</definedName>
    <definedName function="false" hidden="true" name="__APW_RESTORE_DATA957__" vbProcedure="false">#REF!,#REF!,#REF!,#REF!,#REF!,#REF!,#REF!,#REF!,#REF!,#REF!,#REF!,#REF!,#REF!,#REF!,#REF!</definedName>
    <definedName function="false" hidden="true" name="__APW_RESTORE_DATA958__" vbProcedure="false">#REF!,#REF!,#REF!,#REF!,#REF!,#REF!,#REF!,#REF!,#REF!,#REF!,#REF!,#REF!,#REF!,#REF!,#REF!</definedName>
    <definedName function="false" hidden="true" name="__APW_RESTORE_DATA959__" vbProcedure="false">#REF!,#REF!,#REF!,#REF!,#REF!,#REF!,#REF!,#REF!,#REF!,#REF!,#REF!,#REF!,#REF!,#REF!,#REF!</definedName>
    <definedName function="false" hidden="true" name="__APW_RESTORE_DATA960__" vbProcedure="false">#REF!,#REF!,#REF!,#REF!,#REF!,#REF!,#REF!,#REF!,#REF!,#REF!,#REF!,#REF!,#REF!,#REF!,#REF!</definedName>
    <definedName function="false" hidden="true" name="__APW_RESTORE_DATA961__" vbProcedure="false">#REF!,#REF!,#REF!,#REF!,#REF!,#REF!,#REF!,#REF!,#REF!,#REF!,#REF!,#REF!,#REF!,#REF!,#REF!</definedName>
    <definedName function="false" hidden="true" name="__APW_RESTORE_DATA962__" vbProcedure="false">#REF!,#REF!,#REF!,#REF!,#REF!,#REF!,#REF!,#REF!,#REF!,#REF!</definedName>
    <definedName function="false" hidden="true" name="__APW_RESTORE_DATA963__" vbProcedure="false">#REF!,#REF!,#REF!,#REF!,#REF!,#REF!,#REF!,#REF!,#REF!,#REF!,#REF!,#REF!,#REF!,#REF!,#REF!,#REF!</definedName>
    <definedName function="false" hidden="true" name="__APW_RESTORE_DATA964__" vbProcedure="false">#REF!,#REF!,#REF!,#REF!,#REF!,#REF!,#REF!,#REF!,#REF!,#REF!,#REF!,#REF!,#REF!,#REF!,#REF!,#REF!</definedName>
    <definedName function="false" hidden="true" name="__APW_RESTORE_DATA965__" vbProcedure="false">#REF!,#REF!,#REF!,#REF!,#REF!,#REF!,#REF!,#REF!,#REF!,#REF!,#REF!,#REF!,#REF!,#REF!,#REF!,#REF!</definedName>
    <definedName function="false" hidden="true" name="__APW_RESTORE_DATA966__" vbProcedure="false">#REF!,#REF!,#REF!,#REF!,#REF!,#REF!,#REF!,#REF!,#REF!,#REF!,#REF!,#REF!,#REF!,#REF!,#REF!,#REF!</definedName>
    <definedName function="false" hidden="true" name="__APW_RESTORE_DATA967__" vbProcedure="false">#REF!,#REF!,#REF!,#REF!,#REF!,#REF!,#REF!,#REF!,#REF!,#REF!,#REF!,#REF!,#REF!,#REF!,#REF!,#REF!</definedName>
    <definedName function="false" hidden="true" name="__APW_RESTORE_DATA968__" vbProcedure="false">#REF!,#REF!,#REF!,#REF!,#REF!,#REF!,#REF!,#REF!,#REF!,#REF!,#REF!,#REF!,#REF!,#REF!,#REF!,#REF!</definedName>
    <definedName function="false" hidden="true" name="__APW_RESTORE_DATA969__" vbProcedure="false">#REF!,#REF!,#REF!,#REF!,#REF!,#REF!,#REF!,#REF!,#REF!,#REF!,#REF!,#REF!,#REF!,#REF!,#REF!,#REF!</definedName>
    <definedName function="false" hidden="true" name="__APW_RESTORE_DATA970__" vbProcedure="false">#REF!,#REF!,#REF!,#REF!,#REF!,#REF!,#REF!,#REF!,#REF!,#REF!,#REF!,#REF!,#REF!,#REF!,#REF!,#REF!</definedName>
    <definedName function="false" hidden="true" name="__APW_RESTORE_DATA971__" vbProcedure="false">#REF!,#REF!,#REF!,#REF!,#REF!,#REF!,#REF!,#REF!,#REF!,#REF!,#REF!,#REF!,#REF!,#REF!,#REF!,#REF!</definedName>
    <definedName function="false" hidden="true" name="__APW_RESTORE_DATA972__" vbProcedure="false">#REF!,#REF!,#REF!,#REF!,#REF!,#REF!,#REF!,#REF!,#REF!,#REF!,#REF!,#REF!,#REF!,#REF!,#REF!,#REF!</definedName>
    <definedName function="false" hidden="true" name="__APW_RESTORE_DATA973__" vbProcedure="false">#REF!,#REF!,#REF!,#REF!,#REF!,#REF!,#REF!,#REF!,#REF!,#REF!,#REF!,#REF!,#REF!,#REF!,#REF!,#REF!</definedName>
    <definedName function="false" hidden="true" name="__APW_RESTORE_DATA974__" vbProcedure="false">#REF!,#REF!,#REF!,#REF!,#REF!,#REF!,#REF!,#REF!,#REF!,#REF!,#REF!,#REF!,#REF!,#REF!,#REF!,#REF!</definedName>
    <definedName function="false" hidden="true" name="__APW_RESTORE_DATA975__" vbProcedure="false">#REF!,#REF!,#REF!,#REF!,#REF!,#REF!,#REF!,#REF!,#REF!,#REF!,#REF!,#REF!,#REF!,#REF!,#REF!,#REF!</definedName>
    <definedName function="false" hidden="true" name="__APW_RESTORE_DATA976__" vbProcedure="false">#REF!,#REF!,#REF!,#REF!,#REF!,#REF!,#REF!,#REF!,#REF!,#REF!,#REF!,#REF!,#REF!,#REF!,#REF!,#REF!</definedName>
    <definedName function="false" hidden="true" name="__APW_RESTORE_DATA977__" vbProcedure="false">#REF!,#REF!,#REF!,#REF!,#REF!,#REF!,#REF!,#REF!,#REF!,#REF!,#REF!,#REF!,#REF!,#REF!,#REF!,#REF!</definedName>
    <definedName function="false" hidden="true" name="__APW_RESTORE_DATA978__" vbProcedure="false">#REF!,#REF!,#REF!,#REF!,#REF!,#REF!,#REF!,#REF!,#REF!,#REF!,#REF!,#REF!,#REF!,#REF!,#REF!,#REF!</definedName>
    <definedName function="false" hidden="true" name="__APW_RESTORE_DATA979__" vbProcedure="false">#REF!,#REF!,#REF!,#REF!,#REF!,#REF!,#REF!,#REF!,#REF!,#REF!,#REF!,#REF!,#REF!,#REF!,#REF!,#REF!</definedName>
    <definedName function="false" hidden="true" name="__APW_RESTORE_DATA980__" vbProcedure="false">#REF!,#REF!,#REF!,#REF!,#REF!,#REF!,#REF!,#REF!,#REF!,#REF!,#REF!,#REF!,#REF!,#REF!,#REF!,#REF!</definedName>
    <definedName function="false" hidden="true" name="__APW_RESTORE_DATA981__" vbProcedure="false">#REF!,#REF!,#REF!,#REF!,#REF!,#REF!,#REF!,#REF!,#REF!,#REF!,#REF!,#REF!,#REF!,#REF!,#REF!,#REF!</definedName>
    <definedName function="false" hidden="true" name="__APW_RESTORE_DATA982__" vbProcedure="false">#REF!,#REF!,#REF!,#REF!,#REF!,#REF!,#REF!,#REF!,#REF!,#REF!,#REF!,#REF!,#REF!,#REF!,#REF!,#REF!</definedName>
    <definedName function="false" hidden="true" name="__APW_RESTORE_DATA983__" vbProcedure="false">#REF!,#REF!,#REF!,#REF!,#REF!,#REF!,#REF!,#REF!,#REF!,#REF!,#REF!,#REF!,#REF!,#REF!,#REF!,#REF!</definedName>
    <definedName function="false" hidden="true" name="__APW_RESTORE_DATA984__" vbProcedure="false">#REF!,#REF!,#REF!,#REF!,#REF!,#REF!,#REF!,#REF!,#REF!,#REF!,#REF!,#REF!,#REF!,#REF!,#REF!,#REF!</definedName>
    <definedName function="false" hidden="true" name="__APW_RESTORE_DATA985__" vbProcedure="false">#REF!,#REF!,#REF!,#REF!,#REF!,#REF!,#REF!,#REF!,#REF!,#REF!,#REF!,#REF!,#REF!,#REF!,#REF!,#REF!</definedName>
    <definedName function="false" hidden="true" name="__APW_RESTORE_DATA986__" vbProcedure="false">#REF!,#REF!,#REF!,#REF!,#REF!,#REF!,#REF!,#REF!,#REF!,#REF!,#REF!,#REF!,#REF!,#REF!,#REF!,#REF!</definedName>
    <definedName function="false" hidden="true" name="__APW_RESTORE_DATA987__" vbProcedure="false">#REF!,#REF!,#REF!,#REF!,#REF!,#REF!,#REF!,#REF!,#REF!,#REF!,#REF!,#REF!,#REF!,#REF!,#REF!,#REF!</definedName>
    <definedName function="false" hidden="true" name="__APW_RESTORE_DATA988__" vbProcedure="false">#REF!,#REF!,#REF!,#REF!,#REF!,#REF!,#REF!,#REF!,#REF!,#REF!,#REF!,#REF!,#REF!,#REF!,#REF!</definedName>
    <definedName function="false" hidden="true" name="__APW_RESTORE_DATA989__" vbProcedure="false">#REF!,#REF!,#REF!,#REF!,#REF!,#REF!,#REF!,#REF!,#REF!,#REF!,#REF!,#REF!,#REF!,#REF!,#REF!</definedName>
    <definedName function="false" hidden="true" name="__APW_RESTORE_DATA990__" vbProcedure="false">#REF!,#REF!,#REF!,#REF!,#REF!,#REF!,#REF!,#REF!,#REF!,#REF!,#REF!,#REF!,#REF!,#REF!,#REF!</definedName>
    <definedName function="false" hidden="true" name="__APW_RESTORE_DATA991__" vbProcedure="false">#REF!,#REF!,#REF!,#REF!,#REF!,#REF!,#REF!,#REF!,#REF!,#REF!,#REF!,#REF!,#REF!,#REF!,#REF!</definedName>
    <definedName function="false" hidden="true" name="__APW_RESTORE_DATA992__" vbProcedure="false">#REF!,#REF!,#REF!,#REF!,#REF!,#REF!,#REF!,#REF!,#REF!,#REF!,#REF!,#REF!,#REF!,#REF!,#REF!</definedName>
    <definedName function="false" hidden="true" name="__APW_RESTORE_DATA993__" vbProcedure="false">#REF!,#REF!,#REF!,#REF!,#REF!,#REF!,#REF!,#REF!,#REF!,#REF!,#REF!,#REF!,#REF!,#REF!,#REF!</definedName>
    <definedName function="false" hidden="true" name="__APW_RESTORE_DATA994__" vbProcedure="false">#REF!,#REF!,#REF!,#REF!,#REF!,#REF!,#REF!,#REF!,#REF!,#REF!,#REF!,#REF!,#REF!,#REF!,#REF!</definedName>
    <definedName function="false" hidden="true" name="__APW_RESTORE_DATA995__" vbProcedure="false">#REF!,#REF!,#REF!,#REF!,#REF!,#REF!,#REF!,#REF!,#REF!,#REF!,#REF!,#REF!,#REF!,#REF!,#REF!</definedName>
    <definedName function="false" hidden="true" name="__APW_RESTORE_DATA996__" vbProcedure="false">#REF!,#REF!,#REF!,#REF!,#REF!,#REF!,#REF!,#REF!,#REF!,#REF!,#REF!,#REF!,#REF!,#REF!,#REF!</definedName>
    <definedName function="false" hidden="true" name="__APW_RESTORE_DATA997__" vbProcedure="false">#REF!,#REF!,#REF!,#REF!,#REF!,#REF!,#REF!,#REF!,#REF!,#REF!,#REF!,#REF!,#REF!,#REF!,#REF!</definedName>
    <definedName function="false" hidden="true" name="__APW_RESTORE_DATA998__" vbProcedure="false">#REF!,#REF!,#REF!,#REF!,#REF!,#REF!,#REF!,#REF!,#REF!,#REF!,#REF!,#REF!,#REF!,#REF!,#REF!</definedName>
    <definedName function="false" hidden="true" name="__APW_RESTORE_DATA999__" vbProcedure="false">#REF!,#REF!,#REF!,#REF!,#REF!,#REF!,#REF!,#REF!,#REF!,#REF!,#REF!,#REF!,#REF!,#REF!,#REF!</definedName>
    <definedName function="false" hidden="true" name="__b111" vbProcedure="false">{#N/A,#N/A,FALSE,"Pharm";#N/A,#N/A,FALSE,"WWCM"}</definedName>
    <definedName function="false" hidden="true" name="__BS1" vbProcedure="false">{"OEE OAP",#N/A,FALSE,"oap";"OEE APAP",#N/A,FALSE,"apap";"OEE nitros",#N/A,FALSE,"nitros"}</definedName>
    <definedName function="false" hidden="true" name="__c" vbProcedure="false">{"Fiesta Facer Page",#N/A,FALSE,"Q_C_S";"Fiesta Main Page",#N/A,FALSE,"V_L";"Fiesta 95BP Struct",#N/A,FALSE,"StructBP";"Fiesta Post 95BP Struct",#N/A,FALSE,"AdjStructBP"}</definedName>
    <definedName function="false" hidden="true" name="__caj" vbProcedure="false">#REF!</definedName>
    <definedName function="false" hidden="true" name="__dwa1" vbProcedure="false">{#N/A,"PURCHM",FALSE,"Business Analysis";#N/A,"SPADD",FALSE,"Business Analysis"}</definedName>
    <definedName function="false" hidden="true" name="__eu93" vbProcedure="false">{"Comp_of_Price_Effect",#N/A,FALSE,"QTRDPVAR"}</definedName>
    <definedName function="false" hidden="true" name="__FDS_HYPERLINK_TOGGLE_STATE__" vbProcedure="false">"ON"</definedName>
    <definedName function="false" hidden="true" name="__FDS_UNIQUE_RANGE_ID_GENERATOR_COUNTER" vbProcedure="false">25</definedName>
    <definedName function="false" hidden="true" name="__FDS_USED_FOR_REUSING_RANGE_IDS_RECYCLE" vbProcedure="false">{152,168,338,189,173,195,158,390,7,11,232,378,159,175,261,183,177,129,8,155,265,394,57}</definedName>
    <definedName function="false" hidden="true" name="__FI4" vbProcedure="false">{"Vinyl1999Q1IFOrecon",#N/A,TRUE,"Vinyl";"Vinyl1999Q2IFOrecon",#N/A,TRUE,"Vinyl";"Vinyl1999Q3IFOrecon",#N/A,TRUE,"Vinyl";"Vinyl1999Q4IFOrecon",#N/A,TRUE,"Vinyl";"Vinyl1999TotalIFOrecon",#N/A,TRUE,"Vinyl";#N/A,#N/A,TRUE,"Vinyl"}</definedName>
    <definedName function="false" hidden="true" name="__i3" vbProcedure="false">{"vue1",#N/A,FALSE,"synthese";"vue2",#N/A,FALSE,"synthese"}</definedName>
    <definedName function="false" hidden="true" name="__IntlFixup" vbProcedure="false">TRUE()</definedName>
    <definedName function="false" hidden="true" name="__key1" vbProcedure="false">#REF!</definedName>
    <definedName function="false" hidden="true" name="__key2" vbProcedure="false">#REF!</definedName>
    <definedName function="false" hidden="true" name="__lot3" vbProcedure="false">{"First Page",#N/A,FALSE,"Surfactants LBO";"Second Page",#N/A,FALSE,"Surfactants LBO"}</definedName>
    <definedName function="false" hidden="true" name="__Mar08" vbProcedure="false">{#N/A,#N/A,FALSE,"Aging Summary";#N/A,#N/A,FALSE,"Ratio Analysis";#N/A,#N/A,FALSE,"Test 120 Day Accts";#N/A,#N/A,FALSE,"Tickmarks"}</definedName>
    <definedName function="false" hidden="true" name="__mno9" vbProcedure="false">{"detail",#N/A,FALSE,"mfg";"summary",#N/A,FALSE,"mfg"}</definedName>
    <definedName function="false" hidden="true" name="__new1" vbProcedure="false">{#N/A,#N/A,FALSE,"Pharm";#N/A,#N/A,FALSE,"WWCM"}</definedName>
    <definedName function="false" hidden="true" name="__new2" vbProcedure="false">{"Title",#N/A,FALSE,"Title";"Info",#N/A,FALSE,"Title";"Contents",#N/A,FALSE,"Title";"Sec.1",#N/A,FALSE,"Title";"Output1",#N/A,FALSE,"Output";"Sec.2",#N/A,FALSE,"Title";"Graph1",#N/A,FALSE,"Output";"Graph2",#N/A,FALSE,"Output";"Sec.3",#N/A,FALSE,"Title";"Gap1",#N/A,FALSE,"Output";"Sec.4",#N/A,FALSE,"Title";"Model_all",#N/A,FALSE,"Autostrade S.p.A."}</definedName>
    <definedName function="false" hidden="true" name="__new3" vbProcedure="false">{"Title",#N/A,TRUE,"Title";"Content",#N/A,TRUE,"Title";"Section1",#N/A,TRUE,"Title";"Output1",#N/A,TRUE,"Output";"Section2",#N/A,TRUE,"Title";"Graph1",#N/A,TRUE,"Output";"Section3",#N/A,TRUE,"Title";"Graph2",#N/A,TRUE,"Output";"Section4",#N/A,TRUE,"Title";"Gap1",#N/A,TRUE,"Output";"Section5",#N/A,TRUE,"Title";"Model_all",#N/A,TRUE,"Autostrade S.p.A."}</definedName>
    <definedName function="false" hidden="true" name="__new4" vbProcedure="false">{#N/A,#N/A,FALSE,"3";#N/A,#N/A,FALSE,"5";#N/A,#N/A,FALSE,"6";#N/A,#N/A,FALSE,"8";#N/A,#N/A,FALSE,"10";#N/A,#N/A,FALSE,"13";#N/A,#N/A,FALSE,"14";#N/A,#N/A,FALSE,"15";#N/A,#N/A,FALSE,"16"}</definedName>
    <definedName function="false" hidden="true" name="__new5" vbProcedure="false">{#N/A,#N/A,FALSE,"3";#N/A,#N/A,FALSE,"5";#N/A,#N/A,FALSE,"6";#N/A,#N/A,FALSE,"8";#N/A,#N/A,FALSE,"10";#N/A,#N/A,FALSE,"13";#N/A,#N/A,FALSE,"14";#N/A,#N/A,FALSE,"15";#N/A,#N/A,FALSE,"16"}</definedName>
    <definedName function="false" hidden="true" name="__OK2" vbProcedure="false">{#N/A,#N/A,FALSE,"00 P&amp;L vs 99"}</definedName>
    <definedName function="false" hidden="true" name="__q3" vbProcedure="false">#REF!</definedName>
    <definedName function="false" hidden="true" name="__r" vbProcedure="false">{#N/A,#N/A,FALSE,"Pharm";#N/A,#N/A,FALSE,"WWCM"}</definedName>
    <definedName function="false" hidden="true" name="_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_s34" vbProcedure="false">{"QTD_GENERALH2",#N/A,FALSE,"QTD"}</definedName>
    <definedName function="false" hidden="true" name="__sd34" vbProcedure="false">{"QTD",#N/A,FALSE,"SUM"}</definedName>
    <definedName function="false" hidden="true" name="__tft2" vbProcedure="false">{#N/A,#N/A,FALSE,"3";#N/A,#N/A,FALSE,"5";#N/A,#N/A,FALSE,"6";#N/A,#N/A,FALSE,"8";#N/A,#N/A,FALSE,"10";#N/A,#N/A,FALSE,"13";#N/A,#N/A,FALSE,"14";#N/A,#N/A,FALSE,"15";#N/A,#N/A,FALSE,"16"}</definedName>
    <definedName function="false" hidden="true" name="__tm1" vbProcedure="false">{#N/A,#N/A,FALSE,"Pharm";#N/A,#N/A,FALSE,"WWCM"}</definedName>
    <definedName function="false" hidden="true" name="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wrm3" vbProcedure="false">{"vue1",#N/A,FALSE,"synthese";"vue2",#N/A,FALSE,"synthese"}</definedName>
    <definedName function="false" hidden="true" name="__wrn2" vbProcedure="false">{"vue1",#N/A,FALSE,"synthese";"vue2",#N/A,FALSE,"synthese"}</definedName>
    <definedName function="false" hidden="true" name="__wrn3" vbProcedure="false">{"vue1",#N/A,FALSE,"synthese";"vue2",#N/A,FALSE,"synthese"}</definedName>
    <definedName function="false" hidden="true" name="__x1" vbProcedure="false">{"detail",#N/A,FALSE,"mfg";"summary",#N/A,FALSE,"mfg"}</definedName>
    <definedName function="false" hidden="true" name="__X2" vbProcedure="false">{#N/A,#N/A,FALSE,"Other";#N/A,#N/A,FALSE,"Ace";#N/A,#N/A,FALSE,"Derm"}</definedName>
    <definedName function="false" hidden="true" name="__x3" vbProcedure="false">{"detail",#N/A,FALSE,"mfg";"summary",#N/A,FALSE,"mfg"}</definedName>
    <definedName function="false" hidden="true" name="__x4" vbProcedure="false">{#N/A,"PURCHM",FALSE,"Business Analysis";#N/A,"SPADD",FALSE,"Business Analysis"}</definedName>
    <definedName function="false" hidden="true" name="_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xlfn.BAHTTEXT" vbProcedure="false">#NAME?</definedName>
    <definedName function="false" hidden="true" name="__xx10" vbProcedure="false">{#N/A,"PURCHM",FALSE,"Business Analysis";#N/A,"SPADD",FALSE,"Business Analysis"}</definedName>
    <definedName function="false" hidden="true" name="__xx3" vbProcedure="false">{"detail",#N/A,FALSE,"mfg";"summary",#N/A,FALSE,"mfg"}</definedName>
    <definedName function="false" hidden="true" name="_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_xx7" vbProcedure="false">{"oct_res_comm",#N/A,FALSE,"VarToBud"}</definedName>
    <definedName function="false" hidden="true" name="_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_xx9" vbProcedure="false">{"AS REP",#N/A,FALSE,"EEFSNAP2";"PROP",#N/A,FALSE,"EEFSNAP2";"RISKS",#N/A,FALSE,"EEFSNAP2";"VIEW ALL",#N/A,FALSE,"EEFSNAP2"}</definedName>
    <definedName function="false" hidden="true" name="__z12" vbProcedure="false">{"pro_view",#N/A,FALSE,"EEFSNAP2";"rep_view",#N/A,FALSE,"EEFSNAP2"}</definedName>
    <definedName function="false" hidden="true" name="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z25" vbProcedure="false">{"detail",#N/A,FALSE,"mfg";"summary",#N/A,FALSE,"mfg"}</definedName>
    <definedName function="false" hidden="true" name="__zz08" vbProcedure="false">#REF!</definedName>
    <definedName function="false" hidden="true" name="__zz09" vbProcedure="false">#REF!</definedName>
    <definedName function="false" hidden="true" name="__zz1" vbProcedure="false">{"pro_view",#N/A,FALSE,"EEFSNAP2";"rep_view",#N/A,FALSE,"EEFSNAP2"}</definedName>
    <definedName function="false" hidden="true" name="__zz10" vbProcedure="false">#REF!</definedName>
    <definedName function="false" hidden="true" name="_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a1" vbProcedure="false">{#N/A,#N/A,FALSE,"Assessment";#N/A,#N/A,FALSE,"Staffing";#N/A,#N/A,FALSE,"Hires";#N/A,#N/A,FALSE,"Assumptions"}</definedName>
    <definedName function="false" hidden="true" name="___a10" vbProcedure="false">{#N/A,#N/A,FALSE,"Bilan"}</definedName>
    <definedName function="false" hidden="true" name="___a11" vbProcedure="false">{#N/A,#N/A,FALSE,"Bilan"}</definedName>
    <definedName function="false" hidden="true" name="___a12" vbProcedure="false">{#N/A,#N/A,FALSE,"Bilan"}</definedName>
    <definedName function="false" hidden="true" name="___a13" vbProcedure="false">{#N/A,#N/A,FALSE,"Bilan"}</definedName>
    <definedName function="false" hidden="true" name="___a14" vbProcedure="false">{#N/A,#N/A,FALSE,"Bilan"}</definedName>
    <definedName function="false" hidden="true" name="___a15" vbProcedure="false">{#N/A,#N/A,FALSE,"Bilan"}</definedName>
    <definedName function="false" hidden="true" name="___a2" vbProcedure="false">{#N/A,#N/A,FALSE,"Bilan"}</definedName>
    <definedName function="false" hidden="true" name="___A4" vbProcedure="false">{#N/A,#N/A,FALSE,"Bilan"}</definedName>
    <definedName function="false" hidden="true" name="___a40" vbProcedure="false">{#N/A,#N/A,FALSE,"Bilan"}</definedName>
    <definedName function="false" hidden="true" name="___a41" vbProcedure="false">{#N/A,#N/A,FALSE,"Bilan"}</definedName>
    <definedName function="false" hidden="true" name="___a42" vbProcedure="false">{#N/A,#N/A,FALSE,"Bilan"}</definedName>
    <definedName function="false" hidden="true" name="___a43" vbProcedure="false">{#N/A,#N/A,FALSE,"Bilan"}</definedName>
    <definedName function="false" hidden="true" name="___a44" vbProcedure="false">{#N/A,#N/A,FALSE,"Bilan"}</definedName>
    <definedName function="false" hidden="true" name="___a45" vbProcedure="false">{#N/A,#N/A,FALSE,"Bilan"}</definedName>
    <definedName function="false" hidden="true" name="___a5" vbProcedure="false">{#N/A,#N/A,FALSE,"Bilan"}</definedName>
    <definedName function="false" hidden="true" name="___a6" vbProcedure="false">{#N/A,#N/A,FALSE,"Bilan"}</definedName>
    <definedName function="false" hidden="true" name="___a8" vbProcedure="false">{#N/A,#N/A,FALSE,"Partnership Splits";#N/A,#N/A,FALSE,"Condensed Financials-Endo";#N/A,#N/A,FALSE,"Condensed Financials-Partner";#N/A,#N/A,FALSE,"P&amp;L Detail";#N/A,#N/A,FALSE,"Payments";#N/A,#N/A,FALSE,"Selling &amp; Mktg Summary (3)"}</definedName>
    <definedName function="false" hidden="true" name="___abc1" vbProcedure="false">{"detail",#N/A,FALSE,"mfg";"summary",#N/A,FALSE,"mfg"}</definedName>
    <definedName function="false" hidden="true" name="___abc2" vbProcedure="false">{"detail",#N/A,FALSE,"mfg";"summary",#N/A,FALSE,"mfg"}</definedName>
    <definedName function="false" hidden="true" name="___ae2" vbProcedure="false">{"'Inventory &amp; Anal-Cur Wkbk'!$A$7:$AP$71"}</definedName>
    <definedName function="false" hidden="true" name="___BS1" vbProcedure="false">{"OEE OAP",#N/A,FALSE,"oap";"OEE APAP",#N/A,FALSE,"apap";"OEE nitros",#N/A,FALSE,"nitros"}</definedName>
    <definedName function="false" hidden="true" name="___c" vbProcedure="false">{#N/A,#N/A,FALSE,"Layout Cash Flow"}</definedName>
    <definedName function="false" hidden="true" name="___FI4" vbProcedure="false">{"Vinyl1999Q1IFOrecon",#N/A,TRUE,"Vinyl";"Vinyl1999Q2IFOrecon",#N/A,TRUE,"Vinyl";"Vinyl1999Q3IFOrecon",#N/A,TRUE,"Vinyl";"Vinyl1999Q4IFOrecon",#N/A,TRUE,"Vinyl";"Vinyl1999TotalIFOrecon",#N/A,TRUE,"Vinyl";#N/A,#N/A,TRUE,"Vinyl"}</definedName>
    <definedName function="false" hidden="true" name="___fy97" vbProcedure="false">{#N/A,#N/A,FALSE,"FY97";#N/A,#N/A,FALSE,"FY98";#N/A,#N/A,FALSE,"FY99";#N/A,#N/A,FALSE,"FY00";#N/A,#N/A,FALSE,"FY01"}</definedName>
    <definedName function="false" hidden="true" name="___gfg2" vbProcedure="false">{"Sum WW A",#N/A,FALSE,"FY95SLS";"Sum WW B",#N/A,FALSE,"FY95SLS";"Sum US A",#N/A,FALSE,"FY95SLS";"Sum US B",#N/A,FALSE,"FY95SLS";"Sum US Bocg",#N/A,FALSE,"FY95SLS";"Sum Can A",#N/A,FALSE,"FY95SLS";"Sum Can B",#N/A,FALSE,"FY95SLS";"Sum Europe",#N/A,FALSE,"FY95SLS";"Sum Row",#N/A,FALSE,"FY95SLS"}</definedName>
    <definedName function="false" hidden="true" name="___new2" vbProcedure="false">{"Title",#N/A,FALSE,"Title";"Info",#N/A,FALSE,"Title";"Contents",#N/A,FALSE,"Title";"Sec.1",#N/A,FALSE,"Title";"Output1",#N/A,FALSE,"Output";"Sec.2",#N/A,FALSE,"Title";"Graph1",#N/A,FALSE,"Output";"Graph2",#N/A,FALSE,"Output";"Sec.3",#N/A,FALSE,"Title";"Gap1",#N/A,FALSE,"Output";"Sec.4",#N/A,FALSE,"Title";"Model_all",#N/A,FALSE,"Autostrade S.p.A."}</definedName>
    <definedName function="false" hidden="true" name="___new3" vbProcedure="false">{"Title",#N/A,TRUE,"Title";"Content",#N/A,TRUE,"Title";"Section1",#N/A,TRUE,"Title";"Output1",#N/A,TRUE,"Output";"Section2",#N/A,TRUE,"Title";"Graph1",#N/A,TRUE,"Output";"Section3",#N/A,TRUE,"Title";"Graph2",#N/A,TRUE,"Output";"Section4",#N/A,TRUE,"Title";"Gap1",#N/A,TRUE,"Output";"Section5",#N/A,TRUE,"Title";"Model_all",#N/A,TRUE,"Autostrade S.p.A."}</definedName>
    <definedName function="false" hidden="true" name="___OK2" vbProcedure="false">{#N/A,#N/A,FALSE,"00 P&amp;L vs 99"}</definedName>
    <definedName function="false" hidden="true" name="___pd123" vbProcedure="false">{"Units A",#N/A,FALSE,"FY95SLS";"Units B",#N/A,FALSE,"FY95SLS"}</definedName>
    <definedName function="false" hidden="true" name="___PSM2" vbProcedure="false">{"Cover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function="false" hidden="true" name="___PSM3" vbProcedure="false">{"Pound Sterling",#N/A,TRUE,"PPD";"Pound Sterling",#N/A,TRUE,"Anaquest";"Pound Sterling",#N/A,TRUE,"Delta";"Pound Sterling",#N/A,TRUE,"INO"}</definedName>
    <definedName function="false" hidden="true" name="___q3" vbProcedure="false">#REF!</definedName>
    <definedName function="false" hidden="true" name="___r" vbProcedure="false">{"consolidated",#N/A,FALSE,"Sheet1";"cms",#N/A,FALSE,"Sheet1";"fse",#N/A,FALSE,"Sheet1"}</definedName>
    <definedName function="false" hidden="true" name="___wrn3" vbProcedure="false">{#N/A,#N/A,FALSE,"ASSUMPTIONS";#N/A,#N/A,FALSE,"Valuation Summary";"page1",#N/A,FALSE,"PRESENTATION";"page2",#N/A,FALSE,"PRESENTATION";#N/A,#N/A,FALSE,"ORIGINAL_ROLLBACK"}</definedName>
    <definedName function="false" hidden="true" name="___x2" vbProcedure="false">{#N/A,#N/A,FALSE,"3";#N/A,#N/A,FALSE,"5";#N/A,#N/A,FALSE,"6";#N/A,#N/A,FALSE,"8";#N/A,#N/A,FALSE,"10";#N/A,#N/A,FALSE,"13";#N/A,#N/A,FALSE,"14";#N/A,#N/A,FALSE,"15";#N/A,#N/A,FALSE,"16"}</definedName>
    <definedName function="false" hidden="true" name="___xlfn.BAHTTEXT" vbProcedure="false">#NAME?</definedName>
    <definedName function="false" hidden="true" name="___z12" vbProcedure="false">{"pro_view",#N/A,FALSE,"EEFSNAP2";"rep_view",#N/A,FALSE,"EEFSNAP2"}</definedName>
    <definedName function="false" hidden="true" name="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z25" vbProcedure="false">{"detail",#N/A,FALSE,"mfg";"summary",#N/A,FALSE,"mfg"}</definedName>
    <definedName function="false" hidden="true" name="____abc1" vbProcedure="false">{"detail",#N/A,FALSE,"mfg";"summary",#N/A,FALSE,"mfg"}</definedName>
    <definedName function="false" hidden="true" name="____abc2" vbProcedure="false">{"detail",#N/A,FALSE,"mfg";"summary",#N/A,FALSE,"mfg"}</definedName>
    <definedName function="false" hidden="true" name="____ae2" vbProcedure="false">{"'Inventory &amp; Anal-Cur Wkbk'!$A$7:$AP$71"}</definedName>
    <definedName function="false" hidden="true" name="____FI4" vbProcedure="false">{"Vinyl1999Q1IFOrecon",#N/A,TRUE,"Vinyl";"Vinyl1999Q2IFOrecon",#N/A,TRUE,"Vinyl";"Vinyl1999Q3IFOrecon",#N/A,TRUE,"Vinyl";"Vinyl1999Q4IFOrecon",#N/A,TRUE,"Vinyl";"Vinyl1999TotalIFOrecon",#N/A,TRUE,"Vinyl";#N/A,#N/A,TRUE,"Vinyl"}</definedName>
    <definedName function="false" hidden="true" name="____gfg2" vbProcedure="false">{"Sum WW A",#N/A,FALSE,"FY95SLS";"Sum WW B",#N/A,FALSE,"FY95SLS";"Sum US A",#N/A,FALSE,"FY95SLS";"Sum US B",#N/A,FALSE,"FY95SLS";"Sum US Bocg",#N/A,FALSE,"FY95SLS";"Sum Can A",#N/A,FALSE,"FY95SLS";"Sum Can B",#N/A,FALSE,"FY95SLS";"Sum Europe",#N/A,FALSE,"FY95SLS";"Sum Row",#N/A,FALSE,"FY95SLS"}</definedName>
    <definedName function="false" hidden="true" name="____i3" vbProcedure="false">{"vue1",#N/A,FALSE,"synthese";"vue2",#N/A,FALSE,"synthese"}</definedName>
    <definedName function="false" hidden="true" name="____OK2" vbProcedure="false">{#N/A,#N/A,FALSE,"00 P&amp;L vs 99"}</definedName>
    <definedName function="false" hidden="true" name="____q3" vbProcedure="false">#REF!</definedName>
    <definedName function="false" hidden="true" name="___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wrm3" vbProcedure="false">{"vue1",#N/A,FALSE,"synthese";"vue2",#N/A,FALSE,"synthese"}</definedName>
    <definedName function="false" hidden="true" name="____wrn2" vbProcedure="false">{"vue1",#N/A,FALSE,"synthese";"vue2",#N/A,FALSE,"synthese"}</definedName>
    <definedName function="false" hidden="true" name="____wrn3" vbProcedure="false">{"vue1",#N/A,FALSE,"synthese";"vue2",#N/A,FALSE,"synthese"}</definedName>
    <definedName function="false" hidden="true" name="____x1" vbProcedure="false">{"detail",#N/A,FALSE,"mfg";"summary",#N/A,FALSE,"mfg"}</definedName>
    <definedName function="false" hidden="true" name="____x2" vbProcedure="false">{#N/A,"PURCHM",FALSE,"Business Analysis";#N/A,"SPADD",FALSE,"Business Analysis"}</definedName>
    <definedName function="false" hidden="true" name="____x3" vbProcedure="false">{"detail",#N/A,FALSE,"mfg";"summary",#N/A,FALSE,"mfg"}</definedName>
    <definedName function="false" hidden="true" name="____x4" vbProcedure="false">{#N/A,"PURCHM",FALSE,"Business Analysis";#N/A,"SPADD",FALSE,"Business Analysis"}</definedName>
    <definedName function="false" hidden="true" name="___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xlfn.BAHTTEXT" vbProcedure="false">#NAME?</definedName>
    <definedName function="false" hidden="true" name="____xx10" vbProcedure="false">{#N/A,"PURCHM",FALSE,"Business Analysis";#N/A,"SPADD",FALSE,"Business Analysis"}</definedName>
    <definedName function="false" hidden="true" name="____xx3" vbProcedure="false">{"detail",#N/A,FALSE,"mfg";"summary",#N/A,FALSE,"mfg"}</definedName>
    <definedName function="false" hidden="true" name="___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__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__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___xx7" vbProcedure="false">{"oct_res_comm",#N/A,FALSE,"VarToBud"}</definedName>
    <definedName function="false" hidden="true" name="___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___xx9" vbProcedure="false">{"AS REP",#N/A,FALSE,"EEFSNAP2";"PROP",#N/A,FALSE,"EEFSNAP2";"RISKS",#N/A,FALSE,"EEFSNAP2";"VIEW ALL",#N/A,FALSE,"EEFSNAP2"}</definedName>
    <definedName function="false" hidden="true" name="____z12" vbProcedure="false">{"pro_view",#N/A,FALSE,"EEFSNAP2";"rep_view",#N/A,FALSE,"EEFSNAP2"}</definedName>
    <definedName function="false" hidden="true" name="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z25" vbProcedure="false">{"detail",#N/A,FALSE,"mfg";"summary",#N/A,FALSE,"mfg"}</definedName>
    <definedName function="false" hidden="true" name="____zz1" vbProcedure="false">{"pro_view",#N/A,FALSE,"EEFSNAP2";"rep_view",#N/A,FALSE,"EEFSNAP2"}</definedName>
    <definedName function="false" hidden="true" name="___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abc1" vbProcedure="false">{"detail",#N/A,FALSE,"mfg";"summary",#N/A,FALSE,"mfg"}</definedName>
    <definedName function="false" hidden="true" name="_____abc2" vbProcedure="false">{"detail",#N/A,FALSE,"mfg";"summary",#N/A,FALSE,"mfg"}</definedName>
    <definedName function="false" hidden="true" name="_____ae2" vbProcedure="false">{"'Inventory &amp; Anal-Cur Wkbk'!$A$7:$AP$71"}</definedName>
    <definedName function="false" hidden="true" name="_____BS1" vbProcedure="false">{"OEE OAP",#N/A,FALSE,"oap";"OEE APAP",#N/A,FALSE,"apap";"OEE nitros",#N/A,FALSE,"nitros"}</definedName>
    <definedName function="false" hidden="true" name="_____i3" vbProcedure="false">{"vue1",#N/A,FALSE,"synthese";"vue2",#N/A,FALSE,"synthese"}</definedName>
    <definedName function="false" hidden="true" name="_____OK2" vbProcedure="false">{#N/A,#N/A,FALSE,"00 P&amp;L vs 99"}</definedName>
    <definedName function="false" hidden="true" name="_____q3" vbProcedure="false">#REF!</definedName>
    <definedName function="false" hidden="true" name="_____wrm3" vbProcedure="false">{"vue1",#N/A,FALSE,"synthese";"vue2",#N/A,FALSE,"synthese"}</definedName>
    <definedName function="false" hidden="true" name="_____wrn2" vbProcedure="false">{"vue1",#N/A,FALSE,"synthese";"vue2",#N/A,FALSE,"synthese"}</definedName>
    <definedName function="false" hidden="true" name="_____wrn3" vbProcedure="false">{"vue1",#N/A,FALSE,"synthese";"vue2",#N/A,FALSE,"synthese"}</definedName>
    <definedName function="false" hidden="true" name="_____z12" vbProcedure="false">{"pro_view",#N/A,FALSE,"EEFSNAP2";"rep_view",#N/A,FALSE,"EEFSNAP2"}</definedName>
    <definedName function="false" hidden="true" name="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z25" vbProcedure="false">{"detail",#N/A,FALSE,"mfg";"summary",#N/A,FALSE,"mfg"}</definedName>
    <definedName function="false" hidden="true" name="______a1" vbProcedure="false">{#N/A,#N/A,FALSE,"Pharm";#N/A,#N/A,FALSE,"WWCM"}</definedName>
    <definedName function="false" hidden="true" name="______a10" vbProcedure="false">{#N/A,#N/A,FALSE,"Bilan"}</definedName>
    <definedName function="false" hidden="true" name="______a11" vbProcedure="false">{#N/A,#N/A,FALSE,"Bilan"}</definedName>
    <definedName function="false" hidden="true" name="______a12" vbProcedure="false">{#N/A,#N/A,FALSE,"Bilan"}</definedName>
    <definedName function="false" hidden="true" name="______a13" vbProcedure="false">{#N/A,#N/A,FALSE,"Bilan"}</definedName>
    <definedName function="false" hidden="true" name="______a14" vbProcedure="false">{#N/A,#N/A,FALSE,"Bilan"}</definedName>
    <definedName function="false" hidden="true" name="______a15" vbProcedure="false">{#N/A,#N/A,FALSE,"Bilan"}</definedName>
    <definedName function="false" hidden="true" name="______a2" vbProcedure="false">{#N/A,#N/A,FALSE,"Bilan"}</definedName>
    <definedName function="false" hidden="true" name="______A4" vbProcedure="false">{#N/A,#N/A,FALSE,"Bilan"}</definedName>
    <definedName function="false" hidden="true" name="______a40" vbProcedure="false">{#N/A,#N/A,FALSE,"Bilan"}</definedName>
    <definedName function="false" hidden="true" name="______a41" vbProcedure="false">{#N/A,#N/A,FALSE,"Bilan"}</definedName>
    <definedName function="false" hidden="true" name="______a42" vbProcedure="false">{#N/A,#N/A,FALSE,"Bilan"}</definedName>
    <definedName function="false" hidden="true" name="______a43" vbProcedure="false">{#N/A,#N/A,FALSE,"Bilan"}</definedName>
    <definedName function="false" hidden="true" name="______a44" vbProcedure="false">{#N/A,#N/A,FALSE,"Bilan"}</definedName>
    <definedName function="false" hidden="true" name="______a45" vbProcedure="false">{#N/A,#N/A,FALSE,"Bilan"}</definedName>
    <definedName function="false" hidden="true" name="______a5" vbProcedure="false">{#N/A,#N/A,FALSE,"Bilan"}</definedName>
    <definedName function="false" hidden="true" name="______a6" vbProcedure="false">{#N/A,#N/A,FALSE,"Bilan"}</definedName>
    <definedName function="false" hidden="true" name="______aaa1" vbProcedure="false">{#N/A,#N/A,FALSE,"REPORT"}</definedName>
    <definedName function="false" hidden="true" name="______aas1" vbProcedure="false">{#N/A,#N/A,FALSE,"REPORT"}</definedName>
    <definedName function="false" hidden="true" name="______ACS2000" vbProcedure="false">{#N/A,#N/A,FALSE,"REPORT"}</definedName>
    <definedName function="false" hidden="true" name="______b111" vbProcedure="false">{#N/A,#N/A,FALSE,"Pharm";#N/A,#N/A,FALSE,"WWCM"}</definedName>
    <definedName function="false" hidden="true" name="______FI4" vbProcedure="false">{"Vinyl1999Q1IFOrecon",#N/A,TRUE,"Vinyl";"Vinyl1999Q2IFOrecon",#N/A,TRUE,"Vinyl";"Vinyl1999Q3IFOrecon",#N/A,TRUE,"Vinyl";"Vinyl1999Q4IFOrecon",#N/A,TRUE,"Vinyl";"Vinyl1999TotalIFOrecon",#N/A,TRUE,"Vinyl";#N/A,#N/A,TRUE,"Vinyl"}</definedName>
    <definedName function="false" hidden="true" name="______i3" vbProcedure="false">{"vue1",#N/A,FALSE,"synthese";"vue2",#N/A,FALSE,"synthese"}</definedName>
    <definedName function="false" hidden="true" name="______new1" vbProcedure="false">{#N/A,#N/A,FALSE,"Pharm";#N/A,#N/A,FALSE,"WWCM"}</definedName>
    <definedName function="false" hidden="true" name="______OK2" vbProcedure="false">{#N/A,#N/A,FALSE,"00 P&amp;L vs 99"}</definedName>
    <definedName function="false" hidden="true" name="______r" vbProcedure="false">{#N/A,#N/A,FALSE,"Pharm";#N/A,#N/A,FALSE,"WWCM"}</definedName>
    <definedName function="false" hidden="true" name="______tm1" vbProcedure="false">{#N/A,#N/A,FALSE,"Pharm";#N/A,#N/A,FALSE,"WWCM"}</definedName>
    <definedName function="false" hidden="true" name="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wrm3" vbProcedure="false">{"vue1",#N/A,FALSE,"synthese";"vue2",#N/A,FALSE,"synthese"}</definedName>
    <definedName function="false" hidden="true" name="______wrn2" vbProcedure="false">{"vue1",#N/A,FALSE,"synthese";"vue2",#N/A,FALSE,"synthese"}</definedName>
    <definedName function="false" hidden="true" name="______wrn3" vbProcedure="false">{"vue1",#N/A,FALSE,"synthese";"vue2",#N/A,FALSE,"synthese"}</definedName>
    <definedName function="false" hidden="true" name="______X2" vbProcedure="false">{#N/A,#N/A,FALSE,"Other";#N/A,#N/A,FALSE,"Ace";#N/A,#N/A,FALSE,"Derm"}</definedName>
    <definedName function="false" hidden="true" name="_______abc1" vbProcedure="false">{"detail",#N/A,FALSE,"mfg";"summary",#N/A,FALSE,"mfg"}</definedName>
    <definedName function="false" hidden="true" name="_______abc2" vbProcedure="false">{"detail",#N/A,FALSE,"mfg";"summary",#N/A,FALSE,"mfg"}</definedName>
    <definedName function="false" hidden="true" name="_______OK2" vbProcedure="false">{#N/A,#N/A,FALSE,"00 P&amp;L vs 99"}</definedName>
    <definedName function="false" hidden="true" name="_______z12" vbProcedure="false">{"pro_view",#N/A,FALSE,"EEFSNAP2";"rep_view",#N/A,FALSE,"EEFSNAP2"}</definedName>
    <definedName function="false" hidden="true" name="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z25" vbProcedure="false">{"detail",#N/A,FALSE,"mfg";"summary",#N/A,FALSE,"mfg"}</definedName>
    <definedName function="false" hidden="true" name="________A11" vbProcedure="false">{#N/A,#N/A,FALSE,"Umsatz 99";#N/A,#N/A,FALSE,"ER 99 "}</definedName>
    <definedName function="false" hidden="true" name="________abc1" vbProcedure="false">{"detail",#N/A,FALSE,"mfg";"summary",#N/A,FALSE,"mfg"}</definedName>
    <definedName function="false" hidden="true" name="________abc2" vbProcedure="false">{"detail",#N/A,FALSE,"mfg";"summary",#N/A,FALSE,"mfg"}</definedName>
    <definedName function="false" hidden="true" name="________c" vbProcedure="false">{"Fiesta Facer Page",#N/A,FALSE,"Q_C_S";"Fiesta Main Page",#N/A,FALSE,"V_L";"Fiesta 95BP Struct",#N/A,FALSE,"StructBP";"Fiesta Post 95BP Struct",#N/A,FALSE,"AdjStructBP"}</definedName>
    <definedName function="false" hidden="true" name="________OK2" vbProcedure="false">{#N/A,#N/A,FALSE,"00 P&amp;L vs 99"}</definedName>
    <definedName function="false" hidden="true" name="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z12" vbProcedure="false">{"pro_view",#N/A,FALSE,"EEFSNAP2";"rep_view",#N/A,FALSE,"EEFSNAP2"}</definedName>
    <definedName function="false" hidden="true" name="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z25" vbProcedure="false">{"detail",#N/A,FALSE,"mfg";"summary",#N/A,FALSE,"mfg"}</definedName>
    <definedName function="false" hidden="true" name="_________abc1" vbProcedure="false">{"detail",#N/A,FALSE,"mfg";"summary",#N/A,FALSE,"mfg"}</definedName>
    <definedName function="false" hidden="true" name="_________abc2" vbProcedure="false">{"detail",#N/A,FALSE,"mfg";"summary",#N/A,FALSE,"mfg"}</definedName>
    <definedName function="false" hidden="true" name="_________OK2" vbProcedure="false">{#N/A,#N/A,FALSE,"00 P&amp;L vs 99"}</definedName>
    <definedName function="false" hidden="true" name="_________z12" vbProcedure="false">{"pro_view",#N/A,FALSE,"EEFSNAP2";"rep_view",#N/A,FALSE,"EEFSNAP2"}</definedName>
    <definedName function="false" hidden="true" name="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z25" vbProcedure="false">{"detail",#N/A,FALSE,"mfg";"summary",#N/A,FALSE,"mfg"}</definedName>
    <definedName function="false" hidden="true" name="__________abc1" vbProcedure="false">{"detail",#N/A,FALSE,"mfg";"summary",#N/A,FALSE,"mfg"}</definedName>
    <definedName function="false" hidden="true" name="__________abc2" vbProcedure="false">{"detail",#N/A,FALSE,"mfg";"summary",#N/A,FALSE,"mfg"}</definedName>
    <definedName function="false" hidden="true" name="__________OK2" vbProcedure="false">{#N/A,#N/A,FALSE,"00 P&amp;L vs 99"}</definedName>
    <definedName function="false" hidden="true" name="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__z12" vbProcedure="false">{"pro_view",#N/A,FALSE,"EEFSNAP2";"rep_view",#N/A,FALSE,"EEFSNAP2"}</definedName>
    <definedName function="false" hidden="true" name="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z25" vbProcedure="false">{"detail",#N/A,FALSE,"mfg";"summary",#N/A,FALSE,"mfg"}</definedName>
    <definedName function="false" hidden="true" name="___________abc1" vbProcedure="false">{"detail",#N/A,FALSE,"mfg";"summary",#N/A,FALSE,"mfg"}</definedName>
    <definedName function="false" hidden="true" name="___________abc2" vbProcedure="false">{"detail",#N/A,FALSE,"mfg";"summary",#N/A,FALSE,"mfg"}</definedName>
    <definedName function="false" hidden="true" name="___________OK2" vbProcedure="false">{#N/A,#N/A,FALSE,"00 P&amp;L vs 99"}</definedName>
    <definedName function="false" hidden="true" name="_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___z12" vbProcedure="false">{"pro_view",#N/A,FALSE,"EEFSNAP2";"rep_view",#N/A,FALSE,"EEFSNAP2"}</definedName>
    <definedName function="false" hidden="true" name="_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_z25" vbProcedure="false">{"detail",#N/A,FALSE,"mfg";"summary",#N/A,FALSE,"mfg"}</definedName>
    <definedName function="false" hidden="true" name="____________abc1" vbProcedure="false">{"detail",#N/A,FALSE,"mfg";"summary",#N/A,FALSE,"mfg"}</definedName>
    <definedName function="false" hidden="true" name="____________abc2" vbProcedure="false">{"detail",#N/A,FALSE,"mfg";"summary",#N/A,FALSE,"mfg"}</definedName>
    <definedName function="false" hidden="true" name="____________OK2" vbProcedure="false">{#N/A,#N/A,FALSE,"00 P&amp;L vs 99"}</definedName>
    <definedName function="false" hidden="true" name="__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____z12" vbProcedure="false">{"pro_view",#N/A,FALSE,"EEFSNAP2";"rep_view",#N/A,FALSE,"EEFSNAP2"}</definedName>
    <definedName function="false" hidden="true" name="__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__z25" vbProcedure="false">{"detail",#N/A,FALSE,"mfg";"summary",#N/A,FALSE,"mfg"}</definedName>
    <definedName function="false" hidden="true" name="_____________OK2" vbProcedure="false">{#N/A,#N/A,FALSE,"00 P&amp;L vs 99"}</definedName>
    <definedName function="false" hidden="true" name="______________OK2" vbProcedure="false">{#N/A,#N/A,FALSE,"00 P&amp;L vs 99"}</definedName>
    <definedName function="false" hidden="true" name="____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_______OK2" vbProcedure="false">{#N/A,#N/A,FALSE,"00 P&amp;L vs 99"}</definedName>
    <definedName function="false" hidden="true" name="_____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________________OK2" vbProcedure="false">{#N/A,#N/A,FALSE,"00 P&amp;L vs 99"}</definedName>
    <definedName function="false" hidden="true" name="________________TT20" vbProcedure="false">{0,0,0,0;0,0,0,0;0,0,0,0;0,0,0,0;0,0,0,0;0,0,0,0;0,0,0,0;0,0,0,0;0,0,0,0;0,0,0,0;0,0,0,0;0,0,0,0;0,#VALUE!,0,0;0,0,0,0;0,0,0,0;0,0,0,0;4.02506300418233E-305,0,0,0;0,0,0,0;3.33761291040418E-308,5.56268889233185E-308,8.90030392771069E-308,1.55755255047865E-307;2.6700903295667E-307,4.45015111635219E-307,0,0}</definedName>
    <definedName function="false" hidden="true" name="älll" vbProcedure="false">{#N/A,#N/A,FALSE,"Produkte Erw.";#N/A,#N/A,FALSE,"Produkte Plan";#N/A,#N/A,FALSE,"Leistungen Erw.";#N/A,#N/A,FALSE,"Leistungen Plan";#N/A,#N/A,FALSE,"KA Allg.Kosten (2)";#N/A,#N/A,FALSE,"KA All.Kosten"}</definedName>
    <definedName function="false" hidden="true" name="äää" vbProcedure="false">{#N/A,#N/A,FALSE,"Umsatz 99";#N/A,#N/A,FALSE,"ER 99 "}</definedName>
    <definedName function="false" hidden="true" name="ääää" vbProcedure="false">{"'Sample Status'!$A$1:$J$21"}</definedName>
    <definedName function="false" hidden="true" name="äääööö" vbProcedure="false">{#N/A,#N/A,FALSE,"Umsatz EO BP";#N/A,#N/A,FALSE,"Umsatz EO OP";#N/A,#N/A,FALSE,"ER EO BP";#N/A,#N/A,FALSE,"ER EO OP";#N/A,#N/A,FALSE,"EA EO (2)";#N/A,#N/A,FALSE,"EA EO";#N/A,#N/A,FALSE,"EA EO (3)";#N/A,#N/A,FALSE,"EA EO (4)";#N/A,#N/A,FALSE,"KA EO  (2)";#N/A,#N/A,FALSE,"KA EO";#N/A,#N/A,FALSE,"KA EO  (3)";#N/A,#N/A,FALSE,"KA EO (4)"}</definedName>
    <definedName function="false" hidden="true" name="äöäö" vbProcedure="false">{#N/A,#N/A,FALSE,"Umsatz CH";#N/A,#N/A,FALSE,"ER CH";#N/A,#N/A,FALSE,"EA CH (2) ";#N/A,#N/A,FALSE,"EA CH";#N/A,#N/A,FALSE,"EA CH (3) ";#N/A,#N/A,FALSE,"EA CH (4)";#N/A,#N/A,FALSE,"KA CH";#N/A,#N/A,FALSE,"KA CH  (2)";#N/A,#N/A,FALSE,"KA CH  (3)";#N/A,#N/A,FALSE,"KA CH (4)"}</definedName>
    <definedName function="false" hidden="true" name="ÇLK" vbProcedure="false">{"'comite'!$A$9:$G$44","'comite'!$A$1:$G$6"}</definedName>
    <definedName function="false" hidden="true" name="ñlkj"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ñlñl" vbProcedure="false">{"pro_view",#N/A,FALSE,"EEFSNAP2";"rep_view",#N/A,FALSE,"EEFSNAP2"}</definedName>
    <definedName function="false" hidden="true" name="ñp" vbProcedure="false">{#N/A,"PURCHM",FALSE,"Business Analysis";#N/A,"SPADD",FALSE,"Business Analysis"}</definedName>
    <definedName function="false" hidden="true" name="ööl" vbProcedure="false">{#N/A,#N/A,FALSE,"KA CH  (2)"}</definedName>
    <definedName function="false" hidden="true" name="öölkk" vbProcedure="false">{#N/A,#N/A,FALSE,"Umsatz CH";#N/A,#N/A,FALSE,"ER CH";#N/A,#N/A,FALSE,"EA CH (2) ";#N/A,#N/A,FALSE,"EA CH";#N/A,#N/A,FALSE,"EA CH (3) ";#N/A,#N/A,FALSE,"EA CH (4)";#N/A,#N/A,FALSE,"KA CH";#N/A,#N/A,FALSE,"KA CH  (2)";#N/A,#N/A,FALSE,"KA CH  (3)";#N/A,#N/A,FALSE,"KA CH (4)"}</definedName>
    <definedName function="false" hidden="true" name="öölälkk" vbProcedure="false">{#N/A,#N/A,FALSE,"Umsatz 99";#N/A,#N/A,FALSE,"ER 99 "}</definedName>
    <definedName function="false" hidden="true" name="ööö" vbProcedure="false">{#N/A,#N/A,FALSE,"Produkte Erw.";#N/A,#N/A,FALSE,"Produkte Plan";#N/A,#N/A,FALSE,"Leistungen Erw.";#N/A,#N/A,FALSE,"Leistungen Plan";#N/A,#N/A,FALSE,"KA Allg.Kosten (2)";#N/A,#N/A,FALSE,"KA All.Kosten"}</definedName>
    <definedName function="false" hidden="true" name="üü.l" vbProcedure="false">{#N/A,#N/A,FALSE,"Umsatz EO BP";#N/A,#N/A,FALSE,"Umsatz EO OP";#N/A,#N/A,FALSE,"ER EO BP";#N/A,#N/A,FALSE,"ER EO OP";#N/A,#N/A,FALSE,"EA EO (2)";#N/A,#N/A,FALSE,"EA EO";#N/A,#N/A,FALSE,"EA EO (3)";#N/A,#N/A,FALSE,"EA EO (4)";#N/A,#N/A,FALSE,"KA EO  (2)";#N/A,#N/A,FALSE,"KA EO";#N/A,#N/A,FALSE,"KA EO  (3)";#N/A,#N/A,FALSE,"KA EO (4)"}</definedName>
    <definedName function="false" hidden="true" name="üüü" vbProcedure="false">{#N/A,#N/A,FALSE,"Umsatz HM";#N/A,#N/A,FALSE,"ER HM";#N/A,#N/A,FALSE,"EA HM  (2)";#N/A,#N/A,FALSE,"EA HM ";#N/A,#N/A,FALSE,"EA HM  (4)";#N/A,#N/A,FALSE,"EA HM  (3)";#N/A,#N/A,FALSE,"KA HM  (2)";#N/A,#N/A,FALSE,"KA HM";#N/A,#N/A,FALSE,"KA HM  (3)";#N/A,#N/A,FALSE,"KA HM (4)"}</definedName>
    <definedName function="false" hidden="true" name="üüüü"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あ" vbProcedure="false">{"'下期集計（10.27迄・速報値）'!$Q$16"}</definedName>
    <definedName function="false" hidden="true" name="あああ" vbProcedure="false">{"'下期集計（10.27迄・速報値）'!$Q$16"}</definedName>
    <definedName function="false" hidden="true" name="なんで" vbProcedure="false">{"'下期集計（10.27迄・速報値）'!$Q$16"}</definedName>
    <definedName function="false" hidden="true" name="なんなの" vbProcedure="false">{"'下期集計（10.27迄・速報値）'!$Q$16"}</definedName>
    <definedName function="false" hidden="true" name="ㄶㅇ노ㅗㄶ호" vbProcedure="false">{#N/A,#N/A,FALSE,"REPORT"}</definedName>
    <definedName function="false" hidden="true" name="ㅂㅁ" vbProcedure="false">{#N/A,"PURCHM",FALSE,"Business Analysis";#N/A,"SPADD",FALSE,"Business Analysis"}</definedName>
    <definedName function="false" hidden="true" name="年間収支買掛" vbProcedure="false">{"'下期集計（10.27迄・速報値）'!$Q$16"}</definedName>
    <definedName function="false" hidden="true" name="年間資金収支あ" vbProcedure="false">{"'下期集計（10.27迄・速報値）'!$Q$16"}</definedName>
    <definedName function="false" hidden="true" name="日繰06" vbProcedure="false">{"'下期集計（10.27迄・速報値）'!$Q$16"}</definedName>
    <definedName function="false" hidden="true" name="枯" vbProcedure="false">#REF!</definedName>
    <definedName function="false" hidden="true" name="要処理資産②" vbProcedure="false">{"'下期集計（10.27迄・速報値）'!$Q$16"}</definedName>
    <definedName function="false" hidden="true" name="資金" vbProcedure="false">{"'下期集計（10.27迄・速報値）'!$Q$16"}</definedName>
    <definedName function="false" hidden="true" name="金利体系" vbProcedure="false">{"'下期集計（10.27迄・速報値）'!$Q$16"}</definedName>
    <definedName function="false" hidden="true" name="関連" vbProcedure="false">{"'下期集計（10.27迄・速報値）'!$Q$16"}</definedName>
    <definedName function="false" hidden="true" name="问问" vbProcedure="false">{#N/A,#N/A,FALSE,"SF"}</definedName>
    <definedName function="false" hidden="true" name="고" vbProcedure="false">{#N/A,#N/A,FALSE,"REPORT"}</definedName>
    <definedName function="false" hidden="true" name="미애" vbProcedure="false">{#N/A,#N/A,FALSE,"REPORT"}</definedName>
    <definedName function="false" hidden="true" name="이" vbProcedure="false">{"vol data",#N/A,FALSE,"Datasheet";"vol graph",#N/A,FALSE,"Volume";"price data",#N/A,FALSE,"Datasheet";"price graph",#N/A,FALSE,"Price";"dp data",#N/A,FALSE,"Datasheet";"dp graph",#N/A,FALSE,"DirectProfit"}</definedName>
    <definedName function="false" hidden="true" name="ｇ" vbProcedure="false">{"'下期集計（10.27迄・速報値）'!$Q$16"}</definedName>
    <definedName function="false" hidden="true" name="ｈ" vbProcedure="false">{"'下期集計（10.27迄・速報値）'!$Q$16"}</definedName>
    <definedName function="false" hidden="true" name="Ｈ16・１" vbProcedure="false">{"'コメント'!$A$1:$C$37"}</definedName>
    <definedName function="false" hidden="true" name="ＨＴＭＬ" vbProcedure="false">{"'コメント'!$A$1:$C$37"}</definedName>
    <definedName function="false" hidden="true" name="ＲＡＲＯＡ" vbProcedure="false">{"'下期集計（10.27迄・速報値）'!$Q$16"}</definedName>
    <definedName function="false" hidden="true" name="ｚ" vbProcedure="false">{"'下期集計（10.27迄・速報値）'!$Q$16"}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<sst xmlns="http://schemas.openxmlformats.org/spreadsheetml/2006/main" count="4077" uniqueCount="1588">
  <si>
    <t xml:space="preserve">Rheinmetall</t>
  </si>
  <si>
    <t xml:space="preserve">Calculation workbook</t>
  </si>
  <si>
    <t xml:space="preserve">Bocconi</t>
  </si>
  <si>
    <t xml:space="preserve">Milano, italy</t>
  </si>
  <si>
    <t xml:space="preserve">Updated 24/09/2026</t>
  </si>
  <si>
    <t xml:space="preserve">Historicals</t>
  </si>
  <si>
    <t xml:space="preserve">(€ million)</t>
  </si>
  <si>
    <t xml:space="preserve">Rule</t>
  </si>
  <si>
    <t xml:space="preserve">2022A</t>
  </si>
  <si>
    <t xml:space="preserve">Where the number comes from / why (course slide)</t>
  </si>
  <si>
    <t xml:space="preserve">Fiscal year end date</t>
  </si>
  <si>
    <t xml:space="preserve">x</t>
  </si>
  <si>
    <t xml:space="preserve">Reformulated Income Statement</t>
  </si>
  <si>
    <t xml:space="preserve">Net revenues</t>
  </si>
  <si>
    <t xml:space="preserve">R1</t>
  </si>
  <si>
    <t xml:space="preserve">Sales (IS). Slide 3: starting point of the roadmap</t>
  </si>
  <si>
    <t xml:space="preserve">  Growth %</t>
  </si>
  <si>
    <t xml:space="preserve">Change in inventories of finished and unfinished products</t>
  </si>
  <si>
    <t xml:space="preserve">R2</t>
  </si>
  <si>
    <t xml:space="preserve">Note 10. Session 3 slide 6: production for inventory is part of the value of production</t>
  </si>
  <si>
    <t xml:space="preserve">Own work capitalised</t>
  </si>
  <si>
    <t xml:space="preserve">Note 10. Session 3 slide 6: internal construction of assets</t>
  </si>
  <si>
    <t xml:space="preserve">Value of production</t>
  </si>
  <si>
    <t xml:space="preserve">Session 3 slide 6</t>
  </si>
  <si>
    <t xml:space="preserve">Raw materials, supplies and merchandise</t>
  </si>
  <si>
    <t xml:space="preserve">R3</t>
  </si>
  <si>
    <t xml:space="preserve">Note 12. External cost (Session 3 slide 6)</t>
  </si>
  <si>
    <t xml:space="preserve">Purchased services</t>
  </si>
  <si>
    <t xml:space="preserve">Note 12. External cost</t>
  </si>
  <si>
    <t xml:space="preserve">Other services purchased from third parties (note 15: maintenance, IT, distribution &amp; advertising, administration, travel, insurance, audit/legal/consulting, rents, licences)</t>
  </si>
  <si>
    <t xml:space="preserve">External cost = resources bought from third parties (Session 3 slide 6), classified component by component. Excl. acquisition transaction costs (unusual, R9)</t>
  </si>
  <si>
    <t xml:space="preserve">Rounding in note breakdowns (materials; inventory change and own work)</t>
  </si>
  <si>
    <t xml:space="preserve">Reported Financials rounding lines of notes 10 and 12 (the components, not the face lines, are used above)</t>
  </si>
  <si>
    <t xml:space="preserve">Added value</t>
  </si>
  <si>
    <t xml:space="preserve">Session 3 slides 6–7: value of production − materials and services purchased from third parties</t>
  </si>
  <si>
    <t xml:space="preserve">  Added value / value of production</t>
  </si>
  <si>
    <t xml:space="preserve">Other operating income, recurring (not netted against external costs)</t>
  </si>
  <si>
    <t xml:space="preserve">Note 11 excl. reversal of impairment and the estimated 2025 insurance refund (unusual, R9): refunds, grants, provision reversals, scrap, rentals, disposal gains. Not a reduction of purchases (slide 6), so shown after added value</t>
  </si>
  <si>
    <t xml:space="preserve">Other operating costs that are not purchases (provisions, warranties, receivable write-downs, disposal losses, other taxes, miscellaneous)</t>
  </si>
  <si>
    <t xml:space="preserve">Note 15. Not purchases from suppliers (slide 6); provisions kept in operating costs before EBITDA (slide 8, option 1). Miscellaneous: content not disclosed</t>
  </si>
  <si>
    <t xml:space="preserve">Rounding difference to the printed EBIT</t>
  </si>
  <si>
    <t xml:space="preserve">Reported Financials rounding line above EBIT (printed EBIT − sum of printed lines)</t>
  </si>
  <si>
    <t xml:space="preserve">Personnel costs, excl. restructuring costs</t>
  </si>
  <si>
    <t xml:space="preserve">R4</t>
  </si>
  <si>
    <t xml:space="preserve">Note 13. Internal cost (Session 3 slide 6). Restructuring special items removed (u7d): note 28 says structural measures are termination indemnities and partial retirement → personnel (assumption: the IS line is not disclosed)</t>
  </si>
  <si>
    <t xml:space="preserve">Incidental personnel costs (note 15)</t>
  </si>
  <si>
    <t xml:space="preserve">Personnel-related, not a purchase of external resources: grouped with personnel (analyst classification)</t>
  </si>
  <si>
    <t xml:space="preserve">EBITDA</t>
  </si>
  <si>
    <t xml:space="preserve">Session 3 slide 7: added value − personnel (and the other operating items above), before interest, D&amp;A</t>
  </si>
  <si>
    <t xml:space="preserve">  EBITDA margin</t>
  </si>
  <si>
    <t xml:space="preserve">Net interest on pensions (reclassified from financial expenses; group total incl. discontinued operations)</t>
  </si>
  <si>
    <t xml:space="preserve">Note 27. Operating because pensions are operating liabilities (slide 3; Session 4 slide 8), but an interest component: shown below EBITDA (slide 7: EBITDA is before interest)</t>
  </si>
  <si>
    <t xml:space="preserve">Depreciation and amortisation, recurring</t>
  </si>
  <si>
    <t xml:space="preserve">R5</t>
  </si>
  <si>
    <t xml:space="preserve">Note 14 total excl. impairment losses (convention: unusual under the recurrence test, R9; Session 3 slide 8 option 2)</t>
  </si>
  <si>
    <t xml:space="preserve">  of which amortisation from purchase price allocations</t>
  </si>
  <si>
    <t xml:space="preserve">Note 14 (memo, included above)</t>
  </si>
  <si>
    <t xml:space="preserve">Core operating income [A]</t>
  </si>
  <si>
    <t xml:space="preserve">Slide 3: core operating income from sales</t>
  </si>
  <si>
    <t xml:space="preserve">  Core operating margin (ROS)</t>
  </si>
  <si>
    <t xml:space="preserve">Result from equity-accounted investments, excl. disposal gains</t>
  </si>
  <si>
    <t xml:space="preserve">R6</t>
  </si>
  <si>
    <t xml:space="preserve">IS line excl. gains on sale of shares (unusual, R9). Slide 3: income from associates is non-core operating</t>
  </si>
  <si>
    <t xml:space="preserve">Other financial result, excl. remeasurement gains</t>
  </si>
  <si>
    <t xml:space="preserve">IS line inside EBIT, less the blackned step-acquisition remeasurement gain (unusual, R9). Income on non-operating financial assets → non-core (slide 3); composition otherwise not disclosed</t>
  </si>
  <si>
    <t xml:space="preserve">Non-core operating income [B]</t>
  </si>
  <si>
    <t xml:space="preserve">Slide 3 [B]</t>
  </si>
  <si>
    <t xml:space="preserve">Operating income [A+B]</t>
  </si>
  <si>
    <t xml:space="preserve">Slide 3</t>
  </si>
  <si>
    <t xml:space="preserve">  Operating margin</t>
  </si>
  <si>
    <t xml:space="preserve">Financial income (interest income)</t>
  </si>
  <si>
    <t xml:space="preserve">R7</t>
  </si>
  <si>
    <t xml:space="preserve">IS. Interest on cash and short-term financial assets (slide 3 [C])</t>
  </si>
  <si>
    <t xml:space="preserve">Financial expenses (interest expenses excl. pension interest)</t>
  </si>
  <si>
    <t xml:space="preserve">IS less note 27 pension interest. Includes lease interest and IFRS 15 financing interest (not disclosed)</t>
  </si>
  <si>
    <t xml:space="preserve">Net financial expenses [C]</t>
  </si>
  <si>
    <t xml:space="preserve">Slide 3 and slide 4 (matched with the net financial position)</t>
  </si>
  <si>
    <t xml:space="preserve">Income before unusual items and taxes [A+B+C]</t>
  </si>
  <si>
    <t xml:space="preserve">Unusual items (before tax)</t>
  </si>
  <si>
    <t xml:space="preserve">R9</t>
  </si>
  <si>
    <t xml:space="preserve">Slides 15–26: criteria 1–5; examples on slide 21; ASICS layout on slide 27</t>
  </si>
  <si>
    <t xml:space="preserve">  From the income statement:</t>
  </si>
  <si>
    <t xml:space="preserve">    Reversal of impairment of assets</t>
  </si>
  <si>
    <t xml:space="preserve">Note 11. Criterion: complex valuation / occasional (slides 21, 25)</t>
  </si>
  <si>
    <t xml:space="preserve">    Impairment losses</t>
  </si>
  <si>
    <t xml:space="preserve">Note 14. Occasional impairment (slide 21 '?'): not present in every year → unusual</t>
  </si>
  <si>
    <t xml:space="preserve">    Gains on sale and fair-value measurement of shares in investments (Shriram 2023: 31 + 22; AIM 2025)</t>
  </si>
  <si>
    <t xml:space="preserve">Management report. Criterion: infrequent (ASICS: gains on sales of investments)</t>
  </si>
  <si>
    <t xml:space="preserve">    Fair-value remeasurement gains in other financial result (Shriram 2023; blackned step acquisition 2025)</t>
  </si>
  <si>
    <t xml:space="preserve">AR2023 p.226 (Shriram 5); acquisition note, AR2025 p.214 (blackned 15). Criterion 5: fair-value remeasurement (slide 25, IFRS 3) and criterion 4: infrequent. Management also treats it as a special item</t>
  </si>
  <si>
    <t xml:space="preserve">    Acquisition transaction costs (Loc Performance)</t>
  </si>
  <si>
    <t xml:space="preserve">Management report special items, AR2025 p.55. Criterion 3/4: costs of a business combination, unusual in nature and infrequent (as AB InBev and Danone, slides 16–19)</t>
  </si>
  <si>
    <t xml:space="preserve">    Restructuring costs (management special items)</t>
  </si>
  <si>
    <t xml:space="preserve">Management report special items (AR2024 p.52, AR2025 p.55). Session 2 slide 31: restructuring charges are the named example of an account unusual for its full amount → overrides the recurrence test (I-46)</t>
  </si>
  <si>
    <t xml:space="preserve">    Insurance refund for production losses at Murcia (estimated)</t>
  </si>
  <si>
    <t xml:space="preserve">Note 11 (AR2025 p.219) and segment report (p.64: 'higher double-digit million euro amount'). Unusual: linked to a one-off natural disaster (slide 21). Amount estimated as refunds above the 2024 level (I-18)</t>
  </si>
  <si>
    <t xml:space="preserve">    Discontinued operations, before tax</t>
  </si>
  <si>
    <t xml:space="preserve">Note 8. Criterion 1: discontinued operations (slide 15, 26)</t>
  </si>
  <si>
    <t xml:space="preserve">    Income taxes relating to prior years (earlier-period income taxes)</t>
  </si>
  <si>
    <t xml:space="preserve">Tax note 16, AR2025 p.220 / AR2024 p.208. Slide 21, first example: taxes related to a past fiscal year do not respect the matching principle (ASICS shows refunded taxes as unusual, slide 27)</t>
  </si>
  <si>
    <t xml:space="preserve">  From the statement of comprehensive income (before tax):</t>
  </si>
  <si>
    <t xml:space="preserve">    Remeasurement of pensions</t>
  </si>
  <si>
    <t xml:space="preserve">Note 26. Criterion 5: OCI / complex valuation (slides 22–25)</t>
  </si>
  <si>
    <t xml:space="preserve">    Cash flow hedges</t>
  </si>
  <si>
    <t xml:space="preserve">Note 26. Criterion 5 (ASICS: deferred gain on hedges)</t>
  </si>
  <si>
    <t xml:space="preserve">    Currency translation differences</t>
  </si>
  <si>
    <t xml:space="preserve">Note 26. Criterion 5 (ASICS: translation adjustments)</t>
  </si>
  <si>
    <t xml:space="preserve">    OCI from equity-accounted investments</t>
  </si>
  <si>
    <t xml:space="preserve">Note 26. Criterion 5</t>
  </si>
  <si>
    <t xml:space="preserve">    Rounding: discontinued-operations note vs statement</t>
  </si>
  <si>
    <t xml:space="preserve">Note 8 before-tax + tax vs printed earnings from discontinued operations. Not a criterion: keeps comprehensive income equal to the printed figure</t>
  </si>
  <si>
    <t xml:space="preserve">    Rounding: OCI note vs statement</t>
  </si>
  <si>
    <t xml:space="preserve">Note 26 before-tax + tax vs printed OCI after taxes</t>
  </si>
  <si>
    <t xml:space="preserve">Total unusual items</t>
  </si>
  <si>
    <t xml:space="preserve">  Unusual items / net revenues</t>
  </si>
  <si>
    <t xml:space="preserve">Earnings before taxes (comprehensive)</t>
  </si>
  <si>
    <t xml:space="preserve">Slide 3 / ASICS slide 27</t>
  </si>
  <si>
    <t xml:space="preserve">  Income taxes (continuing operations), excl. earlier-period taxes</t>
  </si>
  <si>
    <t xml:space="preserve">R10</t>
  </si>
  <si>
    <t xml:space="preserve">IS less earlier-period taxes (moved to unusual items, R9)</t>
  </si>
  <si>
    <t xml:space="preserve">  Income taxes on discontinued operations</t>
  </si>
  <si>
    <t xml:space="preserve">Note 8</t>
  </si>
  <si>
    <t xml:space="preserve">  Taxes on OCI items</t>
  </si>
  <si>
    <t xml:space="preserve">Note 26 (ASICS: taxes on OCI items)</t>
  </si>
  <si>
    <t xml:space="preserve">Income taxes</t>
  </si>
  <si>
    <t xml:space="preserve">  Tax rate on earnings before taxes</t>
  </si>
  <si>
    <t xml:space="preserve">Comprehensive income</t>
  </si>
  <si>
    <t xml:space="preserve">Slide 3: bottom line = net income (comprehensive income)</t>
  </si>
  <si>
    <t xml:space="preserve">  of which non-controlling interests</t>
  </si>
  <si>
    <t xml:space="preserve">Statement of comprehensive income</t>
  </si>
  <si>
    <t xml:space="preserve">  of which Rheinmetall AG shareholders</t>
  </si>
  <si>
    <t xml:space="preserve">Memo: net income (earnings after taxes, as reported)</t>
  </si>
  <si>
    <t xml:space="preserve">IS</t>
  </si>
  <si>
    <t xml:space="preserve">Recurrence test for matching-principle, infrequent and '?' items (R9; Session 2 slides 21, 26)</t>
  </si>
  <si>
    <t xml:space="preserve">Rule: an item that recurs with the same sign in all three years is part of normal operations → stays in [A]/[B]; otherwise unusual (slide 26: unusual items are volatile in amount and sign)</t>
  </si>
  <si>
    <t xml:space="preserve">  Reversal of provisions (n.11)</t>
  </si>
  <si>
    <t xml:space="preserve">  Net result from disposals of non-current assets (gains n.11 + losses n.15)</t>
  </si>
  <si>
    <t xml:space="preserve">  Write-downs of receivables (n.15)</t>
  </si>
  <si>
    <t xml:space="preserve">  Impairment net of reversals (n.14, n.11)</t>
  </si>
  <si>
    <t xml:space="preserve">  Earlier-period income taxes (n.16)</t>
  </si>
  <si>
    <t xml:space="preserve">  Management special items: restructuring</t>
  </si>
  <si>
    <t xml:space="preserve">Override: recurring by the test, but Session 2 slide 31 names restructuring charges as unusual for the full amount → moved to u7d (I-46)</t>
  </si>
  <si>
    <t xml:space="preserve">  Management special items: others</t>
  </si>
  <si>
    <t xml:space="preserve">Unusual changes of usual items — trend analysis (Session 2, slides 30–32)</t>
  </si>
  <si>
    <t xml:space="preserve">R12</t>
  </si>
  <si>
    <t xml:space="preserve">Slide 31: category 2 = unusual portion of a usual line → trend analysis, not reclassification. Slide 32: growth rates and CAGR. 2024 vs 2023 not like-for-like (I-01)</t>
  </si>
  <si>
    <t xml:space="preserve">  Growth % — Net revenues</t>
  </si>
  <si>
    <t xml:space="preserve">  Growth % — Value of production</t>
  </si>
  <si>
    <t xml:space="preserve">  Growth % — Raw materials, supplies and merchandise</t>
  </si>
  <si>
    <t xml:space="preserve">  Growth % — Purchased services</t>
  </si>
  <si>
    <t xml:space="preserve">  Growth % — Other services purchased</t>
  </si>
  <si>
    <t xml:space="preserve">  Growth % — Other operating costs, not purchases</t>
  </si>
  <si>
    <t xml:space="preserve">  Growth % — Other operating income, recurring</t>
  </si>
  <si>
    <t xml:space="preserve">  Growth % — Personnel costs</t>
  </si>
  <si>
    <t xml:space="preserve">  Growth % — Depreciation and amortisation, recurring</t>
  </si>
  <si>
    <t xml:space="preserve">  Growth % — EBITDA</t>
  </si>
  <si>
    <t xml:space="preserve">  Growth % — Core operating income [A]</t>
  </si>
  <si>
    <t xml:space="preserve">  Growth % — net revenues on a comparable perimeter (2023 excl. civilian business)</t>
  </si>
  <si>
    <t xml:space="preserve">2023 as reported (AR2024, not restated) still contains the civilian business: external sales 2,081 (AR2024 p.193). 2024 is restated without it</t>
  </si>
  <si>
    <t xml:space="preserve">  R&amp;D expenses / net revenues (Abbott example, slide 30)</t>
  </si>
  <si>
    <t xml:space="preserve">2023 includes the civilian business (R&amp;D-intensive): the 2023→2024 fall is mainly a perimeter effect, not a red flag. Compare 2024→2025 only</t>
  </si>
  <si>
    <t xml:space="preserve">2025 refunds of 118 (21, 5) are mainly insurance payments for production losses at Murcia: the estimated unusual portion (97) is moved to u7e (I-18). 2025 write-downs of receivables of 33 (2, 7): flagged, kept in [A] (slide 31, category 2, no unusual portion disclosed).</t>
  </si>
  <si>
    <t xml:space="preserve">Operating Cost Structure — three reformulations (Session 3)</t>
  </si>
  <si>
    <t xml:space="preserve">1. Income statement by function (Session 3, slides 3–5)</t>
  </si>
  <si>
    <t xml:space="preserve">C1</t>
  </si>
  <si>
    <t xml:space="preserve">Needs cost of sales, selling, G&amp;A and R&amp;D costs</t>
  </si>
  <si>
    <t xml:space="preserve">  Net revenues</t>
  </si>
  <si>
    <t xml:space="preserve">  Cost of sales</t>
  </si>
  <si>
    <t xml:space="preserve">n.d.</t>
  </si>
  <si>
    <t xml:space="preserve">Not reliably determinable: presented by nature; direct labour and factory overhead are not disclosed (test below). No allocation is made (slide 4)</t>
  </si>
  <si>
    <t xml:space="preserve">  Gross profit</t>
  </si>
  <si>
    <t xml:space="preserve">  Selling costs</t>
  </si>
  <si>
    <t xml:space="preserve">  General &amp; administrative costs</t>
  </si>
  <si>
    <t xml:space="preserve">  R&amp;D costs</t>
  </si>
  <si>
    <t xml:space="preserve">  Availability test for cost of sales (C1, slide 4 — manufacturing company)</t>
  </si>
  <si>
    <t xml:space="preserve">    Presentation of the income statement</t>
  </si>
  <si>
    <t xml:space="preserve">By nature: materials, personnel, D&amp;A, other operating expenses (IS, AR2025 p.199)</t>
  </si>
  <si>
    <t xml:space="preserve">    Direct materials used, separable from other materials?</t>
  </si>
  <si>
    <t xml:space="preserve">No: note 12 gives raw materials, supplies and merchandise in one amount, and purchased services (AR2025 p.219)</t>
  </si>
  <si>
    <t xml:space="preserve">    Direct (production) labour, separable from other personnel costs?</t>
  </si>
  <si>
    <t xml:space="preserve">No: note 13 splits personnel by type (wages, social security, pensions), not by function (AR2025 p.219)</t>
  </si>
  <si>
    <t xml:space="preserve">    Factory overhead (production D&amp;A, energy, maintenance) separable?</t>
  </si>
  <si>
    <t xml:space="preserve">No: note 14 gives D&amp;A by asset class; note 15 'operating costs and maintenance' is not split by function</t>
  </si>
  <si>
    <t xml:space="preserve">    Inventory movements (finished goods, WIP) disclosed?</t>
  </si>
  <si>
    <t xml:space="preserve">Yes: note 10 (change in inventories) and note 23 (inventories)</t>
  </si>
  <si>
    <t xml:space="preserve">    Retail formula (merchandise purchases ± merchandise inventory)</t>
  </si>
  <si>
    <t xml:space="preserve">Not applicable: manufacturing company</t>
  </si>
  <si>
    <t xml:space="preserve">    Decision</t>
  </si>
  <si>
    <t xml:space="preserve">Cost of sales and gross profit not reliably determinable without material assumptions → n.d. (no allocation key used)</t>
  </si>
  <si>
    <t xml:space="preserve">  Memo: R&amp;D costs recognised as expenses (inside the costs by nature)</t>
  </si>
  <si>
    <t xml:space="preserve">Management report / n.18. 2023 on the old perimeter</t>
  </si>
  <si>
    <t xml:space="preserve">    R&amp;D expenses / net revenues</t>
  </si>
  <si>
    <t xml:space="preserve">2. External vs internal costs (Session 3, slides 6–8) — % of value of production</t>
  </si>
  <si>
    <t xml:space="preserve">C2</t>
  </si>
  <si>
    <t xml:space="preserve">Base = value of production (slide 19, base b)</t>
  </si>
  <si>
    <t xml:space="preserve">  Value of production</t>
  </si>
  <si>
    <t xml:space="preserve">  Raw materials, supplies and merchandise</t>
  </si>
  <si>
    <t xml:space="preserve">  Purchased services</t>
  </si>
  <si>
    <t xml:space="preserve">  Other services purchased from third parties</t>
  </si>
  <si>
    <t xml:space="preserve">  Rounding in note breakdowns</t>
  </si>
  <si>
    <t xml:space="preserve">  Added value</t>
  </si>
  <si>
    <t xml:space="preserve">  Other operating income, recurring</t>
  </si>
  <si>
    <t xml:space="preserve">  Other operating costs, not purchases</t>
  </si>
  <si>
    <t xml:space="preserve">  Rounding difference to the printed EBIT</t>
  </si>
  <si>
    <t xml:space="preserve">  Personnel costs</t>
  </si>
  <si>
    <t xml:space="preserve">  Incidental personnel costs</t>
  </si>
  <si>
    <t xml:space="preserve">  EBITDA</t>
  </si>
  <si>
    <t xml:space="preserve">  Net interest on pensions</t>
  </si>
  <si>
    <t xml:space="preserve">  Depreciation and amortisation, recurring</t>
  </si>
  <si>
    <t xml:space="preserve">  Core operating income [A]</t>
  </si>
  <si>
    <t xml:space="preserve">  External costs (purchases from third parties) / value of production — degree of externalisation</t>
  </si>
  <si>
    <t xml:space="preserve">Slide 6: degree of externalisation of the cost structure (purchases only)</t>
  </si>
  <si>
    <t xml:space="preserve">3. Variable vs fixed costs (Session 3, slides 12–15) — analyst classification by nature: ILLUSTRATIVE ESTIMATE (slide 14)</t>
  </si>
  <si>
    <t xml:space="preserve">C3</t>
  </si>
  <si>
    <t xml:space="preserve">Variable = varies with volume; fixed = independent of volume in the short term (slide 12). No volume data: DOL, MOS and break-even are indicative only</t>
  </si>
  <si>
    <t xml:space="preserve">    Raw materials, supplies and merchandise — VARIABLE (high confidence)</t>
  </si>
  <si>
    <t xml:space="preserve">Driver: production volume. Slide 12: raw materials consumption</t>
  </si>
  <si>
    <t xml:space="preserve">    Purchased services — MIXED, assumed predominantly variable (medium)</t>
  </si>
  <si>
    <t xml:space="preserve">Driver: production volume (subcontracting). Note 12 does not prove proportionality: assumption</t>
  </si>
  <si>
    <t xml:space="preserve">    Warranties — MIXED, assumed variable (medium)</t>
  </si>
  <si>
    <t xml:space="preserve">Driver: units delivered; may include provision movements (note 15)</t>
  </si>
  <si>
    <t xml:space="preserve">    Patent and licensing fees — MIXED, assumed variable (low)</t>
  </si>
  <si>
    <t xml:space="preserve">Slide 12 names royalties; not all licence fees are unit-based (note 15)</t>
  </si>
  <si>
    <t xml:space="preserve">  Variable costs (assumed)</t>
  </si>
  <si>
    <t xml:space="preserve">Contribution margin (indicative)</t>
  </si>
  <si>
    <t xml:space="preserve">Slide 12</t>
  </si>
  <si>
    <t xml:space="preserve">  Contribution margin %</t>
  </si>
  <si>
    <t xml:space="preserve">    Personnel costs incl. incidental personnel costs — FIXED (assumption, medium)</t>
  </si>
  <si>
    <t xml:space="preserve">Slide 12: fixed example, but labour can vary with volume in a manufacturing business</t>
  </si>
  <si>
    <t xml:space="preserve">    Depreciation and amortisation, recurring — FIXED (high)</t>
  </si>
  <si>
    <t xml:space="preserve">    Other purchased services excl. licence fees — FIXED/MIXED (medium)</t>
  </si>
  <si>
    <t xml:space="preserve">Maintenance, IT, distribution &amp; advertising, administration, travel, insurance, consulting, rents: mostly fixed in the short term; some volume-linked parts not disclosed</t>
  </si>
  <si>
    <t xml:space="preserve">    Other operating costs, not purchases, excl. warranties — FIXED (medium)</t>
  </si>
  <si>
    <t xml:space="preserve">Provisions, receivable write-downs, disposal losses, other taxes, miscellaneous</t>
  </si>
  <si>
    <t xml:space="preserve">    Net interest on pensions — FIXED</t>
  </si>
  <si>
    <t xml:space="preserve">  Fixed costs (assumed)</t>
  </si>
  <si>
    <t xml:space="preserve">  Bridge items — not classified as variable or fixed (insufficient evidence)</t>
  </si>
  <si>
    <t xml:space="preserve">    Change in inventories of finished and unfinished products</t>
  </si>
  <si>
    <t xml:space="preserve">Valued at full production cost (materials, labour, production overhead incl. depreciation): cannot be treated as 100% variable</t>
  </si>
  <si>
    <t xml:space="preserve">    Own work capitalised</t>
  </si>
  <si>
    <t xml:space="preserve">Composition (labour, materials, overhead) not disclosed</t>
  </si>
  <si>
    <t xml:space="preserve">    Other operating income, recurring</t>
  </si>
  <si>
    <t xml:space="preserve">Income, not a negative cost</t>
  </si>
  <si>
    <t xml:space="preserve">    Rounding differences</t>
  </si>
  <si>
    <t xml:space="preserve">Reconciliation only</t>
  </si>
  <si>
    <t xml:space="preserve">  Bridge items</t>
  </si>
  <si>
    <t xml:space="preserve">Core operating income [A] = CM + fixed costs + bridge items</t>
  </si>
  <si>
    <t xml:space="preserve">Must equal [A] in the reformulated income statement</t>
  </si>
  <si>
    <t xml:space="preserve">  Degree of operating leverage (DOL) = CM / [A]</t>
  </si>
  <si>
    <t xml:space="preserve">Slide 13</t>
  </si>
  <si>
    <t xml:space="preserve">  Margin of safety (MOS) = [A] / CM</t>
  </si>
  <si>
    <t xml:space="preserve">Slide 13: % fall in revenues to break-even</t>
  </si>
  <si>
    <t xml:space="preserve">  Break-even revenues = (fixed costs net of bridge items) / CM %</t>
  </si>
  <si>
    <t xml:space="preserve">Slide 13; bridge items treated as volume-independent for this indicative figure</t>
  </si>
  <si>
    <t xml:space="preserve">  Observed elasticity = %Δ[A] / %Δ net revenues</t>
  </si>
  <si>
    <t xml:space="preserve">Slide 13: compare with DOL of the prior year. 2024 vs 2023 is mostly a perimeter effect (civilian business in 2023)</t>
  </si>
  <si>
    <t xml:space="preserve">  Test: predicted %Δ[A] = DOL(T−1) × %Δ net revenues</t>
  </si>
  <si>
    <t xml:space="preserve">Slide 13: %ΔOI = %ΔNR × DOL. A large gap to the actual change shows the fixed/variable split does not hold (volume, price and mix effects; slide 14)</t>
  </si>
  <si>
    <t xml:space="preserve">  Actual %Δ[A]</t>
  </si>
  <si>
    <t xml:space="preserve">2024 vs 2023 not like-for-like (civilian business in 2023)</t>
  </si>
  <si>
    <t xml:space="preserve">Common-size analysis — % of net revenues (Session 3, slides 19–20)</t>
  </si>
  <si>
    <t xml:space="preserve">C4</t>
  </si>
  <si>
    <t xml:space="preserve">Base a) = net revenues. Base b) = value of production is in lens 2 above</t>
  </si>
  <si>
    <t xml:space="preserve">  Core operating income [A] (ROS)</t>
  </si>
  <si>
    <t xml:space="preserve">  Base c) total cost of sales</t>
  </si>
  <si>
    <t xml:space="preserve">n.d.: not reliably determinable, income statement by nature (lens 1, C1)</t>
  </si>
  <si>
    <t xml:space="preserve">  Base d) total manufacturing cost</t>
  </si>
  <si>
    <t xml:space="preserve">n.d.: production costs are not separated from selling and administrative costs (C1 availability test)</t>
  </si>
  <si>
    <t xml:space="preserve">Choice of base (slide 20): the value-of-production base neutralises the inventory build-up (2023: +607, 8.5% of revenues), so it is used for cost-efficiency comparisons; net revenues are used for margins. E.g. materials 2023: 40.2% of revenues vs 36.6% of value of production.</t>
  </si>
  <si>
    <t xml:space="preserve">Income-statement ratios (Session 3, slide 16) and EBITA (slides 17–18)</t>
  </si>
  <si>
    <t xml:space="preserve">C5</t>
  </si>
  <si>
    <t xml:space="preserve">  EBITA = [A] before PPA amortisation</t>
  </si>
  <si>
    <t xml:space="preserve">Slide 17: excludes amortisation of acquired intangibles (Leonardo, slide 18)</t>
  </si>
  <si>
    <t xml:space="preserve">  EBITDAR — analytical proxy = EBITDA + rents, leases and ancillary costs</t>
  </si>
  <si>
    <t xml:space="preserve">Slide 9. Proxy: the note-15 line also contains ancillary costs, so pure rent cannot be isolated</t>
  </si>
  <si>
    <t xml:space="preserve">  EBITDAaL-style analytical measure = EBITDA − right-of-use depreciation − lease interest</t>
  </si>
  <si>
    <t xml:space="preserve">Slide 11 (Vodafone)</t>
  </si>
  <si>
    <t xml:space="preserve">  Gross profit / net revenues</t>
  </si>
  <si>
    <t xml:space="preserve">n.d. (by nature)</t>
  </si>
  <si>
    <t xml:space="preserve">  EBITDA / value of production</t>
  </si>
  <si>
    <t xml:space="preserve">  EBITDA / added value</t>
  </si>
  <si>
    <t xml:space="preserve">Efficiency in staff utilisation (slide 7)</t>
  </si>
  <si>
    <t xml:space="preserve">  EBITDAR margin</t>
  </si>
  <si>
    <t xml:space="preserve">  EBITDAaL margin</t>
  </si>
  <si>
    <t xml:space="preserve">  EBITA margin</t>
  </si>
  <si>
    <t xml:space="preserve">  Return on sales = operating income [A+B] / net revenues</t>
  </si>
  <si>
    <t xml:space="preserve">  Times interest earned = reported EBIT / interest expenses</t>
  </si>
  <si>
    <t xml:space="preserve">Reported figures</t>
  </si>
  <si>
    <t xml:space="preserve">  EBITDA / interest expenses</t>
  </si>
  <si>
    <t xml:space="preserve">  (EBIT + rents) / (rents + interest expenses)</t>
  </si>
  <si>
    <t xml:space="preserve">Fixed-charge coverage (slide 16)</t>
  </si>
  <si>
    <t xml:space="preserve">  Degree of operating leverage = CM / operating income</t>
  </si>
  <si>
    <t xml:space="preserve">  Margin of safety = operating income / CM</t>
  </si>
  <si>
    <t xml:space="preserve">  Tax effect ratio = comprehensive income / EBT</t>
  </si>
  <si>
    <t xml:space="preserve">Reformulated figures</t>
  </si>
  <si>
    <t xml:space="preserve">  Tax rate ratio = income taxes / EBT</t>
  </si>
  <si>
    <t xml:space="preserve">Managerial Balance Sheet (Session 4)</t>
  </si>
  <si>
    <t xml:space="preserve">Current operating assets</t>
  </si>
  <si>
    <t xml:space="preserve">B2</t>
  </si>
  <si>
    <t xml:space="preserve">Slide 8: inventory, receivables, accrued revenues, prepaid expenses</t>
  </si>
  <si>
    <t xml:space="preserve">  Inventories</t>
  </si>
  <si>
    <t xml:space="preserve">BS</t>
  </si>
  <si>
    <t xml:space="preserve">  Contract assets</t>
  </si>
  <si>
    <t xml:space="preserve">BS / note 9: accrued revenues on customer contracts</t>
  </si>
  <si>
    <t xml:space="preserve">  Trade receivables</t>
  </si>
  <si>
    <t xml:space="preserve">  Other current assets (operating)</t>
  </si>
  <si>
    <t xml:space="preserve">BS less current securities (note 24): other taxes, prepaid expenses, other receivables, derivatives (hedge operating FX and commodity risks → operating by destination), finance lease receivables (immaterial, I-39)</t>
  </si>
  <si>
    <t xml:space="preserve">  Income tax receivables</t>
  </si>
  <si>
    <t xml:space="preserve">B7</t>
  </si>
  <si>
    <t xml:space="preserve">BS. Slide 18 option 2: tax assets in current operating assets</t>
  </si>
  <si>
    <t xml:space="preserve">  Deferred tax assets</t>
  </si>
  <si>
    <t xml:space="preserve">BS. Slide 18 option 2</t>
  </si>
  <si>
    <t xml:space="preserve">NOTE: decided not to classify 0.5% cash as operating as it only affects 3% of total cash and does not influence the ROI/RONA and ROE decomposition substantially</t>
  </si>
  <si>
    <t xml:space="preserve">Operating liabilities (always 'current': related to the recurring operating cycle, slide 15)</t>
  </si>
  <si>
    <t xml:space="preserve">B3</t>
  </si>
  <si>
    <t xml:space="preserve">Slide 8: A/P, employee benefits, accrued expenses, deferred revenues, provisions</t>
  </si>
  <si>
    <t xml:space="preserve">  Trade liabilities</t>
  </si>
  <si>
    <t xml:space="preserve">  Contract liabilities (customer advances)</t>
  </si>
  <si>
    <t xml:space="preserve">BS / note 9: deferred revenues</t>
  </si>
  <si>
    <t xml:space="preserve">  Other provisions (current and non-current), excl. structural measures</t>
  </si>
  <si>
    <t xml:space="preserve">BS / note 28: personnel, warranties, identifiable losses, contract-related costs, other (slide 8). Structural-measure provisions moved to B5 (b): coherent with restructuring costs as unusual items (I-40)</t>
  </si>
  <si>
    <t xml:space="preserve">  Provisions for pensions</t>
  </si>
  <si>
    <t xml:space="preserve">BS / note 27: employee benefits (slide 8). Coherent with pension interest in operating costs (R4)</t>
  </si>
  <si>
    <t xml:space="preserve">  Other liabilities (current and non-current)</t>
  </si>
  <si>
    <t xml:space="preserve">BS / note 30: other taxes, social security, employees, derivatives (operating hedges), other financial liabilities — not interest-bearing. Acquisition-related items (e.g. Expal price adjustment 2023) immaterial (slide 19, I-38)</t>
  </si>
  <si>
    <t xml:space="preserve">  Income tax liabilities</t>
  </si>
  <si>
    <t xml:space="preserve">  Deferred tax liabilities</t>
  </si>
  <si>
    <t xml:space="preserve">Operating liabilities</t>
  </si>
  <si>
    <t xml:space="preserve">NOTE: classified both tax assets and liabilities as operating, a discretionary choice although precise nature of these tax items is not inferrable.</t>
  </si>
  <si>
    <t xml:space="preserve">Net operating working capital (NOWC)</t>
  </si>
  <si>
    <t xml:space="preserve">B4</t>
  </si>
  <si>
    <t xml:space="preserve">Slide 9 (1): current operating assets − operating liabilities. Can be negative (slide 15)</t>
  </si>
  <si>
    <t xml:space="preserve">Non-current operating assets</t>
  </si>
  <si>
    <t xml:space="preserve">Slide 8: tangible and intangible assets</t>
  </si>
  <si>
    <t xml:space="preserve">  Goodwill</t>
  </si>
  <si>
    <t xml:space="preserve">BS / note 18</t>
  </si>
  <si>
    <t xml:space="preserve">  Other intangible assets</t>
  </si>
  <si>
    <t xml:space="preserve">  Right-of-use assets</t>
  </si>
  <si>
    <t xml:space="preserve">BS / note 19: leased operating assets (lease liability is financial debt)</t>
  </si>
  <si>
    <t xml:space="preserve">  Property, plant and equipment</t>
  </si>
  <si>
    <t xml:space="preserve">BS / note 20</t>
  </si>
  <si>
    <t xml:space="preserve">  Investment property</t>
  </si>
  <si>
    <t xml:space="preserve">BS / note 21. Slide 8 option: operating asset. Rental income is not disclosed separately and is immaterial (IP ≤ €20m); if material, test its income for [B] (Session 2 slide 3)</t>
  </si>
  <si>
    <t xml:space="preserve">  Other non-current assets (operating)</t>
  </si>
  <si>
    <t xml:space="preserve">BS less bonds (note 24): pension plan surplus (operating, coherent with pensions), contract costs, derivatives (operating hedges), other receivables, finance lease receivables (immaterial, I-39)</t>
  </si>
  <si>
    <t xml:space="preserve">Net operating invested capital</t>
  </si>
  <si>
    <t xml:space="preserve">Slide 9 (3): NOWC + non-current operating assets</t>
  </si>
  <si>
    <t xml:space="preserve">Non-operating assets ('surplus' assets) — three classes</t>
  </si>
  <si>
    <t xml:space="preserve">B5</t>
  </si>
  <si>
    <t xml:space="preserve">Slide 8 and Session 2 slide 3. Only class (c) is financial and enters NFO (slide 13)</t>
  </si>
  <si>
    <t xml:space="preserve">  (a) Non-core: investments accounted for using the equity method</t>
  </si>
  <si>
    <t xml:space="preserve">BS / note 22. Investee-by-investee test (I-41): KOLBENHÖFE (real estate), 4iG (telecom/IT), HASCO (automotive, civilian) — none part of the core defence business → non-core; result in [B] (R6)</t>
  </si>
  <si>
    <t xml:space="preserve">  (a) Non-core: shares in Shriram Pistons &amp; Rings (reported in current securities)</t>
  </si>
  <si>
    <t xml:space="preserve">Note 24. Industrial stake at fair value from the civilian business, not a liquidity investment → non-core, not financial</t>
  </si>
  <si>
    <t xml:space="preserve">  (b) Other non-operating: less provisions for structural measures (restructuring)</t>
  </si>
  <si>
    <t xml:space="preserve">Note 28. The related expense is unusual (u7d), so the obligation does not belong to the recurring operating cycle (Session 2 slide 3 coherence; Session 4 slide 19 option: separate non-normal items). Includes partial-retirement obligations (not split in the note)</t>
  </si>
  <si>
    <t xml:space="preserve">  (b) Other non-operating: net assets held for sale</t>
  </si>
  <si>
    <t xml:space="preserve">BS / note 8. Slide 19 option 1: assets held for sale net of related liabilities. A disposal group, not a financial asset</t>
  </si>
  <si>
    <t xml:space="preserve">  Non-core and other non-operating assets (a + b)</t>
  </si>
  <si>
    <t xml:space="preserve">Non-financial: stay outside NOIC and outside NFO</t>
  </si>
  <si>
    <t xml:space="preserve">  (c) Financial: long-term financial assets (bonds)</t>
  </si>
  <si>
    <t xml:space="preserve">Note 24. Long-term financial assets (slide 13, point 2); deducted in NFO</t>
  </si>
  <si>
    <t xml:space="preserve">Non-operating assets</t>
  </si>
  <si>
    <t xml:space="preserve">  Reconciliation: rounding differences in the printed balance sheet (assets)</t>
  </si>
  <si>
    <t xml:space="preserve">B6b</t>
  </si>
  <si>
    <t xml:space="preserve">Printing differences are not operating items: kept outside every economic class so NOWC and NOIC are unaffected; kept so the BS ties to printed totals</t>
  </si>
  <si>
    <t xml:space="preserve">  Reconciliation: less rounding differences in the printed balance sheet (liabilities)</t>
  </si>
  <si>
    <t xml:space="preserve">As above, equity and liabilities side</t>
  </si>
  <si>
    <t xml:space="preserve">Net invested capital</t>
  </si>
  <si>
    <t xml:space="preserve">Operating + non-operating invested capital (+ rounding reconciliation)</t>
  </si>
  <si>
    <t xml:space="preserve">Financed by: net financial position</t>
  </si>
  <si>
    <t xml:space="preserve">B6</t>
  </si>
  <si>
    <t xml:space="preserve">Slide 12: financial debts − cash − short-term financial assets</t>
  </si>
  <si>
    <t xml:space="preserve">  Non-current financial debts</t>
  </si>
  <si>
    <t xml:space="preserve">BS / note 29</t>
  </si>
  <si>
    <t xml:space="preserve">  Current financial debts</t>
  </si>
  <si>
    <t xml:space="preserve">    of which lease liabilities</t>
  </si>
  <si>
    <t xml:space="preserve">Note 29: leasing is part of financial debts</t>
  </si>
  <si>
    <t xml:space="preserve">  Less: cash and cash equivalents</t>
  </si>
  <si>
    <t xml:space="preserve">BS / note 25. Working cash cannot be estimated reliably from public disclosures (slide 11: 'difficult' for non-retail) → option 1: all cash financial</t>
  </si>
  <si>
    <t xml:space="preserve">  Less: short-term financial assets (securities held for trade)</t>
  </si>
  <si>
    <t xml:space="preserve">BS / note 25 (AR2023)</t>
  </si>
  <si>
    <t xml:space="preserve">Net financial position (NFP)</t>
  </si>
  <si>
    <t xml:space="preserve">Slide 12. Negative = net liquidity. Coherent with net financial expenses [C] (R7)</t>
  </si>
  <si>
    <t xml:space="preserve">  Equity attributable to Rheinmetall AG shareholders</t>
  </si>
  <si>
    <t xml:space="preserve">B8</t>
  </si>
  <si>
    <t xml:space="preserve">BS / note 26</t>
  </si>
  <si>
    <t xml:space="preserve">  Non-controlling interests</t>
  </si>
  <si>
    <t xml:space="preserve">BS. Base convention (slide 26): NCI in equity. The debt-like view is not applied: no evidence that minorities act as a financial partner (small, no regular dividend pressure disclosed)</t>
  </si>
  <si>
    <t xml:space="preserve">Net equity</t>
  </si>
  <si>
    <t xml:space="preserve">Net financial position + net equity</t>
  </si>
  <si>
    <t xml:space="preserve">Must equal net invested capital</t>
  </si>
  <si>
    <t xml:space="preserve">Metrics (Session 4, slides 9, 12, 25–28)</t>
  </si>
  <si>
    <t xml:space="preserve">B9</t>
  </si>
  <si>
    <t xml:space="preserve">  Gross operating invested capital = current + non-current operating assets</t>
  </si>
  <si>
    <t xml:space="preserve">Slide 9 (2)</t>
  </si>
  <si>
    <t xml:space="preserve">  Operating liability leverage = operating liabilities / gross operating invested capital</t>
  </si>
  <si>
    <t xml:space="preserve">Session 5 slide 6</t>
  </si>
  <si>
    <t xml:space="preserve">  Net financial obligations (NFO) = NFP − long-term financial assets (c)</t>
  </si>
  <si>
    <t xml:space="preserve">Slides 12–13: financial liabilities − ALL financial assets (short + long-term). Only financial assets are deducted: equity-method stakes and held-for-sale net assets are not financial (I-37)</t>
  </si>
  <si>
    <t xml:space="preserve">  Net operating assets (NOA) = NOIC + non-core and other non-operating assets (a + b)</t>
  </si>
  <si>
    <t xml:space="preserve">Session 6 slide 10: the non-financial non-operating assets join the operating side when NFO replaces NFP</t>
  </si>
  <si>
    <t xml:space="preserve">    Check: NOA + rounding − NFO − net equity (must be 0)</t>
  </si>
  <si>
    <t xml:space="preserve">  Net short-term financial debt = current financial debts − cash − ST financial assets</t>
  </si>
  <si>
    <t xml:space="preserve">  NOWC / net revenues</t>
  </si>
  <si>
    <t xml:space="preserve">Slides 15–16: focus on the change of NOWC</t>
  </si>
  <si>
    <t xml:space="preserve">  ΔNOWC / Δnet revenues</t>
  </si>
  <si>
    <t xml:space="preserve">Perimeter-affected: 2024 BS still holds the civilian business (IS restated); 2025 BS moves it to held for sale (I-42)</t>
  </si>
  <si>
    <t xml:space="preserve">  Debt-to-equity = (operating + financial liabilities) / net equity</t>
  </si>
  <si>
    <t xml:space="preserve">Slide 25 (1), managerial definition: excludes liabilities held for sale (netted in B5) (I-43)</t>
  </si>
  <si>
    <t xml:space="preserve">    Memo: reported total liabilities / net equity</t>
  </si>
  <si>
    <t xml:space="preserve">Reported basis, incl. liabilities held for sale: a different ratio, shown for reference only</t>
  </si>
  <si>
    <t xml:space="preserve">  Financial debt-to-equity = financial debts / net equity</t>
  </si>
  <si>
    <t xml:space="preserve">Slide 25 (2)</t>
  </si>
  <si>
    <t xml:space="preserve">  Debt-to-assets = reported total liabilities / reported total assets</t>
  </si>
  <si>
    <t xml:space="preserve">Slide 25 (3) leaves numerator and denominator open ('Debt ? / Total Assets ?'): reported basis on both sides, so they are consistent</t>
  </si>
  <si>
    <t xml:space="preserve">  NFP / net equity</t>
  </si>
  <si>
    <t xml:space="preserve">Slide 25 (4); benchmark NFP/NE ≤ 3 (slide 12)</t>
  </si>
  <si>
    <t xml:space="preserve">  NFO / net equity</t>
  </si>
  <si>
    <t xml:space="preserve">Slide 25 (5)</t>
  </si>
  <si>
    <t xml:space="preserve">  NFP / EBITDA</t>
  </si>
  <si>
    <t xml:space="preserve">Slide 12: covenant benchmark NFP/EBITDA ≤ 4</t>
  </si>
  <si>
    <t xml:space="preserve">  Financial leverage = financial debts / parent equity</t>
  </si>
  <si>
    <t xml:space="preserve">Slide 27</t>
  </si>
  <si>
    <t xml:space="preserve">  Shareholding leverage = NCI / parent equity</t>
  </si>
  <si>
    <t xml:space="preserve">  Adjusted total assets = total assets − goodwill</t>
  </si>
  <si>
    <t xml:space="preserve">Slide 28</t>
  </si>
  <si>
    <t xml:space="preserve">  Tangible net equity = net equity − goodwill</t>
  </si>
  <si>
    <t xml:space="preserve">ROI and ROE Decompositions (Sessions 5–6)</t>
  </si>
  <si>
    <t xml:space="preserve">Balance-sheet basis (END = year-end, AVG = average)</t>
  </si>
  <si>
    <t xml:space="preserve">P0</t>
  </si>
  <si>
    <t xml:space="preserve">END</t>
  </si>
  <si>
    <t xml:space="preserve">Input. The slide examples use year-end amounts (Session 5 slides 7–8; Session 6 slides 13–18); type AVG to switch every denominator</t>
  </si>
  <si>
    <t xml:space="preserve">Balance-sheet amounts used as denominators</t>
  </si>
  <si>
    <t xml:space="preserve">From the managerial balance sheet above (Part 4); same basis for every ratio</t>
  </si>
  <si>
    <t xml:space="preserve">  Total assets</t>
  </si>
  <si>
    <t xml:space="preserve">Reported Financials: total assets</t>
  </si>
  <si>
    <t xml:space="preserve">  Total liabilities (total assets − net equity)</t>
  </si>
  <si>
    <t xml:space="preserve">Operating + financial liabilities + liabilities held for sale</t>
  </si>
  <si>
    <t xml:space="preserve">  Net equity (incl. non-controlling interests)</t>
  </si>
  <si>
    <t xml:space="preserve">  Gross operating invested capital</t>
  </si>
  <si>
    <t xml:space="preserve">Current + non-current operating assets (Session 4 slide 9 (2))</t>
  </si>
  <si>
    <t xml:space="preserve">  Operating liabilities</t>
  </si>
  <si>
    <t xml:space="preserve">  Net operating invested capital (NOIC)</t>
  </si>
  <si>
    <t xml:space="preserve">  Non-operating assets</t>
  </si>
  <si>
    <t xml:space="preserve">  Net invested capital</t>
  </si>
  <si>
    <t xml:space="preserve">NOIC + non-operating assets</t>
  </si>
  <si>
    <t xml:space="preserve">  Non-operating assets that earn [B] (equity-method and other stakes + long-term financial assets)</t>
  </si>
  <si>
    <t xml:space="preserve">B5 classes (a) + (c). Class (b) excluded: held-for-sale net assets and restructuring provisions earn no [B] (their results are unusual items)</t>
  </si>
  <si>
    <t xml:space="preserve">  Financial liabilities (financial debts)</t>
  </si>
  <si>
    <t xml:space="preserve">B6: non-current + current financial debts</t>
  </si>
  <si>
    <t xml:space="preserve">  Cash and short-term financial assets</t>
  </si>
  <si>
    <t xml:space="preserve">  Net financial position (NFP)</t>
  </si>
  <si>
    <t xml:space="preserve">  Net financial obligations (NFO) = NFP − long-term financial assets</t>
  </si>
  <si>
    <t xml:space="preserve">Session 4 slide 13: financial liabilities − all financial assets (only financial ones)</t>
  </si>
  <si>
    <t xml:space="preserve">  Non-core and other non-operating assets (non-financial)</t>
  </si>
  <si>
    <t xml:space="preserve">B5 (a) + (b): equity-method stakes, Shriram stake, net assets held for sale</t>
  </si>
  <si>
    <t xml:space="preserve">  Net operating assets (NOA) = NOIC + non-financial non-operating assets</t>
  </si>
  <si>
    <t xml:space="preserve">Session 6 slide 10: the area financed by NFO + net equity</t>
  </si>
  <si>
    <t xml:space="preserve">  Net operating working capital (NOWC)</t>
  </si>
  <si>
    <t xml:space="preserve">  Tangible assets (PP&amp;E + right-of-use assets)</t>
  </si>
  <si>
    <t xml:space="preserve">Session 5 slide 10: fixed (tangible) assets; right-of-use assets are leased buildings and equipment</t>
  </si>
  <si>
    <t xml:space="preserve">  Tangible and intangible assets (incl. goodwill)</t>
  </si>
  <si>
    <t xml:space="preserve">Session 5 slide 10: long-term productive assets</t>
  </si>
  <si>
    <t xml:space="preserve">B2 (trademarks are not disclosed separately in note 18)</t>
  </si>
  <si>
    <t xml:space="preserve">  Accumulated amortisation, depreciation and impairment</t>
  </si>
  <si>
    <t xml:space="preserve">Notes 18–21 (Reported Financials, notes to the balance sheet)</t>
  </si>
  <si>
    <t xml:space="preserve">  Gross invested capital (gross operating IC + non-operating assets that earn [B])</t>
  </si>
  <si>
    <t xml:space="preserve">Session 5 slide 5: total (gross) invested capital. Excludes cash and ST financial assets (netted in NFP; financial income is not in the numerator either), so it differs from total assets (slide 4: 'invested capital or total assets'), and excludes B5 class (b) (I-47)</t>
  </si>
  <si>
    <t xml:space="preserve">  Net invested capital for ROI (NOIC + non-operating assets that earn [B])</t>
  </si>
  <si>
    <t xml:space="preserve">Numerator–denominator coherence (Session 2 slide 3): class (b) is left out because its result is outside [A+B] (I-47)</t>
  </si>
  <si>
    <t xml:space="preserve">Return on investment (Session 5)</t>
  </si>
  <si>
    <t xml:space="preserve">ROA = net income / total assets</t>
  </si>
  <si>
    <t xml:space="preserve">P1</t>
  </si>
  <si>
    <t xml:space="preserve">Slide 3: ROA uses net income (reported earnings after taxes) and total assets</t>
  </si>
  <si>
    <t xml:space="preserve">Gross ROI (slides 5 and 7)</t>
  </si>
  <si>
    <t xml:space="preserve">P2</t>
  </si>
  <si>
    <t xml:space="preserve">Operating income [A+B] / (gross operating invested capital + non-operating assets)</t>
  </si>
  <si>
    <t xml:space="preserve">  Core operating profitability = [A] / gross operating invested capital</t>
  </si>
  <si>
    <t xml:space="preserve">Slide 5 ratio 1 (from sales)</t>
  </si>
  <si>
    <t xml:space="preserve">  × weight: gross operating invested capital / gross invested capital</t>
  </si>
  <si>
    <t xml:space="preserve">  Non-core operating profitability = [B] / non-operating assets that earn [B]</t>
  </si>
  <si>
    <t xml:space="preserve">Slide 5 ratio 2</t>
  </si>
  <si>
    <t xml:space="preserve">  × weight: non-operating assets that earn [B] / gross invested capital</t>
  </si>
  <si>
    <t xml:space="preserve">Gross ROI = operating income [A+B] / gross invested capital</t>
  </si>
  <si>
    <t xml:space="preserve">Must equal (core × weight) + (non-core × weight). Gross IC ≠ total assets: cash, ST financial assets and class (b) are outside (see P0)</t>
  </si>
  <si>
    <t xml:space="preserve">  Memo: gross ROI on total assets (incl. cash) = ([A+B] + interest income) / total assets</t>
  </si>
  <si>
    <t xml:space="preserve">Slide 4 alternative ('invested capital or total assets'). Shown for reference; the main figure is the line above</t>
  </si>
  <si>
    <t xml:space="preserve">Why we leave cash out of invested capital: slide 4 defines gross ROI as operating income over 'invested capital (or total assets)'. In the slide example the two are the same because the company holds no cash, but Rheinmetall ended 2025 with €1,650m of cash and cash equivalents (AR2025, financial position, p.60). We treat cash as part of the net financial position, and the interest it earns sits in net financial expenses [C], not in operating income [A+B]. Putting cash in the denominator without its income in the numerator would mix two things and understate the operating return, so we keep the line above as our main figure and show the total-assets version only as a check.</t>
  </si>
  <si>
    <t xml:space="preserve">Net ROI (slides 6–8)</t>
  </si>
  <si>
    <t xml:space="preserve">P3</t>
  </si>
  <si>
    <t xml:space="preserve">Operating liabilities are always subtracted from the core operating assets (slide 6)</t>
  </si>
  <si>
    <t xml:space="preserve">  Core (net) operating profitability, RONA = [A] / NOIC</t>
  </si>
  <si>
    <t xml:space="preserve">Slide 6 ratio 1: the typical RONA</t>
  </si>
  <si>
    <t xml:space="preserve">  × weight: NOIC / net invested capital for ROI</t>
  </si>
  <si>
    <t xml:space="preserve">Slide 6 ratio 2</t>
  </si>
  <si>
    <t xml:space="preserve">  × weight: non-operating assets that earn [B] / net invested capital for ROI</t>
  </si>
  <si>
    <t xml:space="preserve">Net ROI = operating income [A+B] / net invested capital for ROI</t>
  </si>
  <si>
    <t xml:space="preserve">Must equal (core × weight) + (non-core × weight)</t>
  </si>
  <si>
    <t xml:space="preserve">Reading (ROI): Rheinmetall's returns come almost entirely from its core defence business. Core operating assets carry 95–98% of the weight in both gross and net ROI, while non-core income is slightly negative in every year ([B] = −7 / −42 / −21, mainly losses from equity-accounted investees and a negative other financial result, notes 22 and 16). Non-core investments are therefore a small drag, not a driver. Net ROI rises from 17.7% (2023) to 22.0% (2024) and 32.8% (2025) and moves almost one-for-one with RONA, so the RONA drivers below explain the whole story.</t>
  </si>
  <si>
    <t xml:space="preserve">Decomposition of core net ROI (slide 8; Session 6 slides 11 and 14)</t>
  </si>
  <si>
    <t xml:space="preserve">P4</t>
  </si>
  <si>
    <t xml:space="preserve">RONA = ROS × assets turnover × gross / net operating invested capital</t>
  </si>
  <si>
    <t xml:space="preserve">  Return on sales (ROS) = [A] / net revenues</t>
  </si>
  <si>
    <t xml:space="preserve">Slide 5: core operating income is generated by sales (coherent numerator and denominator)</t>
  </si>
  <si>
    <t xml:space="preserve">  × assets turnover = net revenues / gross operating invested capital</t>
  </si>
  <si>
    <t xml:space="preserve">Slide 15</t>
  </si>
  <si>
    <t xml:space="preserve">  × gross / net operating invested capital</t>
  </si>
  <si>
    <t xml:space="preserve">Slide 6: higher than 1 when there are operating liabilities</t>
  </si>
  <si>
    <t xml:space="preserve">    Operating liability leverage = operating liabilities / gross operating invested capital</t>
  </si>
  <si>
    <t xml:space="preserve">Slide 6; Session 6 slide 10</t>
  </si>
  <si>
    <t xml:space="preserve">    1 / (1 − operating liability leverage)</t>
  </si>
  <si>
    <t xml:space="preserve">Slide 6: must equal gross / net above</t>
  </si>
  <si>
    <t xml:space="preserve">RONA = ROS × assets turnover × gross / net</t>
  </si>
  <si>
    <t xml:space="preserve">Must equal [A] / NOIC above</t>
  </si>
  <si>
    <t xml:space="preserve">  Memo: return on gross operating invested capital = ROS × assets turnover</t>
  </si>
  <si>
    <t xml:space="preserve">Session 6 slide 31: the 'operating' part before the operating-liability benefit</t>
  </si>
  <si>
    <t xml:space="preserve">  Memo 2024: [A] + civilian-business EBIT (as originally reported) / NOIC — indicative</t>
  </si>
  <si>
    <t xml:space="preserve">IFRS 5 restates the 2024 income statement (civilian business → discontinued) but not the 2024 balance sheet: 2024 NOIC still contains the civilian assets, so 2024 returns mix two perimeters (I-22). Segment EBIT (AR2024 p.192) is not reformulated: indicative only</t>
  </si>
  <si>
    <t xml:space="preserve">  Memo 2024: assets turnover incl. civilian-business sales = (net revenues + civilian external sales) / gross operating IC — indicative</t>
  </si>
  <si>
    <t xml:space="preserve">Same perimeter as the 2024 balance sheet (I-22, I-48). Civilian sales as originally reported (AR2024 p.192)</t>
  </si>
  <si>
    <t xml:space="preserve">  Memo 2024: gross ROI incl. civilian-business EBIT — indicative</t>
  </si>
  <si>
    <t xml:space="preserve">Same perimeter as the 2024 balance sheet (I-48)</t>
  </si>
  <si>
    <t xml:space="preserve">  Memo 2024: net ROI incl. civilian-business EBIT — indicative</t>
  </si>
  <si>
    <t xml:space="preserve">Reading (RONA drivers): RONA rises from 19.5% to 24.2% to 35.0%, but for different reasons in each year. 2023→2024: the margin did the work — ROS went from 11.7% to 16.9% as defence volumes grew and the lower-margin civilian business left the restated income statement — while asset turnover fell from 0.70x to 0.60x, because the 2024 balance sheet still holds the civilian assets and Loc Performance was acquired at the end of November 2024 (€563m, AR2024) with only one month of sales. 2024→2025: the margin slipped slightly (ROS 16.9% → 15.8%), so the jump comes from the balance sheet: roughly 45% from higher asset turnover (0.60x → 0.73x, with sales +29% to €9,935m on a similar asset base) and 55% from operating liabilities (gross/net 2.37x → 3.05x). The 2025 NOIC is also lower because the civilian business moved to held for sale (IFRS 5).</t>
  </si>
  <si>
    <t xml:space="preserve">Reading (RONA): the 2025 insurance refund for production losses at Murcia is disclosed only as a 'higher double-digit million euro amount' (AR2025 p.64). We estimated the one-off part at €97m and moved it to unusual items (u7e, I-18). If the true amount differs, 2025 ROS and RONA move by the difference: each €10m is about 0.1 pp of ROS.</t>
  </si>
  <si>
    <t xml:space="preserve">Assets turnover — summary of ratios (slides 9–16)</t>
  </si>
  <si>
    <t xml:space="preserve">P5</t>
  </si>
  <si>
    <t xml:space="preserve">Slide 16: preferred to the cash conversion cycle; predictive value. Negative = customer-financed</t>
  </si>
  <si>
    <t xml:space="preserve">  Days sales outstanding = trade receivables / (net revenues / 360)</t>
  </si>
  <si>
    <t xml:space="preserve">Slide 15. Trade receivables are gross of VAT (not disclosed net); contract assets not included (not yet invoiced)</t>
  </si>
  <si>
    <t xml:space="preserve">  + Days inventory outstanding = inventories / (COGS / 360)</t>
  </si>
  <si>
    <t xml:space="preserve">INDICATIVE PROXY. Slide 15 needs COGS; the IS is by nature, so COGS (incl. direct labour and overhead) cannot be rebuilt. Proxy = materials + purchased services − change in inventories of finished goods and WIP (I-49)</t>
  </si>
  <si>
    <t xml:space="preserve">  − Days payable outstanding = trade liabilities / (purchases of materials and services / 360)</t>
  </si>
  <si>
    <t xml:space="preserve">INDICATIVE PROXY. Slide 15 needs purchases; proxied by cost of materials and services (note 12): change in raw-material inventory not disclosed (I-49)</t>
  </si>
  <si>
    <t xml:space="preserve">(Net) cash conversion cycle = DSO + DIO − DPO</t>
  </si>
  <si>
    <t xml:space="preserve">INDICATIVE (DIO and DPO are proxies). Slides 15–16: misleading on its own (1 day of A/R ≠ 1 day of A/P in €); read together with NOWC / revenues</t>
  </si>
  <si>
    <t xml:space="preserve">Reading (working capital): NOWC went from +3.3% of sales in 2023 to −2.4% in 2024 and −10.0% in 2025, so customers now pre-finance Rheinmetall's operating cycle. Customer advances (contract liabilities) more than doubled from €2,594m to €5,642m, in line with the Rheinmetall Backlog growing from €38.3bn to €63.8bn (AR2025, key figures), and DSO fell from 101 to 69 days. The cash conversion cycle stays long (about 340 days) because vehicles and ammunition take a long time to produce (DIO about 350 days, indicative proxy). The negative NOWC is therefore a strength, but it depends on customers continuing to pay in advance; if order intake slowed, advances would unwind and NOIC would rise quickly.</t>
  </si>
  <si>
    <t xml:space="preserve">  Fixed assets turnover = net revenues / tangible assets</t>
  </si>
  <si>
    <t xml:space="preserve">Slide 10: proxy of capacity utilisation</t>
  </si>
  <si>
    <t xml:space="preserve">  Long-term productive assets turnover = net revenues / tangible and intangible assets</t>
  </si>
  <si>
    <t xml:space="preserve">Slide 10</t>
  </si>
  <si>
    <t xml:space="preserve">  Net capex = cash outflows for PP&amp;E, intangibles and investment property − disposal proceeds (€ million)</t>
  </si>
  <si>
    <t xml:space="preserve">Cash flow statement. Slide 11: acquisitions of tangible and intangible assets net of disposals (group incl. discontinued operations)</t>
  </si>
  <si>
    <t xml:space="preserve">  Capex-to-sales (capital intensity) = net capex / net revenues — indicative</t>
  </si>
  <si>
    <t xml:space="preserve">Slides 11–12. PERIMETER-AFFECTED: capex is group (incl. discontinued civilian business, cash flow statement), revenues are continuing; continuing-only capex is not disclosed (I-50)</t>
  </si>
  <si>
    <t xml:space="preserve">  Productive capacity replacement = net capex / D&amp;A</t>
  </si>
  <si>
    <t xml:space="preserve">Slides 11–12: ≈1 = maintenance; &gt;1 = development (growth) investments. D&amp;A from the cash flow statement: same (group) perimeter as capex, but includes impairment (2025: civilian impairment) → understates the ratio (I-50)</t>
  </si>
  <si>
    <t xml:space="preserve">  Memo: net capex / recurring D&amp;A of continuing operations (reformulated IS, excl. impairment) — indicative</t>
  </si>
  <si>
    <t xml:space="preserve">Recurring D&amp;A (no impairment) but continuing perimeter vs group capex: overstates the ratio. The true value lies between the two lines (I-50). &gt;1 also reflects capacity build-up and acquisitions-driven growth, not only maintenance</t>
  </si>
  <si>
    <t xml:space="preserve">Two adjustments to the operating profitability ratio (slides 17–18)</t>
  </si>
  <si>
    <t xml:space="preserve">  Net adjusted operating assets = NOIC − goodwill</t>
  </si>
  <si>
    <t xml:space="preserve">P6</t>
  </si>
  <si>
    <t xml:space="preserve">Slide 17: NOWC + tangible assets + specific intangibles. Trademarks not disclosed separately (note 18), so only goodwill is removed</t>
  </si>
  <si>
    <t xml:space="preserve">Adjusted core ROI = [A] / net adjusted operating assets</t>
  </si>
  <si>
    <t xml:space="preserve">Slide 17</t>
  </si>
  <si>
    <t xml:space="preserve">  Gross operating assets = gross operating invested capital + accumulated D&amp;A and impairment</t>
  </si>
  <si>
    <t xml:space="preserve">P7</t>
  </si>
  <si>
    <t xml:space="preserve">Slide 18: historical cost of operating assets, ignoring accumulated depreciation (notes 18–21)</t>
  </si>
  <si>
    <t xml:space="preserve">Return on gross operating assets = [A] / gross operating assets</t>
  </si>
  <si>
    <t xml:space="preserve">Slide 18: removes the age bias of old, heavily depreciated assets. 2025 base falls with the IFRS 5 transfer</t>
  </si>
  <si>
    <t xml:space="preserve">GMROI = gross margin / inventory</t>
  </si>
  <si>
    <t xml:space="preserve">P8</t>
  </si>
  <si>
    <t xml:space="preserve">n.a.</t>
  </si>
  <si>
    <t xml:space="preserve">Slides 19–22: retail metric that needs gross margin (IS by function). Rheinmetall reports by nature → not applicable</t>
  </si>
  <si>
    <t xml:space="preserve">Return on equity (Session 6)</t>
  </si>
  <si>
    <t xml:space="preserve">ROE = comprehensive income / net equity</t>
  </si>
  <si>
    <t xml:space="preserve">E1</t>
  </si>
  <si>
    <t xml:space="preserve">Slide 3: the reformulated IS removes the distinction between net income and OCI</t>
  </si>
  <si>
    <t xml:space="preserve">  Net income / net equity</t>
  </si>
  <si>
    <t xml:space="preserve">Reported earnings after taxes (incl. NCI, coherent with net equity incl. NCI)</t>
  </si>
  <si>
    <t xml:space="preserve">  + OCI / net equity</t>
  </si>
  <si>
    <t xml:space="preserve">Reported OCI after taxes</t>
  </si>
  <si>
    <t xml:space="preserve">Reading (ROE): ROE went from 16.4% to 22.4% and then down to 14.0%, but the operating business did not weaken in 2025: ROE before unusual items and taxes was 20.9%, 26.3% and 25.6%. The 2025 drop comes from items below the operating result. First, the loss on the discontinued civilian business (−€315m before tax, including the write-down of the disposal group; AR2025 note 8). Second, a negative currency translation in OCI (−€138m). Third, a much larger equity base after the convertible bond was converted into shares (+€694m in capital reserves; AR2025 p.60). 2024, on the other hand, was lifted by a €207m pension remeasurement gain in OCI, which alone added about 4 pp to ROE.</t>
  </si>
  <si>
    <t xml:space="preserve">DuPont — basic formula (slide 4)</t>
  </si>
  <si>
    <t xml:space="preserve">E2</t>
  </si>
  <si>
    <t xml:space="preserve">Uses reported net income; common equity = net equity incl. NCI (B8)</t>
  </si>
  <si>
    <t xml:space="preserve">  Profit margin = net income / sales</t>
  </si>
  <si>
    <t xml:space="preserve">  × total asset turnover = sales / total assets</t>
  </si>
  <si>
    <t xml:space="preserve">  × equity multiplier = total assets / net equity</t>
  </si>
  <si>
    <t xml:space="preserve">    Equity multiplier = 1 + total liabilities / net equity</t>
  </si>
  <si>
    <t xml:space="preserve">Slide 4: must equal the line above</t>
  </si>
  <si>
    <t xml:space="preserve">ROE (net income) = profit margin × turnover × equity multiplier</t>
  </si>
  <si>
    <t xml:space="preserve">Must equal net income / net equity</t>
  </si>
  <si>
    <t xml:space="preserve">DuPont — broader decomposition (slide 5)</t>
  </si>
  <si>
    <t xml:space="preserve">E3</t>
  </si>
  <si>
    <t xml:space="preserve">Reported NI, EBT and EBIT (continuing operations for EBT and EBIT)</t>
  </si>
  <si>
    <t xml:space="preserve">  Net income / EBT — net-income conversion factor (taxes + discontinued operations)</t>
  </si>
  <si>
    <t xml:space="preserve">Slide 5 ratio 4. Not a pure tax burden: EBT is continuing, net income includes discontinued operations (2025: −342) (I-51)</t>
  </si>
  <si>
    <t xml:space="preserve">  × EBT / EBIT (interest burden)</t>
  </si>
  <si>
    <t xml:space="preserve">Slide 5 ratio 4: cost of debt implicit; financial income inside</t>
  </si>
  <si>
    <t xml:space="preserve">  × EBIT / sales</t>
  </si>
  <si>
    <t xml:space="preserve">Slide 5 ratio 1: EBIT includes non-core results and unusual items</t>
  </si>
  <si>
    <t xml:space="preserve">  × sales / total assets</t>
  </si>
  <si>
    <t xml:space="preserve">Slide 5 ratio 2: total assets include non-operating assets</t>
  </si>
  <si>
    <t xml:space="preserve">  × total assets / net equity</t>
  </si>
  <si>
    <t xml:space="preserve">Slide 5 ratio 3: mixes operating and financial liabilities</t>
  </si>
  <si>
    <t xml:space="preserve">Reading (DuPont): the five factors show where profit is lost on the way to net income. EBIT/sales keeps improving (12.5% → 16.5% → 17.0%) and interest costs take little (EBT/EBIT above 0.9), but the net-income conversion factor falls to 0.53x in 2025 because of the discontinued civilian business. That is why the net margin falls from 10.5% to 8.4% although the operating margin rises.</t>
  </si>
  <si>
    <t xml:space="preserve">ROE (net income), five factors</t>
  </si>
  <si>
    <t xml:space="preserve">Modigliani–Miller — original formula (slides 6–8)</t>
  </si>
  <si>
    <t xml:space="preserve">E4</t>
  </si>
  <si>
    <t xml:space="preserve">ROE = [OI/IC + (OI/IC − FE/TL) × TL/NE] × CI/IBUIT, with IC = total assets</t>
  </si>
  <si>
    <t xml:space="preserve">  Operating income + financial income = [A] + [B] + financial income (€ million)</t>
  </si>
  <si>
    <t xml:space="preserve">Everything earned on total assets (financial income is earned on assets included in IC)</t>
  </si>
  <si>
    <t xml:space="preserve">  Financial expenses (€ million, positive)</t>
  </si>
  <si>
    <t xml:space="preserve">R7: interest expenses excl. pension interest</t>
  </si>
  <si>
    <t xml:space="preserve">  Operating income / invested capital (total assets)</t>
  </si>
  <si>
    <t xml:space="preserve">Slide 7 (1)</t>
  </si>
  <si>
    <t xml:space="preserve">  Financial expenses / total liabilities</t>
  </si>
  <si>
    <t xml:space="preserve">Slide 7 (2): cost of debt on ALL liabilities</t>
  </si>
  <si>
    <t xml:space="preserve">  Spread = ROI − cost of debt</t>
  </si>
  <si>
    <t xml:space="preserve">Slide 7 (2)</t>
  </si>
  <si>
    <t xml:space="preserve">  × total liabilities / net equity</t>
  </si>
  <si>
    <t xml:space="preserve">Slide 7 (3)</t>
  </si>
  <si>
    <t xml:space="preserve">  × comprehensive income / income before unusual items and taxes</t>
  </si>
  <si>
    <t xml:space="preserve">Slide 7 (4): unusual items and taxes</t>
  </si>
  <si>
    <t xml:space="preserve">ROE = [ROI + spread × leverage] × CI / IBUIT</t>
  </si>
  <si>
    <t xml:space="preserve">Must equal CI / net equity</t>
  </si>
  <si>
    <t xml:space="preserve">Modigliani–Miller — first technical adjustment (slide 9; Example 5, slides 28–31)</t>
  </si>
  <si>
    <t xml:space="preserve">E5</t>
  </si>
  <si>
    <t xml:space="preserve">Operating liabilities removed from both IC and liabilities: 3 areas = net invested capital (incl. financial assets), financial liabilities, net equity</t>
  </si>
  <si>
    <t xml:space="preserve">  Net invested capital incl. financial assets = financial liabilities + net equity</t>
  </si>
  <si>
    <t xml:space="preserve">Slide 9: total assets − operating liabilities (and liabilities held for sale)</t>
  </si>
  <si>
    <t xml:space="preserve">  (Operating income + financial income) / net invested capital incl. financial assets</t>
  </si>
  <si>
    <t xml:space="preserve">Slide 28: RONA incl. financial assets</t>
  </si>
  <si>
    <t xml:space="preserve">    Core: [A] / NOIC</t>
  </si>
  <si>
    <t xml:space="preserve">Slide 29 split</t>
  </si>
  <si>
    <t xml:space="preserve">    × NOIC / net invested capital incl. financial assets</t>
  </si>
  <si>
    <t xml:space="preserve">    Non-core: [B] / non-operating assets</t>
  </si>
  <si>
    <t xml:space="preserve">    × non-operating assets / net invested capital incl. financial assets</t>
  </si>
  <si>
    <t xml:space="preserve">    Financial: financial income / cash and short-term financial assets</t>
  </si>
  <si>
    <t xml:space="preserve">Slide 29: return on financial assets</t>
  </si>
  <si>
    <t xml:space="preserve">    × cash and short-term financial assets / net invested capital incl. financial assets</t>
  </si>
  <si>
    <t xml:space="preserve">  Cost of financial debt (Kd) = financial expenses / financial liabilities</t>
  </si>
  <si>
    <t xml:space="preserve">Slide 28: now a 'good number'</t>
  </si>
  <si>
    <t xml:space="preserve">  Spread = ROI − Kd</t>
  </si>
  <si>
    <t xml:space="preserve">  × financial liabilities / net equity</t>
  </si>
  <si>
    <t xml:space="preserve">Financial leverage</t>
  </si>
  <si>
    <t xml:space="preserve">    Comprehensive income / EBT (comprehensive)</t>
  </si>
  <si>
    <t xml:space="preserve">Slide 30: = 1 − average tax rate</t>
  </si>
  <si>
    <t xml:space="preserve">    × EBT / income before unusual items and taxes</t>
  </si>
  <si>
    <t xml:space="preserve">Slide 30: effect of unusual items</t>
  </si>
  <si>
    <t xml:space="preserve">Reading (financial leverage): leverage contributes less and less. Financial debt / equity fell from 0.54x in 2024 to 0.23x in 2025, because most of the convertible bond issued in 2023 to finance Expal was converted into shares (financial liabilities −47% to €1,281m; AR2025 p.60–61). The spread between return and cost of debt stays wide (14.3 pp in 2024, 13.8 pp in 2025), so the leverage effect before unusual items and taxes falls from about 7.8 pp to 3.1 pp of ROE. The 2025 cost of debt of 8.7% is not a real rise in interest rates: the year's interest was paid on the debt outstanding before the conversions, but we divide by the much lower year-end debt.</t>
  </si>
  <si>
    <t xml:space="preserve">  ROE before unusual items and taxes = IBUIT / net equity</t>
  </si>
  <si>
    <t xml:space="preserve">Slide 32: compared with the cost of equity (before taxes)</t>
  </si>
  <si>
    <t xml:space="preserve">Modigliani–Miller — second technical adjustment: NOA and NFO (slides 10–11, 14; slides 16–18 when NFO &lt; 0)</t>
  </si>
  <si>
    <t xml:space="preserve">E6</t>
  </si>
  <si>
    <t xml:space="preserve">3 areas = NOA, NFO, net equity. Only FINANCIAL assets move into NFO (slide 10 (1)–(2)); equity-method stakes and held-for-sale net assets are not financial, so they stay on the operating side with their income (equity-method result) (I-37)</t>
  </si>
  <si>
    <t xml:space="preserve">  Net financial expenses = −(other financial result + [C]) (€ million; negative = net financial income)</t>
  </si>
  <si>
    <t xml:space="preserve">Slide 10 (3): income of financial assets (other financial result, R6) subtracted from financial expense</t>
  </si>
  <si>
    <t xml:space="preserve">  Return on NOA = ([A] + equity-method result) / NOA</t>
  </si>
  <si>
    <t xml:space="preserve">Slide 11. Equals core RONA × weight + non-core × weight below</t>
  </si>
  <si>
    <t xml:space="preserve">    Core RONA = [A] / NOIC (= ROS × assets turnover × gross / net, P4)</t>
  </si>
  <si>
    <t xml:space="preserve">Slide 10 (1): stricto sensu operating assets</t>
  </si>
  <si>
    <t xml:space="preserve">    × NOIC / NOA</t>
  </si>
  <si>
    <t xml:space="preserve">    Non-core: equity-method result / non-financial non-operating assets</t>
  </si>
  <si>
    <t xml:space="preserve">Held-for-sale net assets earn nothing here (their result is in discontinued operations, unusual)</t>
  </si>
  <si>
    <t xml:space="preserve">    × non-financial non-operating assets / NOA</t>
  </si>
  <si>
    <t xml:space="preserve">  Net financial expenses / NFO</t>
  </si>
  <si>
    <t xml:space="preserve">Slide 10: cost of net financial obligations</t>
  </si>
  <si>
    <t xml:space="preserve">  Spread = RONA − cost of NFO</t>
  </si>
  <si>
    <t xml:space="preserve">  × NFO / net equity</t>
  </si>
  <si>
    <t xml:space="preserve">Financial leverage based on NFO (slide 11)</t>
  </si>
  <si>
    <t xml:space="preserve">ROE = [RONA + spread × NFO/NE] × CI / IBUIT</t>
  </si>
  <si>
    <t xml:space="preserve">When NFO &lt; 0: net financial assets form (slides 16–18)</t>
  </si>
  <si>
    <t xml:space="preserve">Shown only in years with net financial assets; the cost of NFO is replaced by the return on NFA</t>
  </si>
  <si>
    <t xml:space="preserve">  Net financial assets (NFA) = −NFO</t>
  </si>
  <si>
    <t xml:space="preserve">  Return on NFA = (other financial result + [C]) / NFA</t>
  </si>
  <si>
    <t xml:space="preserve">Slide 16 (A)</t>
  </si>
  <si>
    <t xml:space="preserve">  NFA / net equity</t>
  </si>
  <si>
    <t xml:space="preserve">ROE = [RONA − (RONA − return on NFA) × NFA/NE] × CI / IBUIT</t>
  </si>
  <si>
    <t xml:space="preserve">Slide 16 (A) / slide 18: a positive spread REDUCES ROE</t>
  </si>
  <si>
    <t xml:space="preserve">Reading (net financial assets): at the end of 2025 Rheinmetall holds net financial assets of €395m in our definition (net liquidity of €369m in Rheinmetall's own definition, AR2025 p.60), for the first time in the three years. With RONA at 35%, cash earns far less than the business, so holding it dilutes ROE slightly (NFA / equity = 7%). The negative return on NFA (−32.7%) is the same year-end effect as the cost of debt above: the 2025 financing costs relate to debt that was converted during the year.</t>
  </si>
  <si>
    <t xml:space="preserve">  Sign of NOIC (slide 21: extreme operating liability leverage)</t>
  </si>
  <si>
    <t xml:space="preserve">Penman — after-tax formula and operating liability leverage (slides 12, 15; slide 16 (B))</t>
  </si>
  <si>
    <t xml:space="preserve">E7</t>
  </si>
  <si>
    <t xml:space="preserve">All IS amounts after taxes at the average tax rate of the reformulated IS (Example 1 and 5)</t>
  </si>
  <si>
    <t xml:space="preserve">  Tax rate on continuing operations = current-year income taxes / EBT (continuing)</t>
  </si>
  <si>
    <t xml:space="preserve">Taxes of continuing operations excl. earlier-period taxes (R10) over reported EBT. The comprehensive rate (R10) is distorted by discontinued-operation and OCI taxes (2025: non-deductible impairment of 350 in discontinued operations)</t>
  </si>
  <si>
    <t xml:space="preserve">  NOPAT = ([A] + equity-method result) × (1 − t) (€ million)</t>
  </si>
  <si>
    <t xml:space="preserve">Slide 13. Operating income of NOA (same classes as E6); one average rate for all income, as in the reformulated IS</t>
  </si>
  <si>
    <t xml:space="preserve">  Net financial expenses after taxes = NFE × (1 − t) (€ million)</t>
  </si>
  <si>
    <t xml:space="preserve">  Income before unusual items, after taxes = NOPAT − NFE after taxes (€ million)</t>
  </si>
  <si>
    <t xml:space="preserve">  RNOA = NOPAT / NOA</t>
  </si>
  <si>
    <t xml:space="preserve">Slide 12: RONA after taxes</t>
  </si>
  <si>
    <t xml:space="preserve">  Net financial expenses after taxes / NFO</t>
  </si>
  <si>
    <t xml:space="preserve">  × comprehensive income / income before unusual items after taxes</t>
  </si>
  <si>
    <t xml:space="preserve">ROE = [RNOA + (RNOA − NFE_at/NFO) × NFO/NE] × CI / IBUIT_at</t>
  </si>
  <si>
    <t xml:space="preserve">Must equal CI / net equity. Algebraically identical to the NFA form (slide 16 (B)) when NFO &lt; 0</t>
  </si>
  <si>
    <t xml:space="preserve">  Short-term borrowing rate after tax — proxy = financial expenses / financial liabilities × (1 − t)</t>
  </si>
  <si>
    <t xml:space="preserve">GROUP-DEVISED PROXY, not one of the slide-12 options (short-term interest / short-term debt is not disclosed): average cost of all financial debt. ROOA and implicit interest are INDICATIVE; use the override for a market rate (I-52)</t>
  </si>
  <si>
    <t xml:space="preserve">  Override: market short-term borrowing rate after tax (optional input)</t>
  </si>
  <si>
    <t xml:space="preserve">Slide 12 alternative: type a market rate here to replace the proxy</t>
  </si>
  <si>
    <t xml:space="preserve">  Short-term borrowing rate after tax used</t>
  </si>
  <si>
    <t xml:space="preserve">  Implicit interest on operating liabilities = operating liabilities × short-term rate (€ million)</t>
  </si>
  <si>
    <t xml:space="preserve">  ROOA = (NOPAT + implicit interest) / operating assets (NOA + operating liabilities)</t>
  </si>
  <si>
    <t xml:space="preserve">Slide 12: return on operating assets</t>
  </si>
  <si>
    <t xml:space="preserve">  × operating liabilities / NOA (operating liability leverage)</t>
  </si>
  <si>
    <t xml:space="preserve">Slide 12 (1)</t>
  </si>
  <si>
    <t xml:space="preserve">RNOA = ROOA + (ROOA − short-term rate) × operating liabilities / NOA</t>
  </si>
  <si>
    <t xml:space="preserve">Slide 12 (2): operating liability leverage spread. Must equal NOPAT / NOA</t>
  </si>
  <si>
    <t xml:space="preserve">Reading (Penman): after tax, RNOA rises from 13.8% to 16.1% and 22.7%. The return on operating assets before the benefit of operating liabilities (ROOA) is much lower, at 8.4% to 12.4%. Most of the gap is the free financing from customers' advance payments, which is the single biggest structural driver of Rheinmetall's returns. The ROOA split relies on our own short-term rate proxy, so read the split as indicative; RNOA itself does not depend on it.</t>
  </si>
  <si>
    <t xml:space="preserve">Ratio Summary — three-year comparison, slide thresholds and material changes</t>
  </si>
  <si>
    <t xml:space="preserve">Material-change screen: flag T when |Δ in T| &gt; k × |Δ in T−1|; k =</t>
  </si>
  <si>
    <t xml:space="preserve">S0</t>
  </si>
  <si>
    <t xml:space="preserve">Input. Screening rule set by the group (no slide threshold): compares the latest change with the company's own previous change. A flag is an observation, not a cause or a judgement</t>
  </si>
  <si>
    <t xml:space="preserve">Income statement and cost structure (Sessions 2–3)</t>
  </si>
  <si>
    <t xml:space="preserve">S1</t>
  </si>
  <si>
    <t xml:space="preserve">  Growth of net revenues</t>
  </si>
  <si>
    <t xml:space="preserve">  Core operating margin (ROS) = [A] / net revenues</t>
  </si>
  <si>
    <t xml:space="preserve">  Operating margin = [A+B] / net revenues</t>
  </si>
  <si>
    <t xml:space="preserve">  Tax rate on EBT (comprehensive)</t>
  </si>
  <si>
    <t xml:space="preserve">  Degree of operating leverage (DOL)</t>
  </si>
  <si>
    <t xml:space="preserve">Managerial balance sheet (Session 4)</t>
  </si>
  <si>
    <t xml:space="preserve">  Operating liability leverage</t>
  </si>
  <si>
    <t xml:space="preserve">  Debt-to-equity ((operating + financial liabilities) / net equity)</t>
  </si>
  <si>
    <t xml:space="preserve">ROI (Session 5)</t>
  </si>
  <si>
    <t xml:space="preserve">  ROA</t>
  </si>
  <si>
    <t xml:space="preserve">  Gross ROI</t>
  </si>
  <si>
    <t xml:space="preserve">  Net ROI</t>
  </si>
  <si>
    <t xml:space="preserve">  RONA = [A] / NOIC</t>
  </si>
  <si>
    <t xml:space="preserve">  Assets turnover</t>
  </si>
  <si>
    <t xml:space="preserve">  Days sales outstanding</t>
  </si>
  <si>
    <t xml:space="preserve">  Days inventory outstanding</t>
  </si>
  <si>
    <t xml:space="preserve">  Days payable outstanding</t>
  </si>
  <si>
    <t xml:space="preserve">  Cash conversion cycle</t>
  </si>
  <si>
    <t xml:space="preserve">  Capex-to-sales</t>
  </si>
  <si>
    <t xml:space="preserve">  Productive capacity replacement (capex / D&amp;A)</t>
  </si>
  <si>
    <t xml:space="preserve">  Adjusted core ROI (excl. goodwill)</t>
  </si>
  <si>
    <t xml:space="preserve">  Return on gross operating assets</t>
  </si>
  <si>
    <t xml:space="preserve">ROE (Session 6)</t>
  </si>
  <si>
    <t xml:space="preserve">  ROE = comprehensive income / net equity</t>
  </si>
  <si>
    <t xml:space="preserve">  Cost of financial debt (Kd)</t>
  </si>
  <si>
    <t xml:space="preserve">  Spread = ROI − Kd (first adjustment)</t>
  </si>
  <si>
    <t xml:space="preserve">  Financial liabilities / net equity</t>
  </si>
  <si>
    <t xml:space="preserve">  CI / income before unusual items and taxes</t>
  </si>
  <si>
    <t xml:space="preserve">  ROE before unusual items and taxes</t>
  </si>
  <si>
    <t xml:space="preserve">  RNOA (after tax)</t>
  </si>
  <si>
    <t xml:space="preserve">  ROOA (after tax)</t>
  </si>
  <si>
    <t xml:space="preserve">Reading rule: a flag reports the size of the movement against the previous one. It does not state a cause, a forecast or a good/bad judgement. All trends involving the 2024 balance sheet are perimeter-affected: the 2024 IS is restated for the civilian business (discontinued) but the 2024 BS is not; the 2025 BS moves it to held for sale. Applies to NOWC/revenue, DSO/DIO/DPO, turnover and 2024 ROI (I-42).</t>
  </si>
  <si>
    <t xml:space="preserve">Checks — reformulated income statement, cost structure, managerial balance sheet, ROI and ROE</t>
  </si>
  <si>
    <t xml:space="preserve">[A] + [B] + unusual items inside EBIT (u3–u7e) − pension interest − reported EBIT</t>
  </si>
  <si>
    <t xml:space="preserve">Comprehensive income − reported total comprehensive income</t>
  </si>
  <si>
    <t xml:space="preserve">Income before unusual items and taxes + u3–u7e − reported EBT</t>
  </si>
  <si>
    <t xml:space="preserve">Managerial BS: net invested capital − (NFP + net equity)</t>
  </si>
  <si>
    <t xml:space="preserve">Managerial BS: all asset lines − reported total assets</t>
  </si>
  <si>
    <t xml:space="preserve">Managerial BS: all liability and equity lines − reported total equity and liabilities</t>
  </si>
  <si>
    <t xml:space="preserve">Managerial BS: NOA − NFO − net equity (+ rounding)</t>
  </si>
  <si>
    <t xml:space="preserve">Cost structure: contribution margin + fixed costs − [A] (reformulated IS)</t>
  </si>
  <si>
    <t xml:space="preserve">Cost structure: % of value of production adds up (added value − VoP − external costs)</t>
  </si>
  <si>
    <t xml:space="preserve">Tolerance for ratio identities (0.01 pp: the decompositions are exact identities; the allowance only absorbs floating-point error)</t>
  </si>
  <si>
    <t xml:space="preserve">ROI: gross ROI − (core × weight + non-core × weight)</t>
  </si>
  <si>
    <t xml:space="preserve">ROI: net ROI − (core × weight + non-core × weight)</t>
  </si>
  <si>
    <t xml:space="preserve">ROI: ROS × turnover × gross/net − [A] / NOIC</t>
  </si>
  <si>
    <t xml:space="preserve">ROI: gross/net − 1 / (1 − operating liability leverage)</t>
  </si>
  <si>
    <t xml:space="preserve">ROE: DuPont basic − NI / NE</t>
  </si>
  <si>
    <t xml:space="preserve">ROE: DuPont equity multiplier − (1 + TL / NE)</t>
  </si>
  <si>
    <t xml:space="preserve">ROE: DuPont five factors − NI / NE</t>
  </si>
  <si>
    <t xml:space="preserve">ROE: Modigliani–Miller original − CI / NE</t>
  </si>
  <si>
    <t xml:space="preserve">ROE: MM first adjustment − CI / NE</t>
  </si>
  <si>
    <t xml:space="preserve">ROE: MM first adjustment, core + non-core + financial split − ROI</t>
  </si>
  <si>
    <t xml:space="preserve">ROE: CI / IBUIT − (CI / EBT × EBT / IBUIT)</t>
  </si>
  <si>
    <t xml:space="preserve">ROE: MM second adjustment (NOA / NFO) − CI / NE</t>
  </si>
  <si>
    <t xml:space="preserve">ROE: MM second adjustment, return on NOA − (core × weight + non-core × weight)</t>
  </si>
  <si>
    <t xml:space="preserve">ROE: net financial assets form − CI / NE (years with NFO &lt; 0)</t>
  </si>
  <si>
    <t xml:space="preserve">ROE: Penman after tax − CI / NE</t>
  </si>
  <si>
    <t xml:space="preserve">ROE: Penman RNOA from ROOA − NOPAT / NOA</t>
  </si>
  <si>
    <t xml:space="preserve">Overall status</t>
  </si>
  <si>
    <t xml:space="preserve">BAABTAVMT0NBTAFI/////wFQGAAAABtDSVEuVFNYOkFUWi5JUV9DT01QQU5ZX05BTUUBAAAAEq8vCAMAAAAMQXJpdHppYSBJbmMuAF6Tvf5OGt8Ib4TZ/k4a3wgfQ0lRLkVOWFRQQTpTTUNQLklRX0NPTVBBTllfTkFNRQEAAAAzecQGAwAAAAlTTUNQIFMuQS4AXpO9/k4a3whvhNn+ThrfCB5DSVEuSExTRTpNRUtLTy5JUV9DT01QQU5ZX05BTUUBAAAA9px7AAMAAAANTWFyaW1la2tvIE95agBek73+ThrfCG+E2f5OGt8IHENJUS5OWVNFOlRQUi5JUV9DT01QQU5ZX05BTUUBAAAA7QgIAAMAAAAOVGFwZXN0cnksIEluYy4AXpO9/k4a3whvhNn+ThrfCCdDSVEuVFNYOkFUWi5JUV9NQVJLRVRDQVAuMzEvMTIvMjAyNC5ES0sBAAAAEq8vCAIAAAAQMzAyMDEsNjgzMjM4ODYxNAEGAAAABQAAAAExAQAAAAstMTk3Mzg2NTE2MQMAAAACNDICAAAABjEwMDA1NAQAAAABMAcAAAAKMTIvMzEvMjAyNF6Tvf5OGt8I6FzZ/k4a3wgrQ0lRLkVOWFRQQTpTTUNQLklRX01BUktFVENBUC4zMS8xMi8yMDI0LkRLSwEAAAAzecQGAgAAABAyMDY0LDcyNjY1ODI4OTkzAQYAAAAFAAAAATEBAAAACy0xOTgzNzc2ODQzAwAAAAI0MgIAAAAGMTAwMDU0BAAAAAEwBwAAAAoxMi8zMS8yMDI0XpO9/k4a3whvhNn+ThrfCCpDSVEuSExTRTpNRUtLTy5JUV9NQVJLRVRDQVAuMzEvMTIvMjAyNC5ES0sBAAAA9px7AAIAAAAQMzY2NywxNzI4</t>
  </si>
  <si>
    <t xml:space="preserve">NzA4MDEzOQEGAAAABQAAAAExAQAAAAstMTk3MDQ5Mjg0MgMAAAACNDICAAAABjEwMDA1NAQAAAABMAcAAAAKMTIvMzEvMjAyNF6Tvf5OGt8Ib4TZ/k4a3wgoQ0lRLk5ZU0U6VFBSLklRX01BUktFVENBUC4zMS8xMi8yMDI0LkRLSwEAAADtCAgAAgAAABAxMDc4NTUsNTk4NjE5NTkyAQYAAAAFAAAAATEBAAAACy0xOTcwMzQ4NDk1AwAAAAI0MgIAAAAGMTAwMDU0BAAAAAEwBwAAAAoxMi8zMS8yMDI0XpO9/k4a3whvhNn+ThrfCCJDSVEuVFNYOkFUWi5JUV9CRVRBXzVZUi4zMS8xMi8yMDI0AQAAABKvLwgCAAAAEDEsNzUzMzU4MTgyOTAxMDcAXpO9/k4a3whvhNn+ThrfCCZDSVEuRU5YVFBBOlNNQ1AuSVFfQkVUQV81WVIuMzEvMTIvMjAyNAEAAAAzecQGAgAAABAxLDcxMzQxMzIzMzA5MDU2AF6Tvf5OGt8Ib4TZ/k4a3wglQ0lRLkhMU0U6TUVLS08uSVFfQkVUQV81WVIuMzEvMTIvMjAyNAEAAAD2nHsAAgAAABAxLDI1NTQ2OTM4NDczMzkzAF6Tvf5OGt8Ib4TZ/k4a3wgjQ0lRLk5ZU0U6VFBSLklRX0JFVEFfNVlSLjMxLzEyLzIwMjQBAAAA7QgIAAIAAAAQMSw2MDU2NjUwMjE4NTkwNgBek73+ThrfCG+E2f5OGt8IMENJUS5UU1g6QVRaLklRX1RPVEFMX0RFQlQuSVFfRlEuMzEvMTIvMjAyNC4uLkRLSwEAAAASry8IAgAAAAs0NTEyLDc5ODk5OQEIAAAABQAAAAExAQAAAAstMTkxMDUwODcwMAMAAAACNDIC</t>
  </si>
  <si>
    <t xml:space="preserve">AAAABDQxNzMEAAAAATAHAAAACjEyLzMxLzIwMjQIAAAACTEyLzEvMjAyNAkAAAABMF6Tvf5OGt8Ib4TZ/k4a3wgeQ0lRLlRTWDpBVFouSVFfRklMSU5HX0NVUlJFTkNZAQAAABKvLwgDAAAAA0NBRABek73+ThrfCG+E2f5OGt8IIkNJUS5FTlhUUEE6U01DUC5JUV9GSUxJTkdfQ1VSUkVOQ1kBAAAAM3nEBgMAAAADRVVSAF6Tvf5OGt8Ib4TZ/k4a3wghQ0lRLkhMU0U6TUVLS08uSVFfRklMSU5HX0NVUlJFTkNZAQAAAPacewADAAAAA0VVUgBek73+ThrfCG+E2f5OGt8IH0NJUS5OWVNFOlRQUi5JUV9GSUxJTkdfQ1VSUkVOQ1kBAAAA7QgIAAMAAAADVVNEAF6Tvf5OGt8I6FzZ/k4a3wg0Q0lRLkVOWFRQQTpTTUNQLklRX1RPVEFMX0RFQlQuSVFfRlEuMzEvMTIvMjAyNC4uLkRLSwEAAAAzecQGAgAAAAo1NDQzLDQyNjI5AQgAAAAFAAAAATEBAAAACy0xOTA0MDU3MDU1AwAAAAI0MgIAAAAENDE3MwQAAAABMAcAAAAKMTIvMzEvMjAyNAgAAAAKMTIvMzEvMjAyNAkAAAABMF6Tvf5OGt8Ib4TZ/k4a3wgzQ0lRLkhMU0U6TUVLS08uSVFfVE9UQUxfREVCVC5JUV9GUS4zMS8xMi8yMDI0Li4uREtLAQAAAPacewACAAAACjIyOCwyMDc3NjEBCAAAAAUAAAABMQEAAAALLTE5MDA2OTA4MTcDAAAAAjQyAgAAAAQ0MTczBAAAAAEwBwAAAAoxMi8zMS8yMDI0CAAAAAoxMi8zMS8yMDI0CQAAAAEwXpO9/k4a3whvhNn+Thrf</t>
  </si>
  <si>
    <t xml:space="preserve">CDFDSVEuTllTRTpUUFIuSVFfVE9UQUxfREVCVC5JUV9GUS4zMS8xMi8yMDI0Li4uREtLAQAAAO0ICAACAAAADDI5MzY5LDA0ODAyMgEIAAAABQAAAAExAQAAAAstMTkwNzg3MTEzOAMAAAACNDICAAAABDQxNzMEAAAAATAHAAAACjEyLzMxLzIwMjQIAAAACjEyLzI4LzIwMjQJAAAAATBek73+ThrfCG+E2f5OGt8IMENJUS5UU1g6QVRaLklRX0NBU0hfRVFVSVYuSVFfRlEuMzEvMTIvMjAyNC4uLkRLSwEAAAASry8IAgAAAAsxMDQzLDk5OTI2NQEIAAAABQAAAAExAQAAAAstMTkxMDUwODcwMAMAAAACNDICAAAABDEwOTYEAAAAATAHAAAACjEyLzMxLzIwMjQIAAAACTEyLzEvMjAyNAkAAAABMF6Tvf5OGt8Ib4TZ/k4a3wg0Q0lRLkVOWFRQQTpTTUNQLklRX0NBU0hfRVFVSVYuSVFfRlEuMzEvMTIvMjAyNC4uLkRLSwEAAAAzecQGAgAAAAozNjEsNzAxODQzAQgAAAAFAAAAATEBAAAACy0xOTA0MDU3MDU1AwAAAAI0MgIAAAAEMTA5NgQAAAABMAcAAAAKMTIvMzEvMjAyNAgAAAAKMTIvMzEvMjAyNAkAAAABMF6Tvf5OGt8Ib4TZ/k4a3wgzQ0lRLkhMU0U6TUVLS08uSVFfQ0FTSF9FUVVJVi5JUV9GUS4zMS8xMi8yMDI0Li4uREtLAQAAAPacewACAAAACjMwMSwyOTM5MDYBCAAAAAUAAAABMQEAAAALLTE5MDA2OTA4MTcDAAAAAjQyAgAAAAQxMDk2BAAAAAEwBwAAAAoxMi8zMS8yMDI0CAAAAAoxMi8zMS8yMDI0</t>
  </si>
  <si>
    <t xml:space="preserve">CQAAAAEwXpO9/k4a3wjoXNn+ThrfCDFDSVEuTllTRTpUUFIuSVFfQ0FTSF9FUVVJVi5JUV9GUS4zMS8xMi8yMDI0Li4uREtLAQAAAO0ICAACAAAACzcwMzIsOTUyMjc4AQgAAAAFAAAAATEBAAAACy0xOTA3ODcxMTM4AwAAAAI0MgIAAAAEMTA5NgQAAAABMAcAAAAKMTIvMzEvMjAyNAgAAAAKMTIvMjgvMjAyNAkAAAABMF6Tvf5OGt8I6FzZ/k4a3wg=</t>
  </si>
  <si>
    <t xml:space="preserve">Note</t>
  </si>
  <si>
    <t xml:space="preserve">Comment</t>
  </si>
  <si>
    <t xml:space="preserve">Income Statement</t>
  </si>
  <si>
    <t xml:space="preserve">Sales</t>
  </si>
  <si>
    <t xml:space="preserve">9</t>
  </si>
  <si>
    <t xml:space="preserve">2024 restated in AR2025 (civilian business → discontinued); 2023 from AR2024, not restated</t>
  </si>
  <si>
    <t xml:space="preserve">2024 vs 2023 not like-for-like</t>
  </si>
  <si>
    <t xml:space="preserve">Changes in inventories and work performed by the enterprise and capitalized</t>
  </si>
  <si>
    <t xml:space="preserve">10</t>
  </si>
  <si>
    <t xml:space="preserve">  Increase in inventory of finished and unfinished products</t>
  </si>
  <si>
    <t xml:space="preserve">  Other work performed by the enterprise and capitalized</t>
  </si>
  <si>
    <t xml:space="preserve">  Rounding / undisclosed difference</t>
  </si>
  <si>
    <t xml:space="preserve">Printed figure − sum of the printed lines above; ≤ tolerance = rounding, larger = undisclosed item (log it)</t>
  </si>
  <si>
    <t xml:space="preserve">Total operating performance</t>
  </si>
  <si>
    <t xml:space="preserve">Other operating income</t>
  </si>
  <si>
    <t xml:space="preserve">11</t>
  </si>
  <si>
    <t xml:space="preserve">  Refunds</t>
  </si>
  <si>
    <t xml:space="preserve">2025: mainly insurance payments for production losses (n.11)</t>
  </si>
  <si>
    <t xml:space="preserve">  Government grants</t>
  </si>
  <si>
    <t xml:space="preserve">  Reversal of provisions</t>
  </si>
  <si>
    <t xml:space="preserve">  Residual/scrap disposal</t>
  </si>
  <si>
    <t xml:space="preserve">  Sundry rental agreements and leases</t>
  </si>
  <si>
    <t xml:space="preserve">  Disposal of fixed assets/divestments</t>
  </si>
  <si>
    <t xml:space="preserve">  Reversal of assets (excl. financial assets)</t>
  </si>
  <si>
    <t xml:space="preserve">  Miscellaneous operating income</t>
  </si>
  <si>
    <t xml:space="preserve">Cost of materials</t>
  </si>
  <si>
    <t xml:space="preserve">12</t>
  </si>
  <si>
    <t xml:space="preserve">Printed without brackets as an expense</t>
  </si>
  <si>
    <t xml:space="preserve">  Cost of raw materials, supplies and merchandise purchased</t>
  </si>
  <si>
    <t xml:space="preserve">  Cost of services purchased</t>
  </si>
  <si>
    <t xml:space="preserve">Personnel costs</t>
  </si>
  <si>
    <t xml:space="preserve">13</t>
  </si>
  <si>
    <t xml:space="preserve">  Wages and salaries</t>
  </si>
  <si>
    <t xml:space="preserve">  Social security and related employee benefits</t>
  </si>
  <si>
    <t xml:space="preserve">  Pension expenses</t>
  </si>
  <si>
    <t xml:space="preserve">  Expenses for redundancy plans, termination indemnities, partial retirement</t>
  </si>
  <si>
    <t xml:space="preserve">Amortization, depreciation and impairment</t>
  </si>
  <si>
    <t xml:space="preserve">14</t>
  </si>
  <si>
    <t xml:space="preserve">  Property, plant and equipment and investment property</t>
  </si>
  <si>
    <t xml:space="preserve">  % of sales</t>
  </si>
  <si>
    <t xml:space="preserve">Other operating expenses</t>
  </si>
  <si>
    <t xml:space="preserve">15</t>
  </si>
  <si>
    <t xml:space="preserve">  Operating costs and maintenance</t>
  </si>
  <si>
    <t xml:space="preserve">  IT costs</t>
  </si>
  <si>
    <t xml:space="preserve">  Distribution and advertising costs</t>
  </si>
  <si>
    <t xml:space="preserve">  General administrative expenses</t>
  </si>
  <si>
    <t xml:space="preserve">  Travel expenses</t>
  </si>
  <si>
    <t xml:space="preserve">  Insurances</t>
  </si>
  <si>
    <t xml:space="preserve">  Changes in / additions to other provisions</t>
  </si>
  <si>
    <t xml:space="preserve">  Audit, legal and consultancy fees</t>
  </si>
  <si>
    <t xml:space="preserve">  Write-downs of receivables</t>
  </si>
  <si>
    <t xml:space="preserve">  Rents, leases and ancillary costs</t>
  </si>
  <si>
    <t xml:space="preserve">  Warranties</t>
  </si>
  <si>
    <t xml:space="preserve">  Patent and licensing fees</t>
  </si>
  <si>
    <t xml:space="preserve">  Disposal of non-current assets (excl. financial assets)</t>
  </si>
  <si>
    <t xml:space="preserve">  Other taxes</t>
  </si>
  <si>
    <t xml:space="preserve">  Miscellaneous operating expenses</t>
  </si>
  <si>
    <t xml:space="preserve">Result from investments accounted for using the equity method</t>
  </si>
  <si>
    <t xml:space="preserve">22</t>
  </si>
  <si>
    <t xml:space="preserve">AR2023 text shows '157' = footnote 1 + 57</t>
  </si>
  <si>
    <t xml:space="preserve">Other financial result</t>
  </si>
  <si>
    <t xml:space="preserve">Reported inside EBIT; no note breakdown found</t>
  </si>
  <si>
    <t xml:space="preserve">Rounding difference to the printed subtotal</t>
  </si>
  <si>
    <t xml:space="preserve">Earnings before interest and taxes (EBIT)</t>
  </si>
  <si>
    <t xml:space="preserve">  EBIT margin</t>
  </si>
  <si>
    <t xml:space="preserve">Interest income</t>
  </si>
  <si>
    <t xml:space="preserve">Interest expenses</t>
  </si>
  <si>
    <t xml:space="preserve">Includes IFRS 15 financing-component interest on customer advances; amount not disclosed (AR2025 p.56)</t>
  </si>
  <si>
    <t xml:space="preserve">Earnings before taxes (EBT)</t>
  </si>
  <si>
    <t xml:space="preserve">16</t>
  </si>
  <si>
    <t xml:space="preserve">  Effective tax rate</t>
  </si>
  <si>
    <t xml:space="preserve">Earnings from continuing operations</t>
  </si>
  <si>
    <t xml:space="preserve">Earnings from discontinued operations</t>
  </si>
  <si>
    <t xml:space="preserve">8</t>
  </si>
  <si>
    <t xml:space="preserve">2025: civilian business (incl. impairment 350); 2023–24: Pistons</t>
  </si>
  <si>
    <t xml:space="preserve">Earnings after taxes</t>
  </si>
  <si>
    <t xml:space="preserve">  Rheinmetall AG shareholders</t>
  </si>
  <si>
    <t xml:space="preserve">  Profit margin</t>
  </si>
  <si>
    <t xml:space="preserve">Additional information from the notes (included in the lines above)</t>
  </si>
  <si>
    <t xml:space="preserve">Amortisation from purchase price allocations (PPA)</t>
  </si>
  <si>
    <t xml:space="preserve">Included in amortization, depreciation and impairment</t>
  </si>
  <si>
    <t xml:space="preserve">Impairment losses</t>
  </si>
  <si>
    <t xml:space="preserve">Net interest on pensions (interest cost − interest income on plan assets)</t>
  </si>
  <si>
    <t xml:space="preserve">27</t>
  </si>
  <si>
    <t xml:space="preserve">Included in interest expenses; group total incl. discontinued ops</t>
  </si>
  <si>
    <t xml:space="preserve">Interest expenses from lease liabilities</t>
  </si>
  <si>
    <t xml:space="preserve">19</t>
  </si>
  <si>
    <t xml:space="preserve">Included in interest expenses</t>
  </si>
  <si>
    <t xml:space="preserve">Shriram Pistons &amp; Rings: gain on sale of share packages (31) + initial fair-value measurement of the remaining shares (22)</t>
  </si>
  <si>
    <t xml:space="preserve">Included in the equity-method result. Total Shriram effect 2023 = 69 (AR2023 p.226): 31 + 22 here, 5 FV in other financial result, 10 at-equity share of profit, 1 dividend</t>
  </si>
  <si>
    <t xml:space="preserve">Gain on sale of AIM shares (not adjusted by the company)</t>
  </si>
  <si>
    <t xml:space="preserve">Included in the equity-method result (management report)</t>
  </si>
  <si>
    <t xml:space="preserve">Fair-value remeasurement gains in other financial result (2023: Shriram shares; 2025: previously held 40% interest in blackned, IFRS 3)</t>
  </si>
  <si>
    <t xml:space="preserve">Included in the other financial result. 2023: subsequent fair-value measurement of the Shriram shares (AR2023 p.226); 2024: none disclosed</t>
  </si>
  <si>
    <t xml:space="preserve">Transaction costs for the acquisition of Loc Performance (management special item)</t>
  </si>
  <si>
    <t xml:space="preserve">Included in operating costs (other operating expenses). Amount from AR2024 p.51 and AR2025 p.55 (Vehicle Systems, corporate transactions); none in 2023 and 2025</t>
  </si>
  <si>
    <t xml:space="preserve">Earlier-period income taxes (included in income taxes)</t>
  </si>
  <si>
    <t xml:space="preserve">Composition of income taxes. 2023 = income of 3 (AR2024, printed '(3)'); 2024 restated in AR2025</t>
  </si>
  <si>
    <t xml:space="preserve">Civilian business (Power Systems segment): external sales, as originally reported</t>
  </si>
  <si>
    <t xml:space="preserve">Memo, not added into any total. Inside 2023 sales (AR2024 not restated); in 2024 the business is in discontinued operations (AR2025)</t>
  </si>
  <si>
    <t xml:space="preserve">Civilian business (Power Systems segment): EBIT, as originally reported</t>
  </si>
  <si>
    <t xml:space="preserve">Memo, not added into any total. Segment EBIT, not reformulated</t>
  </si>
  <si>
    <t xml:space="preserve">Management special items: restructuring</t>
  </si>
  <si>
    <t xml:space="preserve">Line of the income statement that contains it is not disclosed</t>
  </si>
  <si>
    <t xml:space="preserve">Management special items: others</t>
  </si>
  <si>
    <t xml:space="preserve">Content and line not disclosed</t>
  </si>
  <si>
    <t xml:space="preserve">Insurance refund for production losses (Murcia), estimated unusual portion of refunds</t>
  </si>
  <si>
    <t xml:space="preserve">Estimate = 2025 refunds above the 2024 level (118 − 21 = 97), consistent with management's 'higher double-digit million euro amount'. Included in refunds (n.11); memo, not added into any total</t>
  </si>
  <si>
    <t xml:space="preserve">Provisions for structural measures (restructuring), in other provisions</t>
  </si>
  <si>
    <t xml:space="preserve">28</t>
  </si>
  <si>
    <t xml:space="preserve">Termination indemnities and partial-retirement obligations (note 28). Included in other current and non-current provisions; memo, not added into any total</t>
  </si>
  <si>
    <t xml:space="preserve">Discontinued operations: earnings before taxes</t>
  </si>
  <si>
    <t xml:space="preserve">2024–25: civilian business + small-bore pistons (two tables, AR2025 p.215–216); 2023: pistons</t>
  </si>
  <si>
    <t xml:space="preserve">Discontinued operations: income taxes</t>
  </si>
  <si>
    <t xml:space="preserve">Pre-tax + taxes = earnings from discontinued operations</t>
  </si>
  <si>
    <t xml:space="preserve">OCI before tax: remeasurement of net defined benefit liability from pensions</t>
  </si>
  <si>
    <t xml:space="preserve">26</t>
  </si>
  <si>
    <t xml:space="preserve">OCI before tax: equity-method investments (not reclassified)</t>
  </si>
  <si>
    <t xml:space="preserve">OCI before tax: change in value of derivatives (cash flow hedges)</t>
  </si>
  <si>
    <t xml:space="preserve">OCI before tax: currency translation difference</t>
  </si>
  <si>
    <t xml:space="preserve">OCI before tax: equity-method investments (reclassified)</t>
  </si>
  <si>
    <t xml:space="preserve">Tax effect on other comprehensive income</t>
  </si>
  <si>
    <t xml:space="preserve">Printed total of the tax-effect column</t>
  </si>
  <si>
    <t xml:space="preserve">Research and development costs recognised as expenses</t>
  </si>
  <si>
    <t xml:space="preserve">18</t>
  </si>
  <si>
    <t xml:space="preserve">Included in the cost lines above (by nature). 2023 = AR2024 n.18 (old perimeter); 2024–25 = AR2025 management report p.31</t>
  </si>
  <si>
    <t xml:space="preserve">Statutory tax rate</t>
  </si>
  <si>
    <t xml:space="preserve">Corporation tax 15% + solidarity surcharge 5.5% + trade tax 15%</t>
  </si>
  <si>
    <t xml:space="preserve">Statement of Comprehensive Income</t>
  </si>
  <si>
    <t xml:space="preserve">Remeasurement of net defined benefit liability from pensions</t>
  </si>
  <si>
    <t xml:space="preserve">Other comprehensive income from investments accounted for using the equity method (not reclassified)</t>
  </si>
  <si>
    <t xml:space="preserve">Change in value of derivative financial instruments (cash flow hedge)</t>
  </si>
  <si>
    <t xml:space="preserve">Currency translation difference</t>
  </si>
  <si>
    <t xml:space="preserve">Other comprehensive income from investments accounted for using the equity method (reclassified)</t>
  </si>
  <si>
    <t xml:space="preserve">AR2024 text shows '14' for 2024 = footnote 1 + 4</t>
  </si>
  <si>
    <t xml:space="preserve">Other comprehensive income after taxes</t>
  </si>
  <si>
    <t xml:space="preserve">Total comprehensive income</t>
  </si>
  <si>
    <t xml:space="preserve">Balance Sheet — Assets</t>
  </si>
  <si>
    <t xml:space="preserve">Goodwill</t>
  </si>
  <si>
    <t xml:space="preserve">Other intangible assets</t>
  </si>
  <si>
    <t xml:space="preserve">Right-of-use assets</t>
  </si>
  <si>
    <t xml:space="preserve">Property, plant and equipment</t>
  </si>
  <si>
    <t xml:space="preserve">20</t>
  </si>
  <si>
    <t xml:space="preserve">Investment property</t>
  </si>
  <si>
    <t xml:space="preserve">21</t>
  </si>
  <si>
    <t xml:space="preserve">Investments accounted for using the equity method</t>
  </si>
  <si>
    <t xml:space="preserve">Other non-current assets</t>
  </si>
  <si>
    <t xml:space="preserve">24</t>
  </si>
  <si>
    <t xml:space="preserve">Breakdown in 'Notes to the balance sheet' below</t>
  </si>
  <si>
    <t xml:space="preserve">Deferred taxes</t>
  </si>
  <si>
    <t xml:space="preserve">Non-current assets</t>
  </si>
  <si>
    <t xml:space="preserve">Inventories</t>
  </si>
  <si>
    <t xml:space="preserve">23</t>
  </si>
  <si>
    <t xml:space="preserve">Contract assets</t>
  </si>
  <si>
    <t xml:space="preserve">Trade receivables</t>
  </si>
  <si>
    <t xml:space="preserve">Other current assets</t>
  </si>
  <si>
    <t xml:space="preserve">Income tax receivables</t>
  </si>
  <si>
    <t xml:space="preserve">Securities held for trade</t>
  </si>
  <si>
    <t xml:space="preserve">25</t>
  </si>
  <si>
    <t xml:space="preserve">Only in AR2023 (strategic liquidity reserve fund, liquidated 2023)</t>
  </si>
  <si>
    <t xml:space="preserve">Cash and cash equivalents</t>
  </si>
  <si>
    <t xml:space="preserve">Assets held for sale</t>
  </si>
  <si>
    <t xml:space="preserve">Current assets</t>
  </si>
  <si>
    <t xml:space="preserve">Total assets</t>
  </si>
  <si>
    <t xml:space="preserve">Balance Sheet — Equity and Liabilities</t>
  </si>
  <si>
    <t xml:space="preserve">Share capital</t>
  </si>
  <si>
    <t xml:space="preserve">Capital reserves</t>
  </si>
  <si>
    <t xml:space="preserve">2025 increase mainly from conversion of the convertible bond</t>
  </si>
  <si>
    <t xml:space="preserve">Retained earnings</t>
  </si>
  <si>
    <t xml:space="preserve">Treasury shares</t>
  </si>
  <si>
    <t xml:space="preserve">Rheinmetall AG shareholders' equity</t>
  </si>
  <si>
    <t xml:space="preserve">Non-controlling interests</t>
  </si>
  <si>
    <t xml:space="preserve">Equity</t>
  </si>
  <si>
    <t xml:space="preserve">Provisions for pensions and similar obligations</t>
  </si>
  <si>
    <t xml:space="preserve">Other non-current provisions</t>
  </si>
  <si>
    <t xml:space="preserve">Non-current financial debts</t>
  </si>
  <si>
    <t xml:space="preserve">29</t>
  </si>
  <si>
    <t xml:space="preserve">Other non-current liabilities</t>
  </si>
  <si>
    <t xml:space="preserve">30</t>
  </si>
  <si>
    <t xml:space="preserve">Non-current liabilities</t>
  </si>
  <si>
    <t xml:space="preserve">Other current provisions</t>
  </si>
  <si>
    <t xml:space="preserve">Current financial debts</t>
  </si>
  <si>
    <t xml:space="preserve">Contract liabilities</t>
  </si>
  <si>
    <t xml:space="preserve">Customer advances</t>
  </si>
  <si>
    <t xml:space="preserve">Trade liabilities</t>
  </si>
  <si>
    <t xml:space="preserve">Other current liabilities</t>
  </si>
  <si>
    <t xml:space="preserve">Income tax liabilities</t>
  </si>
  <si>
    <t xml:space="preserve">Liabilities directly associated with assets held for sale</t>
  </si>
  <si>
    <t xml:space="preserve">Current liabilities</t>
  </si>
  <si>
    <t xml:space="preserve">Total equity and liabilities</t>
  </si>
  <si>
    <t xml:space="preserve">Notes to the balance sheet</t>
  </si>
  <si>
    <t xml:space="preserve">Other assets (non-current and current)</t>
  </si>
  <si>
    <t xml:space="preserve">  Derivatives</t>
  </si>
  <si>
    <t xml:space="preserve">  Bonds (non-current)</t>
  </si>
  <si>
    <t xml:space="preserve">  Current securities (shares in Shriram Pistons &amp; Rings, at fair value)</t>
  </si>
  <si>
    <t xml:space="preserve">Shown as 'Bonds' (current) in the note; AR2023 p.227 explains they are Shriram shares</t>
  </si>
  <si>
    <t xml:space="preserve">  Other financial assets (receivables from customers, finance leases, other)</t>
  </si>
  <si>
    <t xml:space="preserve">2022–23: sum of three lines in AR2023/AR2024 (12+13+40; 12+12+60)</t>
  </si>
  <si>
    <t xml:space="preserve">  Contract acquisition costs</t>
  </si>
  <si>
    <t xml:space="preserve">  Contract costs</t>
  </si>
  <si>
    <t xml:space="preserve">  Prepaid expenses</t>
  </si>
  <si>
    <t xml:space="preserve">  Net defined benefit asset from plan assets (pension surplus)</t>
  </si>
  <si>
    <t xml:space="preserve">  Other non-financial assets</t>
  </si>
  <si>
    <t xml:space="preserve">2022–23: subsidies + insurance claims + other</t>
  </si>
  <si>
    <t xml:space="preserve">Financial debts (non-current and current)</t>
  </si>
  <si>
    <t xml:space="preserve">  Convertible bond</t>
  </si>
  <si>
    <t xml:space="preserve">  Promissory note loans</t>
  </si>
  <si>
    <t xml:space="preserve">  Bank liabilities</t>
  </si>
  <si>
    <t xml:space="preserve">  Leasing</t>
  </si>
  <si>
    <t xml:space="preserve">  Commercial paper</t>
  </si>
  <si>
    <t xml:space="preserve">  Other</t>
  </si>
  <si>
    <t xml:space="preserve">Other liabilities (non-current and current)</t>
  </si>
  <si>
    <t xml:space="preserve">  Other financial liabilities</t>
  </si>
  <si>
    <t xml:space="preserve">2022 incl. monies in transit (2)</t>
  </si>
  <si>
    <t xml:space="preserve">  Liabilities from other taxes</t>
  </si>
  <si>
    <t xml:space="preserve">  Liabilities from social security</t>
  </si>
  <si>
    <t xml:space="preserve">  Other non-financial liabilities</t>
  </si>
  <si>
    <t xml:space="preserve">Accumulated amortisation, depreciation and impairment of non-current operating assets</t>
  </si>
  <si>
    <t xml:space="preserve">18–21</t>
  </si>
  <si>
    <t xml:space="preserve">  Goodwill and other intangible assets</t>
  </si>
  <si>
    <t xml:space="preserve">2025 after IFRS 5 transfer of the civilian business (−1,716)</t>
  </si>
  <si>
    <t xml:space="preserve">Cash Flow Statement — selected lines (group incl. discontinued operations)</t>
  </si>
  <si>
    <t xml:space="preserve">Cash flow from operating activities</t>
  </si>
  <si>
    <t xml:space="preserve">AR2024 text shows '11,720' = footnote 1 + 1,720</t>
  </si>
  <si>
    <t xml:space="preserve">Amortization/depreciation/impairment of PP&amp;E, intangible assets and investment property</t>
  </si>
  <si>
    <t xml:space="preserve">Cash outflows for PP&amp;E, intangible assets and investment property</t>
  </si>
  <si>
    <t xml:space="preserve">Key-figures table AR2025 p.3 shows 2024 = (697)</t>
  </si>
  <si>
    <t xml:space="preserve">Cash inflows from disposal of PP&amp;E, intangible assets and investment property</t>
  </si>
  <si>
    <t xml:space="preserve">Management's operating result bridge (management report)</t>
  </si>
  <si>
    <t xml:space="preserve">Operating result (EBIT before special items and PPA effects)</t>
  </si>
  <si>
    <t xml:space="preserve">2023 on the old perimeter (incl. civilian business)</t>
  </si>
  <si>
    <t xml:space="preserve">Special items</t>
  </si>
  <si>
    <t xml:space="preserve">PPA effects</t>
  </si>
  <si>
    <t xml:space="preserve">EBIT according to the bridge</t>
  </si>
  <si>
    <t xml:space="preserve">Checks</t>
  </si>
  <si>
    <t xml:space="preserve">Tolerance, € million: printed lines are rounded one by one, so a printed subtotal may differ from the sum of its printed lines by up to 2</t>
  </si>
  <si>
    <t xml:space="preserve">Printed figures (typed exactly as printed in the report)</t>
  </si>
  <si>
    <t xml:space="preserve">EBIT</t>
  </si>
  <si>
    <t xml:space="preserve">EBT</t>
  </si>
  <si>
    <t xml:space="preserve">Other assets (n.24)</t>
  </si>
  <si>
    <t xml:space="preserve">Financial debts (n.29)</t>
  </si>
  <si>
    <t xml:space="preserve">Other liabilities (n.30)</t>
  </si>
  <si>
    <t xml:space="preserve">Difference: computed − printed (should be 0 within tolerance)</t>
  </si>
  <si>
    <t xml:space="preserve">Balance sheet: total assets − total equity and liabilities</t>
  </si>
  <si>
    <t xml:space="preserve">Rounding / undisclosed difference ≤ tolerance: changes in inventories (note 10)</t>
  </si>
  <si>
    <t xml:space="preserve">Rounding / undisclosed difference ≤ tolerance: other operating income (note 11)</t>
  </si>
  <si>
    <t xml:space="preserve">Rounding / undisclosed difference ≤ tolerance: cost of materials (note 12)</t>
  </si>
  <si>
    <t xml:space="preserve">Rounding / undisclosed difference ≤ tolerance: personnel costs (note 13)</t>
  </si>
  <si>
    <t xml:space="preserve">Rounding / undisclosed difference ≤ tolerance: amortisation, depreciation and impairment (note 14)</t>
  </si>
  <si>
    <t xml:space="preserve">Rounding / undisclosed difference ≤ tolerance: other operating expenses (note 15)</t>
  </si>
  <si>
    <t xml:space="preserve">Rounding / undisclosed difference ≤ tolerance: EBIT</t>
  </si>
  <si>
    <t xml:space="preserve">Rounding / undisclosed difference ≤ tolerance: OCI after taxes</t>
  </si>
  <si>
    <t xml:space="preserve">Rounding / undisclosed difference ≤ tolerance: non-current assets</t>
  </si>
  <si>
    <t xml:space="preserve">Rounding / undisclosed difference ≤ tolerance: current assets</t>
  </si>
  <si>
    <t xml:space="preserve">Rounding / undisclosed difference ≤ tolerance: total assets</t>
  </si>
  <si>
    <t xml:space="preserve">Rounding / undisclosed difference ≤ tolerance: parent equity</t>
  </si>
  <si>
    <t xml:space="preserve">Rounding / undisclosed difference ≤ tolerance: equity</t>
  </si>
  <si>
    <t xml:space="preserve">Rounding / undisclosed difference ≤ tolerance: non-current liabilities</t>
  </si>
  <si>
    <t xml:space="preserve">Rounding / undisclosed difference ≤ tolerance: current liabilities</t>
  </si>
  <si>
    <t xml:space="preserve">Rounding / undisclosed difference ≤ tolerance: total equity and liabilities</t>
  </si>
  <si>
    <t xml:space="preserve">Rounding / undisclosed difference ≤ tolerance: note 24 vs balance sheet</t>
  </si>
  <si>
    <t xml:space="preserve">Rounding / undisclosed difference ≤ tolerance: note 29 vs balance sheet</t>
  </si>
  <si>
    <t xml:space="preserve">Rounding / undisclosed difference ≤ tolerance: note 30 vs balance sheet</t>
  </si>
  <si>
    <t xml:space="preserve">Note 24 total − (other non-current + other current assets)</t>
  </si>
  <si>
    <t xml:space="preserve">Note 29 total − (non-current + current financial debts)</t>
  </si>
  <si>
    <t xml:space="preserve">Note 30 total − (other non-current + other current liabilities)</t>
  </si>
  <si>
    <t xml:space="preserve">Discontinued operations: before tax + taxes − reported</t>
  </si>
  <si>
    <t xml:space="preserve">OCI: before tax + tax effect − reported OCI after taxes</t>
  </si>
  <si>
    <t xml:space="preserve">Management bridge EBIT − EBIT</t>
  </si>
  <si>
    <t xml:space="preserve">Source (report, printed page)</t>
  </si>
  <si>
    <t xml:space="preserve">Caption exactly as printed</t>
  </si>
  <si>
    <t xml:space="preserve">Status</t>
  </si>
  <si>
    <t xml:space="preserve">Number ↔ source</t>
  </si>
  <si>
    <t xml:space="preserve">AR2024 p.188</t>
  </si>
  <si>
    <t xml:space="preserve">AR2025 p.199</t>
  </si>
  <si>
    <t xml:space="preserve">found; 2024 restated</t>
  </si>
  <si>
    <t xml:space="preserve">formula</t>
  </si>
  <si>
    <t xml:space="preserve">derived (subtotal)</t>
  </si>
  <si>
    <t xml:space="preserve">sum of lines below</t>
  </si>
  <si>
    <t xml:space="preserve">derived (sum of note lines); printed figure in Checks</t>
  </si>
  <si>
    <t xml:space="preserve">AR2024 p.206</t>
  </si>
  <si>
    <t xml:space="preserve">AR2025 p.218</t>
  </si>
  <si>
    <t xml:space="preserve">Increase in inventory of finished and unfinished products</t>
  </si>
  <si>
    <t xml:space="preserve">found</t>
  </si>
  <si>
    <t xml:space="preserve">Other work performed by the enterprise and capitalized</t>
  </si>
  <si>
    <t xml:space="preserve">derived (rounding / undisclosed difference)</t>
  </si>
  <si>
    <t xml:space="preserve">AR2025 p.219</t>
  </si>
  <si>
    <t xml:space="preserve">Refunds</t>
  </si>
  <si>
    <t xml:space="preserve">Government grants</t>
  </si>
  <si>
    <t xml:space="preserve">Reversal of provisions</t>
  </si>
  <si>
    <t xml:space="preserve">Residual/scrap disposal</t>
  </si>
  <si>
    <t xml:space="preserve">Sundry rental agreements and leases</t>
  </si>
  <si>
    <t xml:space="preserve">Disposal of fixed assets/divestments</t>
  </si>
  <si>
    <t xml:space="preserve">Reversal of assets (excl. financial assets)</t>
  </si>
  <si>
    <t xml:space="preserve">Miscellaneous operating income</t>
  </si>
  <si>
    <t xml:space="preserve">AR2024 p.207</t>
  </si>
  <si>
    <t xml:space="preserve">Cost of raw materials, supplies and merchandise purchased</t>
  </si>
  <si>
    <t xml:space="preserve">Cost of services purchased</t>
  </si>
  <si>
    <t xml:space="preserve">Wages and salaries</t>
  </si>
  <si>
    <t xml:space="preserve">Social security and related employee benefits</t>
  </si>
  <si>
    <t xml:space="preserve">Pension expenses</t>
  </si>
  <si>
    <t xml:space="preserve">Expenses for redundancy plans, termination indemnities, partial retirement</t>
  </si>
  <si>
    <t xml:space="preserve">AR2025 p.220</t>
  </si>
  <si>
    <t xml:space="preserve">Property, plant and equipment and investment property</t>
  </si>
  <si>
    <t xml:space="preserve">AR2024 p.208</t>
  </si>
  <si>
    <t xml:space="preserve">Operating costs and maintenance</t>
  </si>
  <si>
    <t xml:space="preserve">IT costs</t>
  </si>
  <si>
    <t xml:space="preserve">Distribution and advertising costs</t>
  </si>
  <si>
    <t xml:space="preserve">Incidental personnel costs</t>
  </si>
  <si>
    <t xml:space="preserve">General administrative expenses</t>
  </si>
  <si>
    <t xml:space="preserve">Travel expenses</t>
  </si>
  <si>
    <t xml:space="preserve">Insurances</t>
  </si>
  <si>
    <t xml:space="preserve">Changes in / additions to other provisions</t>
  </si>
  <si>
    <t xml:space="preserve">Audit, legal and consultancy fees</t>
  </si>
  <si>
    <t xml:space="preserve">Write-downs of receivables</t>
  </si>
  <si>
    <t xml:space="preserve">Rents, leases and ancillary costs</t>
  </si>
  <si>
    <t xml:space="preserve">Warranties</t>
  </si>
  <si>
    <t xml:space="preserve">Patent and licensing fees</t>
  </si>
  <si>
    <t xml:space="preserve">Disposal of non-current assets (excl. financial assets)</t>
  </si>
  <si>
    <t xml:space="preserve">Other taxes</t>
  </si>
  <si>
    <t xml:space="preserve">Miscellaneous operating expenses</t>
  </si>
  <si>
    <t xml:space="preserve">AR2024 p.224</t>
  </si>
  <si>
    <t xml:space="preserve">AR2025 p.237</t>
  </si>
  <si>
    <t xml:space="preserve">AR2024 p.213</t>
  </si>
  <si>
    <t xml:space="preserve">AR2025 p.225</t>
  </si>
  <si>
    <t xml:space="preserve">AR2024 p.216</t>
  </si>
  <si>
    <t xml:space="preserve">AR2025 p.55</t>
  </si>
  <si>
    <t xml:space="preserve">The profit of €31 million resulting from the sale of the share packages ... The same applied to the initial assessment of securities at fair value (€22 million).</t>
  </si>
  <si>
    <t xml:space="preserve">AR2024 p.52</t>
  </si>
  <si>
    <t xml:space="preserve">found (management report)</t>
  </si>
  <si>
    <t xml:space="preserve">AR2023 p.226</t>
  </si>
  <si>
    <t xml:space="preserve">AR2025 p.56</t>
  </si>
  <si>
    <t xml:space="preserve">AR2025 p.214</t>
  </si>
  <si>
    <t xml:space="preserve">This resulted in an earnings effect of €15 million, which is recognised in other financial result.</t>
  </si>
  <si>
    <t xml:space="preserve">Special items from corporate transactions essentially related to transaction costs for the acquisition of Loc Performance (€6 million)</t>
  </si>
  <si>
    <t xml:space="preserve">Earlier-period income taxes</t>
  </si>
  <si>
    <t xml:space="preserve">AR2024 p.193</t>
  </si>
  <si>
    <t xml:space="preserve">AR2024 p.192</t>
  </si>
  <si>
    <t xml:space="preserve">Segment report 2023 / 2024: External sales, Power Systems</t>
  </si>
  <si>
    <t xml:space="preserve">found (segment report)</t>
  </si>
  <si>
    <t xml:space="preserve">Segment report 2023 / 2024: EBIT, Power Systems</t>
  </si>
  <si>
    <t xml:space="preserve">Special items: restructuring / there of restructuring</t>
  </si>
  <si>
    <t xml:space="preserve">Special items: others / there of others</t>
  </si>
  <si>
    <t xml:space="preserve">AR2024</t>
  </si>
  <si>
    <t xml:space="preserve">AR2025</t>
  </si>
  <si>
    <t xml:space="preserve">AR2025 p.219; p.64</t>
  </si>
  <si>
    <t xml:space="preserve">Refunds; 'insurance payments ... higher double-digit million euro amount'</t>
  </si>
  <si>
    <t xml:space="preserve">estimate (disclosed qualitatively)</t>
  </si>
  <si>
    <t xml:space="preserve">AR2023 AR2024 p.226 (1/1/2023)</t>
  </si>
  <si>
    <t xml:space="preserve">AR2024 p.226</t>
  </si>
  <si>
    <t xml:space="preserve">AR2025 p.240</t>
  </si>
  <si>
    <t xml:space="preserve">Other provisions: Structural measures</t>
  </si>
  <si>
    <t xml:space="preserve">AR2024 p.204</t>
  </si>
  <si>
    <t xml:space="preserve">AR2025 p.215</t>
  </si>
  <si>
    <t xml:space="preserve">AR2024 p.221</t>
  </si>
  <si>
    <t xml:space="preserve">AR2025 p.234</t>
  </si>
  <si>
    <t xml:space="preserve">AR2024 p.212</t>
  </si>
  <si>
    <t xml:space="preserve">AR2025 p.31</t>
  </si>
  <si>
    <t xml:space="preserve">AR2023 p.193</t>
  </si>
  <si>
    <t xml:space="preserve">AR2024 p.189</t>
  </si>
  <si>
    <t xml:space="preserve">AR2025 p.200</t>
  </si>
  <si>
    <t xml:space="preserve">Deferred taxes (assets side)</t>
  </si>
  <si>
    <t xml:space="preserve">Deferred taxes (liabilities side)</t>
  </si>
  <si>
    <t xml:space="preserve">AR2023 p.227</t>
  </si>
  <si>
    <t xml:space="preserve">AR2024 p.217</t>
  </si>
  <si>
    <t xml:space="preserve">AR2025 p.230</t>
  </si>
  <si>
    <t xml:space="preserve">Derivatives</t>
  </si>
  <si>
    <t xml:space="preserve">Bonds (non-current)</t>
  </si>
  <si>
    <t xml:space="preserve">Current securities (shares in Shriram Pistons &amp; Rings, at fair value)</t>
  </si>
  <si>
    <t xml:space="preserve">Other financial assets (receivables from customers, finance leases, other)</t>
  </si>
  <si>
    <t xml:space="preserve">Contract acquisition costs</t>
  </si>
  <si>
    <t xml:space="preserve">Contract costs</t>
  </si>
  <si>
    <t xml:space="preserve">Prepaid expenses</t>
  </si>
  <si>
    <t xml:space="preserve">Net defined benefit asset from plan assets (pension surplus)</t>
  </si>
  <si>
    <t xml:space="preserve">Other non-financial assets</t>
  </si>
  <si>
    <t xml:space="preserve">AR2023 p.238</t>
  </si>
  <si>
    <t xml:space="preserve">AR2024 p.227</t>
  </si>
  <si>
    <t xml:space="preserve">Convertible bond</t>
  </si>
  <si>
    <t xml:space="preserve">Promissory note loans</t>
  </si>
  <si>
    <t xml:space="preserve">Bank liabilities</t>
  </si>
  <si>
    <t xml:space="preserve">Leasing</t>
  </si>
  <si>
    <t xml:space="preserve">Commercial paper</t>
  </si>
  <si>
    <t xml:space="preserve">Other</t>
  </si>
  <si>
    <t xml:space="preserve">AR2023 p.240</t>
  </si>
  <si>
    <t xml:space="preserve">AR2024 p.230</t>
  </si>
  <si>
    <t xml:space="preserve">AR2025 p.243</t>
  </si>
  <si>
    <t xml:space="preserve">Other financial liabilities</t>
  </si>
  <si>
    <t xml:space="preserve">Liabilities from other taxes</t>
  </si>
  <si>
    <t xml:space="preserve">Liabilities from social security</t>
  </si>
  <si>
    <t xml:space="preserve">Other non-financial liabilities</t>
  </si>
  <si>
    <t xml:space="preserve">AR2023 p.220</t>
  </si>
  <si>
    <t xml:space="preserve">AR2024 p.211</t>
  </si>
  <si>
    <t xml:space="preserve">AR2025 p.223</t>
  </si>
  <si>
    <t xml:space="preserve">Amortization and depreciation/impairment, as of 12/31 (Total column)</t>
  </si>
  <si>
    <t xml:space="preserve">AR2023 p.222</t>
  </si>
  <si>
    <t xml:space="preserve">AR2023 p.224</t>
  </si>
  <si>
    <t xml:space="preserve">AR2024 p.214</t>
  </si>
  <si>
    <t xml:space="preserve">AR2025 p.227</t>
  </si>
  <si>
    <t xml:space="preserve">AR2024 p.215</t>
  </si>
  <si>
    <t xml:space="preserve">AR2025 p.228</t>
  </si>
  <si>
    <t xml:space="preserve">Amortization and depreciation/impairment, as of 12/31</t>
  </si>
  <si>
    <t xml:space="preserve">AR2024 p.190</t>
  </si>
  <si>
    <t xml:space="preserve">AR2025 p.201</t>
  </si>
  <si>
    <t xml:space="preserve">Every number in 'Reported Financials' has a source</t>
  </si>
  <si>
    <t xml:space="preserve">Issue log — one record per distinct conflict or analytical issue (kept when resolved)</t>
  </si>
  <si>
    <t xml:space="preserve">Issue ID</t>
  </si>
  <si>
    <t xml:space="preserve">Date</t>
  </si>
  <si>
    <t xml:space="preserve">Agent / module version</t>
  </si>
  <si>
    <t xml:space="preserve">Iteration(s)</t>
  </si>
  <si>
    <t xml:space="preserve">Task / request</t>
  </si>
  <si>
    <t xml:space="preserve">Conflict or analytical issue</t>
  </si>
  <si>
    <t xml:space="preserve">Evidence (document, page/note or tab/cells)</t>
  </si>
  <si>
    <t xml:space="preserve">Question we asked</t>
  </si>
  <si>
    <t xml:space="preserve">Rule we applied (course slide / prompt rule)</t>
  </si>
  <si>
    <t xml:space="preserve">Change made / reason unchanged</t>
  </si>
  <si>
    <t xml:space="preserve">Affected outputs</t>
  </si>
  <si>
    <t xml:space="preserve">Status and how we resolved it</t>
  </si>
  <si>
    <t xml:space="preserve">I-01</t>
  </si>
  <si>
    <t xml:space="preserve">Agent v1.0</t>
  </si>
  <si>
    <t xml:space="preserve">1</t>
  </si>
  <si>
    <t xml:space="preserve">Part 1 extraction</t>
  </si>
  <si>
    <t xml:space="preserve">Prior year restated in report T, T−2 not restated: 2024 is shown on the new perimeter (civilian business discontinued), 2023 on the old one.</t>
  </si>
  <si>
    <t xml:space="preserve">AR2025 p.199 (2024 restated) vs AR2024 p.188 (2023)</t>
  </si>
  <si>
    <t xml:space="preserve">Use the restated 2024 and the unrestated 2023?</t>
  </si>
  <si>
    <t xml:space="preserve">Latest published version of each year (Part 1 rule A1.2).</t>
  </si>
  <si>
    <t xml:space="preserve">2024 taken from AR2025, 2023 from AR2024; comparability flagged in every T−1 vs T−2 change.</t>
  </si>
  <si>
    <t xml:space="preserve">All 2023→2024 changes; Ratio Summary screen</t>
  </si>
  <si>
    <t xml:space="preserve">Resolved — limitation disclosed</t>
  </si>
  <si>
    <t xml:space="preserve">I-02</t>
  </si>
  <si>
    <t xml:space="preserve">Footnote markers fused into numbers by text extraction: 'EBIT¹ 897' read as 1897; CFO 2024 read as '11,720' in AR2024; equity-method result 2023 read as '157'.</t>
  </si>
  <si>
    <t xml:space="preserve">AR2024 and AR2023 statements as text; see the comment column of Reported Financials (EBIT, equity-method result, cash flow from operating activities)</t>
  </si>
  <si>
    <t xml:space="preserve">—</t>
  </si>
  <si>
    <t xml:space="preserve">Rule A1.5 (5): every figure must pass a subtotal check or be confirmed twice.</t>
  </si>
  <si>
    <t xml:space="preserve">Corrected to 897 / 1,720 / 57; confirmed by the printed-subtotal checks.</t>
  </si>
  <si>
    <t xml:space="preserve">Reported Financials IS and CF</t>
  </si>
  <si>
    <t xml:space="preserve">Resolved</t>
  </si>
  <si>
    <t xml:space="preserve">I-03</t>
  </si>
  <si>
    <t xml:space="preserve">Capex 2024 differs between documents: 732 in the cash flow statement vs 697 in the key-figures table.</t>
  </si>
  <si>
    <t xml:space="preserve">AR2025 p.201 (cash flow) vs AR2025 p.3 (key figures)</t>
  </si>
  <si>
    <t xml:space="preserve">Which figure prevails?</t>
  </si>
  <si>
    <t xml:space="preserve">Awaiting: the cash flow statement is used as the primary statement.</t>
  </si>
  <si>
    <t xml:space="preserve">732 used; difference shown in the comment column.</t>
  </si>
  <si>
    <t xml:space="preserve">Net capex, capex-to-sales, capex / D&amp;A (P5)</t>
  </si>
  <si>
    <t xml:space="preserve">Resolved: we use the cash flow statement (732), because the statement prevails over the key-figures table. The 35 gap is explained in the comment column.</t>
  </si>
  <si>
    <t xml:space="preserve">I-04</t>
  </si>
  <si>
    <t xml:space="preserve">Part 2 R7</t>
  </si>
  <si>
    <t xml:space="preserve">Interest expenses include the IFRS 15 financing component on customer advances; the amount is not disclosed.</t>
  </si>
  <si>
    <t xml:space="preserve">Reclassify to operating without an amount?</t>
  </si>
  <si>
    <t xml:space="preserve">R7: leave in [C] and state it.</t>
  </si>
  <si>
    <t xml:space="preserve">Left in net financial expenses [C]; comment added.</t>
  </si>
  <si>
    <t xml:space="preserve">[C], IBUIT, Kd, NFE, ROE spreads</t>
  </si>
  <si>
    <t xml:space="preserve">Resolved: the financing interest on customer advances is not disclosed, so it stays in [C]. It slightly overstates our cost of debt, and we say so where Kd is shown.</t>
  </si>
  <si>
    <t xml:space="preserve">I-05</t>
  </si>
  <si>
    <t xml:space="preserve">Part 2 R4</t>
  </si>
  <si>
    <t xml:space="preserve">Net interest on pensions sits inside interest expenses, while pensions are operating liabilities.</t>
  </si>
  <si>
    <t xml:space="preserve">Note 27, AR2025 p.237; AR2024 p.224</t>
  </si>
  <si>
    <t xml:space="preserve">R4 / B3: reclassify to personnel (coherence with the balance sheet).</t>
  </si>
  <si>
    <t xml:space="preserve">Pension interest moved to EBITDA; [C] excludes it.</t>
  </si>
  <si>
    <t xml:space="preserve">EBITDA, [A], [C]</t>
  </si>
  <si>
    <t xml:space="preserve">I-06</t>
  </si>
  <si>
    <t xml:space="preserve">Part 3 C1; Part 5 P5</t>
  </si>
  <si>
    <t xml:space="preserve">Income statement presented by nature: no cost of sales, no gross profit; COGS and purchases not disclosed.</t>
  </si>
  <si>
    <t xml:space="preserve">AR2025 p.199 (IS by nature); note 12</t>
  </si>
  <si>
    <t xml:space="preserve">Use proxies?</t>
  </si>
  <si>
    <t xml:space="preserve">C1: lens 1 'n.d.'. P5: COGS proxy = materials + services − inventory change; purchases = cost of materials and services.</t>
  </si>
  <si>
    <t xml:space="preserve">Lens 1 n.d.; DIO and DPO labelled as proxies.</t>
  </si>
  <si>
    <t xml:space="preserve">Lens 1, DIO, DPO, CCC</t>
  </si>
  <si>
    <t xml:space="preserve">Resolved: Rheinmetall reports costs by nature, so cost of sales cannot be rebuilt. Lens 1 is shown as not derivable, and DIO and DPO are labelled as proxies.</t>
  </si>
  <si>
    <t xml:space="preserve">I-07</t>
  </si>
  <si>
    <t xml:space="preserve">Part 4 B5</t>
  </si>
  <si>
    <t xml:space="preserve">Current 'bonds' in the other-assets note are in fact shares in Shriram Pistons &amp; Rings (strategic stake).</t>
  </si>
  <si>
    <t xml:space="preserve">Note 24, AR2023 p.227</t>
  </si>
  <si>
    <t xml:space="preserve">B5: strategic securities are non-operating, not liquidity.</t>
  </si>
  <si>
    <t xml:space="preserve">Classified as non-operating assets, not as short-term financial assets.</t>
  </si>
  <si>
    <t xml:space="preserve">NFP, non-operating assets, [B]/non-operating assets</t>
  </si>
  <si>
    <t xml:space="preserve">I-08</t>
  </si>
  <si>
    <t xml:space="preserve">Part 4 B5; Part 2 R9</t>
  </si>
  <si>
    <t xml:space="preserve">Civilian business classified as held for sale at 31/12/2025 (IFRS 5).</t>
  </si>
  <si>
    <t xml:space="preserve">Note 8, AR2025 p.215–216</t>
  </si>
  <si>
    <t xml:space="preserve">B5 slide 19 option 1; R9 criterion 1.</t>
  </si>
  <si>
    <t xml:space="preserve">Net assets held for sale in non-operating assets; discontinued result before tax in unusual items; 2025 asset bases fall.</t>
  </si>
  <si>
    <t xml:space="preserve">Managerial BS 2025; P7 base; ROE 2025</t>
  </si>
  <si>
    <t xml:space="preserve">I-09</t>
  </si>
  <si>
    <t xml:space="preserve">Part 5 P6</t>
  </si>
  <si>
    <t xml:space="preserve">Trademarks are not disclosed separately from other intangible assets.</t>
  </si>
  <si>
    <t xml:space="preserve">Note 18, AR2025 p.223</t>
  </si>
  <si>
    <t xml:space="preserve">P6: remove goodwill only and state it.</t>
  </si>
  <si>
    <t xml:space="preserve">Adjusted ROI excludes goodwill only.</t>
  </si>
  <si>
    <t xml:space="preserve">Adjusted core ROI</t>
  </si>
  <si>
    <t xml:space="preserve">I-10</t>
  </si>
  <si>
    <t xml:space="preserve">Part 5 E7</t>
  </si>
  <si>
    <t xml:space="preserve">Short-term interest and short-term financial debt are not disclosed separately, so the short-term borrowing rate cannot be computed.</t>
  </si>
  <si>
    <t xml:space="preserve">Note 29 (financial debts), IS interest line</t>
  </si>
  <si>
    <t xml:space="preserve">Use a market rate instead of the proxy?</t>
  </si>
  <si>
    <t xml:space="preserve">E7: proxy = financial expenses / financial liabilities × (1 − t); override cell available.</t>
  </si>
  <si>
    <t xml:space="preserve">Proxy used; override cell left blank.</t>
  </si>
  <si>
    <t xml:space="preserve">Implicit interest, ROOA</t>
  </si>
  <si>
    <t xml:space="preserve">Resolved: short-term interest is not disclosed, so we use the average cost of debt as our proxy and left an input cell for a market rate.</t>
  </si>
  <si>
    <t xml:space="preserve">I-11</t>
  </si>
  <si>
    <t xml:space="preserve">Part 5 checks</t>
  </si>
  <si>
    <t xml:space="preserve">Ratio identities (NOIC/NFO forms) differed by ~0.01 pp because the managerial BS did not tie exactly (NIC − (NFP + NE) = −1 to −2).</t>
  </si>
  <si>
    <t xml:space="preserve">Reformation &amp; Profitability, check 'Managerial BS: net invested capital − (NFP + net equity)' (before I-13)</t>
  </si>
  <si>
    <t xml:space="preserve">Solved at the source by I-13.</t>
  </si>
  <si>
    <t xml:space="preserve">After I-13 the managerial BS ties exactly; ratio tolerance reduced from 0.05 pp to 0.01 pp (floating-point only). All identities 0.</t>
  </si>
  <si>
    <t xml:space="preserve">ROI/ROE checks</t>
  </si>
  <si>
    <t xml:space="preserve">I-12</t>
  </si>
  <si>
    <t xml:space="preserve">Part 6 S0</t>
  </si>
  <si>
    <t xml:space="preserve">Only three years: the material-change screen compares T with a single prior change, and that prior change is not like-for-like (I-01).</t>
  </si>
  <si>
    <t xml:space="preserve">Ratio Summary</t>
  </si>
  <si>
    <t xml:space="preserve">Is one prior change enough history?</t>
  </si>
  <si>
    <t xml:space="preserve">S0: flag, show both changes, no causes.</t>
  </si>
  <si>
    <t xml:space="preserve">Screen applied to T only; limitation stated under the Ratio Summary.</t>
  </si>
  <si>
    <t xml:space="preserve">Ratio Summary flags</t>
  </si>
  <si>
    <t xml:space="preserve">Resolved: with three years we can only compare 2025 with one earlier change. We state this limitation under the Ratio Summary.</t>
  </si>
  <si>
    <t xml:space="preserve">I-13</t>
  </si>
  <si>
    <t xml:space="preserve">Face lines of the income statement (other operating income, cost of materials, personnel, D&amp;A, other operating expenses) were built as the SUM of the rounded note lines, so they differed by ±1 from the printed statement; rebuilt EBIT was 1,686 vs 1,684 printed (2025) and 1,273 vs 1,270 (2024). The check tolerance had been raised from 2 to 3 to make the checks pass.</t>
  </si>
  <si>
    <t xml:space="preserve">AR2025 p.199 (IS face) vs notes 11–15, AR2025 p.219–220; Reported Financials Checks (before fix); cross-check with a group member's manual extraction (I-14)</t>
  </si>
  <si>
    <t xml:space="preserve">Take each line from the notes or from the statement?</t>
  </si>
  <si>
    <t xml:space="preserve">Statement prevails: the primary statement is what is reported; notes only break it down. Add a catch-all line under every breakdown and above every printed subtotal that does not add up. Tolerance back to 2 with a stated reason; never widen a tolerance to make a check pass.</t>
  </si>
  <si>
    <t xml:space="preserve">Added 'Rounding / undisclosed difference' lines under the 9 note breakdowns (face or balance-sheet line − sum of note lines) and 'Rounding difference to the printed subtotal' lines above EBIT, OCI and the 8 balance-sheet subtotals. Every face line and subtotal now equals the printed figure. Largest difference ±1. Tolerance = 2. Carried into the reformulation: rounding row in [A] (R3), in unusual items (R9), in fixed costs (C3) and in operating assets / liabilities / equity (B2, B3, B8).</t>
  </si>
  <si>
    <t xml:space="preserve">Reported Financials; [A], EBITDA, added value; managerial BS; all checks</t>
  </si>
  <si>
    <t xml:space="preserve">I-14</t>
  </si>
  <si>
    <t xml:space="preserve">Part 1 extraction (verification)</t>
  </si>
  <si>
    <t xml:space="preserve">Independent cross-check of 203 figures (IS, BS, OCI; 2023–2025) against a group member's manual extraction: 25 differences.</t>
  </si>
  <si>
    <t xml:space="preserve">Manual file 'Statements.xlsx' vs Reported Financials; AR2024 p.188–189; AR2025 p.199–200</t>
  </si>
  <si>
    <t xml:space="preserve">Trace each difference to the printed page.</t>
  </si>
  <si>
    <t xml:space="preserve">20 differences were errors in the manual file (2023 income-statement column copied from 2024; inventories 2023 typed 3,246 vs 3,244 printed; thousand separators read as decimals). 5 were the ±1 rounding of I-13, now fixed. No change to the workbook figures.</t>
  </si>
  <si>
    <t xml:space="preserve">Reported Financials</t>
  </si>
  <si>
    <t xml:space="preserve">I-15</t>
  </si>
  <si>
    <t xml:space="preserve">Part 2 R9/R10 (slide review)</t>
  </si>
  <si>
    <t xml:space="preserve">Earlier-period income taxes were left inside the tax line although slide 21 (first example) and ASICS (slide 27) treat taxes of past years as unusual (matching principle).</t>
  </si>
  <si>
    <t xml:space="preserve">Tax note 16: composition of income taxes, AR2025 p.220 (2025: 11; 2024: 1) and AR2024 p.208 (2023: (3))</t>
  </si>
  <si>
    <t xml:space="preserve">R9 table row 'income taxes relating to prior years' + slide 21.</t>
  </si>
  <si>
    <t xml:space="preserve">Added line 'Earlier-period income taxes' to Reported Financials; moved to unusual items (u8b) and removed from income taxes (tx1). Comprehensive income unchanged; tax rate on EBT 2025 now 36.4%.</t>
  </si>
  <si>
    <t xml:space="preserve">Unusual items, income taxes, tax rate, NOPAT (Penman)</t>
  </si>
  <si>
    <t xml:space="preserve">I-16</t>
  </si>
  <si>
    <t xml:space="preserve">Part 2 R6/R9 (slide review)</t>
  </si>
  <si>
    <t xml:space="preserve">The 2025 other financial result (−7) contains a €15m gain from remeasuring the previously held 40% interest in blackned at fair value (IFRS 3 step acquisition). It was inside non-core income [B].</t>
  </si>
  <si>
    <t xml:space="preserve">Acquisitions note, AR2025 p.214: 'This resulted in an earnings effect of €15 million, which is recognised in other financial result.' Management treats it as a special item (AR2025 p.55)</t>
  </si>
  <si>
    <t xml:space="preserve">Slide 25 (fair-value remeasurement in profit or loss) + slide 26 criteria 4 and 5.</t>
  </si>
  <si>
    <t xml:space="preserve">Moved to unusual items (u7b); [B] 2025 = −21 (other financial result excl. the gain = −22).</t>
  </si>
  <si>
    <t xml:space="preserve">[B], operating income, IBUIT, ROI non-core</t>
  </si>
  <si>
    <t xml:space="preserve">I-17</t>
  </si>
  <si>
    <t xml:space="preserve">Part 2 R9 (slide review)</t>
  </si>
  <si>
    <t xml:space="preserve">Transaction costs for the acquisition of Loc Performance (€6m, 2024) were inside other operating expenses (core).</t>
  </si>
  <si>
    <t xml:space="preserve">Management report special items: AR2024 p.51; AR2025 p.55 (Vehicle Systems, corporate transactions (6))</t>
  </si>
  <si>
    <t xml:space="preserve">Costs of business combinations are unusual in nature / infrequent (AB InBev, Danone, slides 16–19).</t>
  </si>
  <si>
    <t xml:space="preserve">Added to Reported Financials (additional information); moved to unusual items (u7c); other operating expenses recurring 2024 = −862. [A] 2024 = 1,270.</t>
  </si>
  <si>
    <t xml:space="preserve">[A], EBITDA, cost structure</t>
  </si>
  <si>
    <t xml:space="preserve">I-18</t>
  </si>
  <si>
    <t xml:space="preserve">Part 2 R12 (slide review)</t>
  </si>
  <si>
    <t xml:space="preserve">2025 refunds of 118 (21 in 2024, 5 in 2023) are mainly insurance payments for production losses at the Murcia site: a disaster-related refund (slide 21 '?').</t>
  </si>
  <si>
    <t xml:space="preserve">Note 11, AR2025 p.219; segment report, AR2025 p.64 ('higher double-digit million euro amount')</t>
  </si>
  <si>
    <t xml:space="preserve">Should the insurance refund be treated as unusual?</t>
  </si>
  <si>
    <t xml:space="preserve">Group decision: a refund linked to a natural disaster is unusual (Session 2 slide 21). Where only words are disclosed, estimate the one-off part as the increase over the prior-year level.</t>
  </si>
  <si>
    <t xml:space="preserve">Moved the estimated one-off part (118 − 21 = 97) to unusual items (u7e). [A] 2025 = 1,566; EBITDA 2025 = 1,960; ROS 2025 = 15.8%.</t>
  </si>
  <si>
    <t xml:space="preserve">[A], EBITDA, ROS, RONA 2025</t>
  </si>
  <si>
    <t xml:space="preserve">Resolved: we treat the refund as unusual, because it relates to a one-off natural disaster at Murcia. The one-off part (97) is our estimate, in line with the report's wording.</t>
  </si>
  <si>
    <t xml:space="preserve">I-19</t>
  </si>
  <si>
    <t xml:space="preserve">Part 2 R6 (slide review)</t>
  </si>
  <si>
    <t xml:space="preserve">Session 2 slide 3 puts income from investment property in non-core income [B]; Session 4 slide 8 says many analysts treat investment property as operating. Rheinmetall does not disclose investment-property income separately.</t>
  </si>
  <si>
    <t xml:space="preserve">Session 2 slide 3; Session 4 slide 8; IS/notes: rental income only as 'sundry rental agreements and leases' (n.11)</t>
  </si>
  <si>
    <t xml:space="preserve">Which session prevails?</t>
  </si>
  <si>
    <t xml:space="preserve">Coherence rule (slide 3): income follows the balance-sheet classification. Investment property is immaterial (2–24) and its income is not disclosed, so both stay operating.</t>
  </si>
  <si>
    <t xml:space="preserve">No change; decision written into the prompt (R6).</t>
  </si>
  <si>
    <t xml:space="preserve">[A], [B], NOIC</t>
  </si>
  <si>
    <t xml:space="preserve">I-20</t>
  </si>
  <si>
    <t xml:space="preserve">Slide 13 allows ancillary businesses (identified through segment reporting) to be shown as non-core [B]. In 2023 (AR2024, not restated) the civilian business (Power Systems) is still inside continuing operations; from 2024 it is discontinued.</t>
  </si>
  <si>
    <t xml:space="preserve">Session 2 slide 13; AR2024 segment report (Power Systems); AR2025 note 8</t>
  </si>
  <si>
    <t xml:space="preserve">Reclassify the 2023 civilian business to [B]?</t>
  </si>
  <si>
    <t xml:space="preserve">Slide 13: discretionary choice. Its costs are not split by nature by segment, so it cannot be removed line by line from [A].</t>
  </si>
  <si>
    <t xml:space="preserve">Kept in [A] for 2023; comparability break stated (I-01).</t>
  </si>
  <si>
    <t xml:space="preserve">[A] 2023, all 2023→2024 changes</t>
  </si>
  <si>
    <t xml:space="preserve">Resolved: we keep the 2023 civilian business in core income because its costs are not split by nature, and show a growth rate on a comparable perimeter instead.</t>
  </si>
  <si>
    <t xml:space="preserve">I-21</t>
  </si>
  <si>
    <t xml:space="preserve">Part 2 R12 (peer review)</t>
  </si>
  <si>
    <t xml:space="preserve">2023 is on a different perimeter: as reported in AR2024 (not restated) it still contains the civilian business (Power Systems: external sales 2,081, EBIT 129). Reported 2024 growth +7.5% is really about +51% on a comparable basis; the R&amp;D 'red flag' (3.0% → 1.3%) and the 2024 elasticity are mostly a perimeter effect.</t>
  </si>
  <si>
    <t xml:space="preserve">AR2024 segment report p.193; AR2025 p.199 (2024 restated)</t>
  </si>
  <si>
    <t xml:space="preserve">M4: flag comparability breaks; never restate yourself, but show a comparable-perimeter memo where the segment note gives the figures.</t>
  </si>
  <si>
    <t xml:space="preserve">Added Power Systems sales/EBIT memo lines (Reported Financials) and 'Growth % — net revenues on a comparable perimeter' (51.4%). R&amp;D and elasticity comments now say 2023→2024 is a perimeter effect; compare 2024→2025 only.</t>
  </si>
  <si>
    <t xml:space="preserve">Trend analysis, cost structure, Ratio Summary</t>
  </si>
  <si>
    <t xml:space="preserve">I-22</t>
  </si>
  <si>
    <t xml:space="preserve">Part 4/5 (peer review)</t>
  </si>
  <si>
    <t xml:space="preserve">IFRS 5 restated the 2024 income statement (civilian business → discontinued) but not the 2024 balance sheet, which still contains the civilian assets. Every 2024 return ratio mixes two perimeters (numerator without, denominator with the civilian business).</t>
  </si>
  <si>
    <t xml:space="preserve">AR2025 p.199–200; note 8 (held for sale only from 31/12/2025); AR2024 p.192 (Power Systems 2024 EBIT 75)</t>
  </si>
  <si>
    <t xml:space="preserve">Accept 2024 ratios with a flag?</t>
  </si>
  <si>
    <t xml:space="preserve">M4: flag; never restate the balance sheet without disclosed amounts (no 2024 segment assets are disclosed).</t>
  </si>
  <si>
    <t xml:space="preserve">Added indicative memo: 2024 ([A] + civilian EBIT 75) / NOIC = 25.8% vs 24.4% reported basis. 2023 and 2025 are internally consistent.</t>
  </si>
  <si>
    <t xml:space="preserve">All 2024 ROI/ROE ratios</t>
  </si>
  <si>
    <t xml:space="preserve">Resolved: we cannot restate the 2024 balance sheet ourselves, so we added same-perimeter memo lines and flag every 2024 ratio as indicative.</t>
  </si>
  <si>
    <t xml:space="preserve">I-23</t>
  </si>
  <si>
    <t xml:space="preserve">Part 2 R9 (peer review)</t>
  </si>
  <si>
    <t xml:space="preserve">Recurring accounts were removed from core in full: provision reversals (53/55/44), disposal results and receivable write-downs are present every year with the same sign, while provision additions stayed in core. This contradicted our own '?' test and progress note 1.</t>
  </si>
  <si>
    <t xml:space="preserve">Notes 11 and 15 (AR2025 p.219–220; AR2024 p.206–208)</t>
  </si>
  <si>
    <t xml:space="preserve">Recurrence test applied to all matching-principle, infrequent and '?' items: same sign in all three years = recurring (slide 26: unusual items are volatile in amount and sign; S3 slide 8: provision additions and reversals treated symmetrically).</t>
  </si>
  <si>
    <t xml:space="preserve">Reversal of provisions, net disposal result and write-downs of receivables moved back into [A]. Impairments (net) and earlier-period taxes stay unusual (sign changes). Recurrence-test block added. [A] = 840 / 1,304 / 1,656 (was 802 / 1,270 / 1,653).</t>
  </si>
  <si>
    <t xml:space="preserve">[A], EBITDA, IBUIT, unusual items, all ratios</t>
  </si>
  <si>
    <t xml:space="preserve">I-24</t>
  </si>
  <si>
    <t xml:space="preserve">Part 5 E7 (peer review)</t>
  </si>
  <si>
    <t xml:space="preserve">The 2025 tax rate used for NOPAT (36.4%, taxes on comprehensive EBT) is distorted by discontinued-operation taxes (largely non-deductible impairment of 350) and OCI taxes.</t>
  </si>
  <si>
    <t xml:space="preserve">Note 8 (discontinued: EBT −315, taxes −27); reported continuing tax rate 25.2% (AR2025 p.199)</t>
  </si>
  <si>
    <t xml:space="preserve">E7: NOPAT uses the tax rate of continuing operations; the comprehensive rate stays in R10 for the tax-effect ratio.</t>
  </si>
  <si>
    <t xml:space="preserve">t = current-year continuing taxes / reported EBT = 23.1% / 28.0% / 24.5% (earlier-period taxes excluded, I-15). NOPAT 2025 = 1,250 (was about 1,051).</t>
  </si>
  <si>
    <t xml:space="preserve">NOPAT, RNOA, ROOA, Penman ROE split</t>
  </si>
  <si>
    <t xml:space="preserve">I-25</t>
  </si>
  <si>
    <t xml:space="preserve">Part 3 C3 (peer review)</t>
  </si>
  <si>
    <t xml:space="preserve">The fixed/variable split does not hold: the 2024 DOL predicted about +88% growth in core income for 2025; actual growth was +27%. The workbook left out the 'estimate' label that C3 requires.</t>
  </si>
  <si>
    <t xml:space="preserve">Reformation &amp; Profitability, cost structure lens 3</t>
  </si>
  <si>
    <t xml:space="preserve">C3 + slide 14 ('the myth of variable/fixed costs').</t>
  </si>
  <si>
    <t xml:space="preserve">Header labelled 'ILLUSTRATIVE ESTIMATE (slide 14)'; added the test rows 'predicted %Δ[A] = DOL(T−1) × %Δ revenues' vs 'actual %Δ[A]'.</t>
  </si>
  <si>
    <t xml:space="preserve">DOL, MOS, break-even</t>
  </si>
  <si>
    <t xml:space="preserve">I-26</t>
  </si>
  <si>
    <t xml:space="preserve">Management's restructuring (−1 / −2 / −7) and 'other' special items (−6 / +11 / −1) were neither tested nor logged.</t>
  </si>
  <si>
    <t xml:space="preserve">AR2024 p.52 (2023); AR2025 p.55 (2024–25)</t>
  </si>
  <si>
    <t xml:space="preserve">Move 'others' without knowing the line?</t>
  </si>
  <si>
    <t xml:space="preserve">Recurrence test: restructuring = recurring (stays); others = unusual by the test, but the line and content are not disclosed, so they cannot be moved without estimating.</t>
  </si>
  <si>
    <t xml:space="preserve">Both added to Reported Financials and to the recurrence-test block. 'Others' left in place (≤ 11).</t>
  </si>
  <si>
    <t xml:space="preserve">[A] (≤ 11)</t>
  </si>
  <si>
    <t xml:space="preserve">Resolved: restructuring is now unusual (I-46). 'Other' special items are small (≤ 11) and their line is not disclosed, so they stay in core income.</t>
  </si>
  <si>
    <t xml:space="preserve">I-27</t>
  </si>
  <si>
    <t xml:space="preserve">The 2023 Shriram effects total 69; the workbook removed 59, all from the equity-method line, but only 53 (31 gain + 22 initial fair value) sits there. The other items: 5 fair-value gain in the other financial result, 10 at-equity share of profit, 1 dividend.</t>
  </si>
  <si>
    <t xml:space="preserve">AR2023 note, p.226 ('total impact on earnings ... €69 million'); AR2024 p.216</t>
  </si>
  <si>
    <t xml:space="preserve">Move each disclosed component from the line that contains it.</t>
  </si>
  <si>
    <t xml:space="preserve">Equity line: 53 removed (was 59). Other financial result: 5 fair-value gain removed (criterion 5). The share of profit (10) and dividend (1) stay in [B] as recurring non-core income.</t>
  </si>
  <si>
    <t xml:space="preserve">[B] 2023, unusual items 2023</t>
  </si>
  <si>
    <t xml:space="preserve">I-28</t>
  </si>
  <si>
    <t xml:space="preserve">Part 2 R4 (peer review)</t>
  </si>
  <si>
    <t xml:space="preserve">The net pension interest moved into personnel costs is a group total that includes discontinued operations (the pension note does not split it).</t>
  </si>
  <si>
    <t xml:space="preserve">R4; split only if disclosed.</t>
  </si>
  <si>
    <t xml:space="preserve">Kept (5–12 per year); caveat added to the row label.</t>
  </si>
  <si>
    <t xml:space="preserve">I-29</t>
  </si>
  <si>
    <t xml:space="preserve">Part 1/2 rounding (peer review)</t>
  </si>
  <si>
    <t xml:space="preserve">Two rounding rows each combined ±1 differences from separate reconciliations, which cancelled out in 2024 and 2025 and so looked like zero.</t>
  </si>
  <si>
    <t xml:space="preserve">Reformation &amp; Profitability, unusual items (discontinued and OCI rounding) and the [A] rounding row</t>
  </si>
  <si>
    <t xml:space="preserve">One rounding row per reconciliation; never net them.</t>
  </si>
  <si>
    <t xml:space="preserve">Split into 'discontinued-operations note vs statement' and 'OCI note vs statement', and into 'rounding to printed EBIT' and 'rounding in note breakdowns'.</t>
  </si>
  <si>
    <t xml:space="preserve">Unusual items, [A]</t>
  </si>
  <si>
    <t xml:space="preserve">I-30</t>
  </si>
  <si>
    <t xml:space="preserve">Part 3 C1 (portability)</t>
  </si>
  <si>
    <t xml:space="preserve">Lens 1 (income statement by function) said 'not derivable for Rheinmetall': a company-specific result rather than a rule, so the agent would not know how to build the lens for another company or when to refuse.</t>
  </si>
  <si>
    <t xml:space="preserve">Session 3 slides 3–5 (slide 4: manufacturing and retail cost of sales; allocations require considerable judgement); IS by nature, AR2025 p.199</t>
  </si>
  <si>
    <t xml:space="preserve">Professor: put the rule, never the result. Cross-sector portability test.</t>
  </si>
  <si>
    <t xml:space="preserve">C1 rewritten as a decision rule: identify the presentation → by function: build it → by nature: test the manufacturing inputs (direct materials, direct labour, factory overhead, inventory movements) or the retail inputs (merchandise purchases ± inventory) → build only if all are disclosed, otherwise n.d. with the missing inputs named. Availability test added to the workbook.</t>
  </si>
  <si>
    <t xml:space="preserve">Cost structure lens 1; gross-profit ratios</t>
  </si>
  <si>
    <t xml:space="preserve">I-31</t>
  </si>
  <si>
    <t xml:space="preserve">Part 2 R3 / Part 3 C2 (cost review)</t>
  </si>
  <si>
    <t xml:space="preserve">Added value used the whole 'other operating expenses' account as an external cost, although it contains non-purchases (provisions, write-downs, disposal losses, other taxes) and personnel-related costs.</t>
  </si>
  <si>
    <t xml:space="preserve">Note 15 components (AR2025 p.220); Session 3 slide 6 (external costs = resources bought from third parties)</t>
  </si>
  <si>
    <t xml:space="preserve">Classify other operating expenses component by component.</t>
  </si>
  <si>
    <t xml:space="preserve">Split into: other services purchased from third parties (inside added value), other operating costs that are not purchases (after added value), incidental personnel costs (with personnel). Added value = 3,239 / 3,459 / 4,370.</t>
  </si>
  <si>
    <t xml:space="preserve">Added value, externalisation, lens 2</t>
  </si>
  <si>
    <t xml:space="preserve">I-32</t>
  </si>
  <si>
    <t xml:space="preserve">Recurring other operating income (refunds, grants, provision reversals, rentals) was netted against external costs, which is not the slide definition of added value.</t>
  </si>
  <si>
    <t xml:space="preserve">Note 11; Session 3 slide 6</t>
  </si>
  <si>
    <t xml:space="preserve">Other operating income is income, not a negative purchase; offset only if the note links it to a specific cost.</t>
  </si>
  <si>
    <t xml:space="preserve">Shown on its own row after added value, before EBITDA. EBITDA unchanged by this step.</t>
  </si>
  <si>
    <t xml:space="preserve">I-33</t>
  </si>
  <si>
    <t xml:space="preserve">Part 2 R4 (cost review)</t>
  </si>
  <si>
    <t xml:space="preserve">Net pension interest was deducted before EBITDA, although slide 7 defines EBITDA as added value − personnel, before interest.</t>
  </si>
  <si>
    <t xml:space="preserve">Session 3 slide 7; pension note 27 (net interest 10 / 12 / 5)</t>
  </si>
  <si>
    <t xml:space="preserve">Keep pension interest operating but below EBITDA? (question for Pietro)</t>
  </si>
  <si>
    <t xml:space="preserve">Stays operating (coherence with pensions as operating liabilities) but is an interest component (slide 7).</t>
  </si>
  <si>
    <t xml:space="preserve">Moved below EBITDA and above D&amp;A. EBITDA = 1,152 / 1,600 / 2,050 (was 1,142 / 1,588 / 2,045); [A] unchanged.</t>
  </si>
  <si>
    <t xml:space="preserve">EBITDA and EBITDA ratios</t>
  </si>
  <si>
    <t xml:space="preserve">I-34</t>
  </si>
  <si>
    <t xml:space="preserve">Part 3 C3 (cost review)</t>
  </si>
  <si>
    <t xml:space="preserve">Lens 3 treated the full inventory change, own work capitalised and other operating income as variable-cost adjustments or fixed-cost reductions, and purchased services, warranties and licences as 100% variable, without evidence.</t>
  </si>
  <si>
    <t xml:space="preserve">Accounting policies: inventories valued at production cost incl. production overhead and depreciation; notes 10–15; Session 3 slides 12–14</t>
  </si>
  <si>
    <t xml:space="preserve">Indicative CM, or not reliably determinable? (question for Pietro)</t>
  </si>
  <si>
    <t xml:space="preserve">Group decision: with no finer disclosure, each cost category goes 100% to fixed or variable (Session 3 slides 12–14).</t>
  </si>
  <si>
    <t xml:space="preserve">CM = 3,216 / 3,993 / 4,652; DOL = 3.8x / 3.1x / 2.8x (indicative).</t>
  </si>
  <si>
    <t xml:space="preserve">Lens 3: CM, DOL, MOS, break-even</t>
  </si>
  <si>
    <t xml:space="preserve">Resolved: we classify 100% of each cost category as fixed or variable, because no finer split is disclosed. These items are small and do not change the reading of the main results.</t>
  </si>
  <si>
    <t xml:space="preserve">I-35</t>
  </si>
  <si>
    <t xml:space="preserve">Part 3 C5 (cost review)</t>
  </si>
  <si>
    <t xml:space="preserve">EBITDAR used 'rents, leases and ancillary costs' as if it were pure rent; EBITDAaL was presented as if reported by the company.</t>
  </si>
  <si>
    <t xml:space="preserve">Note 15; Session 3 slides 9–11</t>
  </si>
  <si>
    <t xml:space="preserve">Label proxies as proxies.</t>
  </si>
  <si>
    <t xml:space="preserve">Renamed 'EBITDAR — analytical proxy' and 'EBITDAaL-style analytical measure'.</t>
  </si>
  <si>
    <t xml:space="preserve">C5 ratios</t>
  </si>
  <si>
    <t xml:space="preserve">I-36</t>
  </si>
  <si>
    <t xml:space="preserve">Part 3 C4 (cost review)</t>
  </si>
  <si>
    <t xml:space="preserve">The common-size analysis on net revenues covered only some lines. The two other bases of slide 19 (total cost of sales, total manufacturing cost) were not addressed, and the choice of base (slide 20) was not commented.</t>
  </si>
  <si>
    <t xml:space="preserve">Session 3 slides 19–20</t>
  </si>
  <si>
    <t xml:space="preserve">C4: consider all four bases; n.d. with reason where not available; comment on the choice of base.</t>
  </si>
  <si>
    <t xml:space="preserve">Base a) extended to every line of the reformulated statement; bases c) and d) shown as n.d. with the reason; a comment row explains the choice of base (inventory build-up 2023).</t>
  </si>
  <si>
    <t xml:space="preserve">Common size</t>
  </si>
  <si>
    <t xml:space="preserve">I-37</t>
  </si>
  <si>
    <t xml:space="preserve">Part 4 B9 / Part 5 E6–E7 (BS review)</t>
  </si>
  <si>
    <t xml:space="preserve">NFO was computed as NFP − all non-operating assets (616 / 874 / −1,170). The non-operating bucket contains equity-method stakes, the Shriram stake and net assets held for sale, which are not financial assets. The MM second adjustment and Penman therefore treated them (and all of [B]) as financial.</t>
  </si>
  <si>
    <t xml:space="preserve">Session 4 slides 12–13 (NFO = financial liabilities − ALL FINANCIAL assets); Session 6 slide 10 (1)–(2): only financial investments and financial income move out of RONA</t>
  </si>
  <si>
    <t xml:space="preserve">B5/B9: split non-operating assets into (a) non-core, (b) other non-operating (held for sale), (c) financial. NFO = NFP − (c). NOA = NOIC + (a) + (b). E6/E7: operating side = NOA with [A] + equity-method result; net financial expenses = −(other financial result + [C]).</t>
  </si>
  <si>
    <t xml:space="preserve">NFO rebuilt: 1,052 / 1,220 / (395) (2023–2025). New NOA line and check (NOA − NFO = NE). MM second adjustment and Penman now on NOA/NFO with core/non-core split; all ROE identities tie.</t>
  </si>
  <si>
    <t xml:space="preserve">NFO, NFO/NE, MM second adjustment, Penman RNOA, NFA form 2025</t>
  </si>
  <si>
    <t xml:space="preserve">I-38</t>
  </si>
  <si>
    <t xml:space="preserve">Part 4 B3 (BS review)</t>
  </si>
  <si>
    <t xml:space="preserve">Other liabilities (note 30) were put in operating liabilities in full, although the note splits derivatives, other financial liabilities (2024: 77; 2025: 23) and non-financial items; 2023 includes ~20 for the Expal purchase-price adjustment (acquisition-related).</t>
  </si>
  <si>
    <t xml:space="preserve">Note 30 (AR2024, AR2025); Session 4 slide 19 (investment/divestment liabilities: separate 'if they have a relevant amount')</t>
  </si>
  <si>
    <t xml:space="preserve">B3: split other liabilities by component; derivatives hedging operating risks stay operating; acquisition- or financing-related items are moved out of NOWC when material (&gt; 2% of NOIC).</t>
  </si>
  <si>
    <t xml:space="preserve">Tested: acquisition-related amounts ≤ 2% of NOIC (4,304 / 5,390 / 4,468) → kept operating; composition written in the source column.</t>
  </si>
  <si>
    <t xml:space="preserve">NOWC, NOIC (immaterial)</t>
  </si>
  <si>
    <t xml:space="preserve">Resolved — immaterial</t>
  </si>
  <si>
    <t xml:space="preserve">I-39</t>
  </si>
  <si>
    <t xml:space="preserve">Part 4 B2 (BS review)</t>
  </si>
  <si>
    <t xml:space="preserve">Other current and non-current assets are one line although they contain derivatives, finance lease receivables (KS HUAYU joint venture; 12 in 2024), pension surplus, contract costs and prepaid expenses.</t>
  </si>
  <si>
    <t xml:space="preserve">Note 24 (other assets); Rheinmetall: derivatives mainly hedge operating FX and commodity risks</t>
  </si>
  <si>
    <t xml:space="preserve">B2: classify by destination, not by IFRS label: operating hedging derivatives stay operating; finance lease receivables and other financial receivables are tested (&gt; 2% of NOIC → financial or non-core).</t>
  </si>
  <si>
    <t xml:space="preserve">Derivatives kept operating (documented); finance lease receivables immaterial (12) → kept. Composition written in the source column.</t>
  </si>
  <si>
    <t xml:space="preserve">NOWC (immaterial)</t>
  </si>
  <si>
    <t xml:space="preserve">I-40</t>
  </si>
  <si>
    <t xml:space="preserve">All provisions were operating liabilities, although restructuring costs are unusual in the income statement.</t>
  </si>
  <si>
    <t xml:space="preserve">Note 28 (structural measures: 55 / 46 / 52 / 25, 2022–2025); Session 2 slide 3 (coherence BS ↔ IS); Session 4 slide 19</t>
  </si>
  <si>
    <t xml:space="preserve">Keep restructuring provisions in NOWC?</t>
  </si>
  <si>
    <t xml:space="preserve">B3: a provision whose expense is classified as unusual is moved out of NOWC to B5 (b) when the note discloses it separately.</t>
  </si>
  <si>
    <t xml:space="preserve">Structural-measure provisions moved from operating liabilities to B5 (b) as a negative item. NOWC and NOIC rise by 46 / 52 / 25 (2023–2025); NOA, NFP, NFO unchanged. The note does not split partial retirement from termination indemnities: the whole class is moved.</t>
  </si>
  <si>
    <t xml:space="preserve">NOWC, NOIC, RONA</t>
  </si>
  <si>
    <t xml:space="preserve">I-41</t>
  </si>
  <si>
    <t xml:space="preserve">Part 4 B5 / Part 2 R6 (BS review)</t>
  </si>
  <si>
    <t xml:space="preserve">Equity-method investments were classified as non-core in one block without an investee test.</t>
  </si>
  <si>
    <t xml:space="preserve">Note 22 (AR2025: principal investees KOLBENHÖFE – real estate; 4iG – telecom/IT; HASCO – automotive, allocated to discontinued civilian operations)</t>
  </si>
  <si>
    <t xml:space="preserve">B5: test each material investee: core support, ancillary, strategic industrial partner, or financial investment. Core support → operating; otherwise non-core [B].</t>
  </si>
  <si>
    <t xml:space="preserve">Test done: no material investee is part of the core defence business → non-core (a); result stays in [B]. Not financial, so not in NFO (I-37).</t>
  </si>
  <si>
    <t xml:space="preserve">[B], non-operating assets</t>
  </si>
  <si>
    <t xml:space="preserve">I-42</t>
  </si>
  <si>
    <t xml:space="preserve">Part 4/5 (BS review)</t>
  </si>
  <si>
    <t xml:space="preserve">The perimeter warning only covered 2023→2024. The 2024 balance sheet still contains the civilian business while the 2024 IS is restated; the 2025 balance sheet moves it to held for sale.</t>
  </si>
  <si>
    <t xml:space="preserve">AR2025 note 8; I-22</t>
  </si>
  <si>
    <t xml:space="preserve">M4: flag every ratio or trend mixing perimeters.</t>
  </si>
  <si>
    <t xml:space="preserve">Warnings extended: all 2024 BS-based ratios (NOWC/revenue, DSO, DIO, DPO, CCC, turnover, 2024 ROI) and all 2024→2025 BS changes are perimeter-affected.</t>
  </si>
  <si>
    <t xml:space="preserve">All 2024 BS ratios, 2025 NOWC/RONA improvement</t>
  </si>
  <si>
    <t xml:space="preserve">I-43</t>
  </si>
  <si>
    <t xml:space="preserve">Part 4 B9 (BS review)</t>
  </si>
  <si>
    <t xml:space="preserve">'Debt-to-equity' was labelled operating + financial liabilities but computed as reported total liabilities (incl. 708 liabilities held for sale in 2025).</t>
  </si>
  <si>
    <t xml:space="preserve">Session 4 slide 25 (1)</t>
  </si>
  <si>
    <t xml:space="preserve">B9: labels must match formulas; use the managerial definition; show the reported ratio only as a memo.</t>
  </si>
  <si>
    <t xml:space="preserve">Debt-to-equity = (operating + financial liabilities) / NE: 1.86x in 2025 (reported basis 1.99x, shown as memo).</t>
  </si>
  <si>
    <t xml:space="preserve">Debt-to-equity</t>
  </si>
  <si>
    <t xml:space="preserve">I-44</t>
  </si>
  <si>
    <t xml:space="preserve">Part 4 B6b (BS review)</t>
  </si>
  <si>
    <t xml:space="preserve">Printed-subtotal rounding lines sat inside current operating assets and operating liabilities, so a printing difference changed NOWC and NOIC.</t>
  </si>
  <si>
    <t xml:space="preserve">Session 4 slides 8–9 (economic classification)</t>
  </si>
  <si>
    <t xml:space="preserve">B6b: rounding lines are a reconciliation item outside every economic class.</t>
  </si>
  <si>
    <t xml:space="preserve">Moved to a 'Reconciliation' block inside net invested capital; NOWC and NOIC changed by ≤ 2.</t>
  </si>
  <si>
    <t xml:space="preserve">NOWC, NOIC</t>
  </si>
  <si>
    <t xml:space="preserve">I-45</t>
  </si>
  <si>
    <t xml:space="preserve">Part 4 B6/B8/B2 (BS review)</t>
  </si>
  <si>
    <t xml:space="preserve">Weak wording: cash ('no working cash for a non-retail company'), NCI ('minorities as strategic partners' without evidence), investment property ('income stays in core').</t>
  </si>
  <si>
    <t xml:space="preserve">Session 4 slides 8, 11, 26; Session 2 slide 3</t>
  </si>
  <si>
    <t xml:space="preserve">State the evidence behind each option; never claim more than the slides say.</t>
  </si>
  <si>
    <t xml:space="preserve">Cash: working cash cannot be estimated reliably → option 1. NCI: base convention equity; debt-like view not applied for lack of evidence. IP: operating (slide 8 option); income immaterial and not disclosed (I-19).</t>
  </si>
  <si>
    <t xml:space="preserve">Wording only</t>
  </si>
  <si>
    <t xml:space="preserve">I-46</t>
  </si>
  <si>
    <t xml:space="preserve">Part 2 R9 (group decision)</t>
  </si>
  <si>
    <t xml:space="preserve">Restructuring special items (−1 / −2 / −7) stayed in [A] because the recurrence test found them in all three years.</t>
  </si>
  <si>
    <t xml:space="preserve">Management report special items (AR2024 p.52, AR2025 p.55); note 28; Session 2 slides 21 and 31</t>
  </si>
  <si>
    <t xml:space="preserve">R9: restructuring charges are unusual for their full amount (slide 31, category 1 example): the recurrence test does not apply to them. Take the amount from the special-items bridge.</t>
  </si>
  <si>
    <t xml:space="preserve">Moved to unusual items (u7d), deducted from personnel costs (note 28: termination indemnities; the IS line is not disclosed, assumption logged). [A] and EBITDA rise by 1 / 2 / 7.</t>
  </si>
  <si>
    <t xml:space="preserve">[A], EBITDA, IBUIT, cost structure</t>
  </si>
  <si>
    <t xml:space="preserve">I-47</t>
  </si>
  <si>
    <t xml:space="preserve">Part 5 P2/P3 (ROI review)</t>
  </si>
  <si>
    <t xml:space="preserve">Gross and net ROI denominators contained net assets held for sale (562 in 2025) and restructuring provisions, whose results are unusual items, not [B]. 2025 net ROI was understated.</t>
  </si>
  <si>
    <t xml:space="preserve">Session 2 slide 3 (coherence); Session 4 slide 19; Session 5 slides 5–6</t>
  </si>
  <si>
    <t xml:space="preserve">P2/P3: the non-core denominator holds only the non-operating assets that earn [B] (B5 classes a + c). Class (b) is left out of the ROI denominators; gross IC excludes cash (netted in NFP) and therefore ≠ total assets — say so.</t>
  </si>
  <si>
    <t xml:space="preserve">New denominators 'non-operating assets that earn [B]', gross IC and net IC for ROI. 2025 net ROI 32.8% (was 29.5% on the old base), gross ROI 11.2%.</t>
  </si>
  <si>
    <t xml:space="preserve">Gross ROI, net ROI</t>
  </si>
  <si>
    <t xml:space="preserve">I-48</t>
  </si>
  <si>
    <t xml:space="preserve">Part 5 P4 (ROI review)</t>
  </si>
  <si>
    <t xml:space="preserve">Only 2024 RONA had a same-perimeter memo; asset turnover, gross ROI and net ROI 2024 mix a restated IS with an unrestated balance sheet.</t>
  </si>
  <si>
    <t xml:space="preserve">AR2024 p.192 (civilian sales 2,032, EBIT 75); I-22</t>
  </si>
  <si>
    <t xml:space="preserve">M4: every 2024 BS-based ratio gets a same-perimeter memo or an explicit limitation.</t>
  </si>
  <si>
    <t xml:space="preserve">Memo lines added for 2024: assets turnover 0.76x, gross ROI 10.2%, net ROI 23.3% (indicative).</t>
  </si>
  <si>
    <t xml:space="preserve">2024 ROI ratios</t>
  </si>
  <si>
    <t xml:space="preserve">I-49</t>
  </si>
  <si>
    <t xml:space="preserve">Part 5 P5 (ROI review)</t>
  </si>
  <si>
    <t xml:space="preserve">DIO used a 'COGS' that cannot be rebuilt from an IS by nature; DPO used expenses instead of purchases.</t>
  </si>
  <si>
    <t xml:space="preserve">Session 5 slide 15; notes 10, 12</t>
  </si>
  <si>
    <t xml:space="preserve">P5: when COGS or purchases are not disclosed, label the proxy 'INDICATIVE PROXY' and the CCC 'INDICATIVE'.</t>
  </si>
  <si>
    <t xml:space="preserve">Labels and source column changed; numbers unchanged.</t>
  </si>
  <si>
    <t xml:space="preserve">DIO, DPO, CCC</t>
  </si>
  <si>
    <t xml:space="preserve">I-50</t>
  </si>
  <si>
    <t xml:space="preserve">Capex and D&amp;A come from the group cash flow (incl. discontinued civilian business) while revenues are continuing; cash-flow D&amp;A includes impairment.</t>
  </si>
  <si>
    <t xml:space="preserve">Cash flow statements AR2024/AR2025; note 14</t>
  </si>
  <si>
    <t xml:space="preserve">P5: state the perimeter of capex and D&amp;A; if they differ from revenues, label PERIMETER-AFFECTED and show a bracket.</t>
  </si>
  <si>
    <t xml:space="preserve">Capex/sales labelled indicative; capex/D&amp;A shown on two bases (cash-flow D&amp;A 1.72x; recurring continuing D&amp;A 2.22x in 2025): the true value lies between.</t>
  </si>
  <si>
    <t xml:space="preserve">Capex ratios</t>
  </si>
  <si>
    <t xml:space="preserve">I-51</t>
  </si>
  <si>
    <t xml:space="preserve">Part 5 E3 (ROE review)</t>
  </si>
  <si>
    <t xml:space="preserve">Net income / EBT was called 'tax burden' although net income includes discontinued operations and EBT does not.</t>
  </si>
  <si>
    <t xml:space="preserve">Session 6 slide 5; note 8 (2025 discontinued −342)</t>
  </si>
  <si>
    <t xml:space="preserve">E3: label NI/EBT 'net-income conversion factor' when discontinued operations exist.</t>
  </si>
  <si>
    <t xml:space="preserve">Relabelled; 2025 factor 0.53x mainly reflects the discontinued loss.</t>
  </si>
  <si>
    <t xml:space="preserve">Five-factor DuPont</t>
  </si>
  <si>
    <t xml:space="preserve">I-52</t>
  </si>
  <si>
    <t xml:space="preserve">Part 5 E7 (ROE review)</t>
  </si>
  <si>
    <t xml:space="preserve">The short-term borrowing rate is the average cost of all financial debt, which is neither slide-12 option.</t>
  </si>
  <si>
    <t xml:space="preserve">Session 6 slide 12</t>
  </si>
  <si>
    <t xml:space="preserve">Market rate or proxy?</t>
  </si>
  <si>
    <t xml:space="preserve">E7: call it a group-devised proxy; ROOA and implicit interest are indicative; keep the market-rate override.</t>
  </si>
  <si>
    <t xml:space="preserve">Labelled 'GROUP-DEVISED PROXY'; override cell kept. RNOA itself is unaffected (identity).</t>
  </si>
  <si>
    <t xml:space="preserve">ROOA, implicit interest</t>
  </si>
  <si>
    <t xml:space="preserve">Resolved: labelled as our own proxy. RNOA does not depend on it; only the ROOA split is indicative.</t>
  </si>
  <si>
    <t xml:space="preserve">Closing disclosure — what a reader should know before relying on the workbook</t>
  </si>
  <si>
    <t xml:space="preserve">Figures not found</t>
  </si>
  <si>
    <t xml:space="preserve">IFRS 15 financing interest (I-04); short-term interest and short-term debt (I-10); trademarks (I-09); composition of the other financial result.</t>
  </si>
  <si>
    <t xml:space="preserve">Classifications awaiting a decision</t>
  </si>
  <si>
    <t xml:space="preserve">None. Every judgement call is resolved in the Log, with the reason for our choice.</t>
  </si>
  <si>
    <t xml:space="preserve">Inconsistencies between documents</t>
  </si>
  <si>
    <t xml:space="preserve">Capex 2024: 732 in the cash flow statement vs 697 in the key figures; we use 732 (I-03).</t>
  </si>
  <si>
    <t xml:space="preserve">Analyses that could not be completed</t>
  </si>
  <si>
    <t xml:space="preserve">Lens 1 (costs by function) and GMROI: not derivable, because the income statement is by nature (I-06).</t>
  </si>
  <si>
    <t xml:space="preserve">Group decisions taken during the work</t>
  </si>
  <si>
    <t xml:space="preserve">Year-end balance sheet basis; pension interest in operating costs (I-05); Shriram stake non-operating (I-07); statement prevails over notes, with rounding lines and a tolerance of 2 (I-13); restructuring and the Murcia insurance refund as unusual items (I-46, I-18); 100% fixed/variable per cost category (I-34); material-change factor k = 2.0.</t>
  </si>
  <si>
    <t xml:space="preserve">Assumptions and proxies we rely on</t>
  </si>
  <si>
    <t xml:space="preserve">COGS and purchases proxies for DIO and DPO (I-06, I-49); short-term borrowing rate proxy (I-10, I-52); estimated insurance refund of 97 (I-18); capex on a group perimeter (I-50).</t>
  </si>
  <si>
    <t xml:space="preserve">Open issues (count)</t>
  </si>
</sst>
</file>

<file path=xl/styles.xml><?xml version="1.0" encoding="utf-8"?>
<styleSheet xmlns="http://schemas.openxmlformats.org/spreadsheetml/2006/main">
  <numFmts count="14">
    <numFmt numFmtId="164" formatCode="General"/>
    <numFmt numFmtId="165" formatCode="_(* #,##0.00_);_(* \(#,##0.00\);_(* \-??_);_(@_)"/>
    <numFmt numFmtId="166" formatCode="_(\$* #,##0.00_);_(\$* \(#,##0.00\);_(\$* \-??_);_(@_)"/>
    <numFmt numFmtId="167" formatCode="_-* #,##0.00\ _k_r_._-;\-* #,##0.00\ _k_r_._-;_-* \-??\ _k_r_._-;_-@_-"/>
    <numFmt numFmtId="168" formatCode="#,##0.0;\-#,##0.0;\-"/>
    <numFmt numFmtId="169" formatCode="0%"/>
    <numFmt numFmtId="170" formatCode="d\-mmm"/>
    <numFmt numFmtId="171" formatCode="#,##0_);\(#,##0\);\-_)"/>
    <numFmt numFmtId="172" formatCode="0.00%;\(0.00%\);\-"/>
    <numFmt numFmtId="173" formatCode="0.00\x"/>
    <numFmt numFmtId="174" formatCode="0.0;\(0.0\);\-"/>
    <numFmt numFmtId="175" formatCode="0.0\x"/>
    <numFmt numFmtId="176" formatCode="dd\-mm\-yyyy"/>
    <numFmt numFmtId="177" formatCode="General"/>
  </numFmts>
  <fonts count="42">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u val="single"/>
      <sz val="12"/>
      <color theme="10"/>
      <name val="Calibri"/>
      <family val="2"/>
      <charset val="1"/>
    </font>
    <font>
      <sz val="10"/>
      <color theme="1"/>
      <name val="Verdana"/>
      <family val="2"/>
      <charset val="1"/>
    </font>
    <font>
      <sz val="9"/>
      <color theme="1"/>
      <name val="Arial"/>
      <family val="2"/>
      <charset val="1"/>
    </font>
    <font>
      <sz val="10"/>
      <color theme="1"/>
      <name val="Arial"/>
      <family val="2"/>
      <charset val="1"/>
    </font>
    <font>
      <sz val="12"/>
      <color theme="1"/>
      <name val="Arial"/>
      <family val="2"/>
      <charset val="1"/>
    </font>
    <font>
      <b val="true"/>
      <sz val="28"/>
      <color theme="0"/>
      <name val="Bierstadt"/>
      <family val="2"/>
      <charset val="1"/>
    </font>
    <font>
      <sz val="12"/>
      <color theme="0"/>
      <name val="Bierstadt"/>
      <family val="2"/>
      <charset val="1"/>
    </font>
    <font>
      <sz val="12"/>
      <color theme="1" tint="0.3499"/>
      <name val="Arial"/>
      <family val="2"/>
      <charset val="1"/>
    </font>
    <font>
      <sz val="12"/>
      <color theme="0"/>
      <name val="Arial"/>
      <family val="2"/>
      <charset val="1"/>
    </font>
    <font>
      <b val="true"/>
      <sz val="9"/>
      <color theme="0"/>
      <name val="Bierstadt"/>
      <family val="2"/>
      <charset val="1"/>
    </font>
    <font>
      <u val="single"/>
      <sz val="12"/>
      <color theme="0"/>
      <name val="Arial"/>
      <family val="2"/>
      <charset val="1"/>
    </font>
    <font>
      <sz val="12"/>
      <color theme="0" tint="-0.5"/>
      <name val="Calibri"/>
      <family val="2"/>
      <charset val="1"/>
    </font>
    <font>
      <sz val="12"/>
      <color rgb="FFC00000"/>
      <name val="Calibri"/>
      <family val="2"/>
      <charset val="1"/>
    </font>
    <font>
      <b val="true"/>
      <sz val="14"/>
      <color rgb="FFFFFFFF"/>
      <name val="Bierstadt"/>
      <family val="0"/>
      <charset val="1"/>
    </font>
    <font>
      <b val="true"/>
      <sz val="12"/>
      <color rgb="FF000000"/>
      <name val="Bierstadt"/>
      <family val="0"/>
      <charset val="1"/>
    </font>
    <font>
      <b val="true"/>
      <sz val="10"/>
      <color rgb="FF000000"/>
      <name val="Bierstadt"/>
      <family val="0"/>
      <charset val="1"/>
    </font>
    <font>
      <sz val="12"/>
      <color rgb="FF89426D"/>
      <name val="Bierstadt"/>
      <family val="0"/>
      <charset val="1"/>
    </font>
    <font>
      <b val="true"/>
      <sz val="12"/>
      <color rgb="FFFFFFFF"/>
      <name val="Bierstadt"/>
      <family val="0"/>
      <charset val="1"/>
    </font>
    <font>
      <sz val="10"/>
      <color rgb="FF000000"/>
      <name val="Bierstadt"/>
      <family val="0"/>
      <charset val="1"/>
    </font>
    <font>
      <sz val="9"/>
      <color rgb="FF000000"/>
      <name val="Bierstadt"/>
      <family val="0"/>
      <charset val="1"/>
    </font>
    <font>
      <sz val="10"/>
      <color rgb="FF008000"/>
      <name val="Bierstadt"/>
      <family val="0"/>
      <charset val="1"/>
    </font>
    <font>
      <i val="true"/>
      <sz val="9"/>
      <color rgb="FF595959"/>
      <name val="Bierstadt"/>
      <family val="0"/>
      <charset val="1"/>
    </font>
    <font>
      <i val="true"/>
      <sz val="10"/>
      <color rgb="FF808080"/>
      <name val="Bierstadt"/>
      <family val="0"/>
      <charset val="1"/>
    </font>
    <font>
      <b val="true"/>
      <sz val="10"/>
      <color rgb="FF002060"/>
      <name val="Bierstadt"/>
      <family val="0"/>
      <charset val="1"/>
    </font>
    <font>
      <i val="true"/>
      <sz val="9"/>
      <color rgb="FFC00000"/>
      <name val="Bierstadt"/>
      <family val="0"/>
      <charset val="1"/>
    </font>
    <font>
      <i val="true"/>
      <sz val="9"/>
      <color rgb="FFFF0000"/>
      <name val="Bierstadt"/>
      <family val="0"/>
      <charset val="1"/>
    </font>
    <font>
      <b val="true"/>
      <sz val="10"/>
      <color rgb="FF0000FF"/>
      <name val="Bierstadt"/>
      <family val="0"/>
      <charset val="1"/>
    </font>
    <font>
      <b val="true"/>
      <i val="true"/>
      <sz val="10"/>
      <color rgb="FF808080"/>
      <name val="Bierstadt"/>
      <family val="0"/>
      <charset val="1"/>
    </font>
    <font>
      <i val="true"/>
      <sz val="9"/>
      <color rgb="FF002060"/>
      <name val="Bierstadt"/>
      <family val="0"/>
      <charset val="1"/>
    </font>
    <font>
      <sz val="10"/>
      <color rgb="FF0000FF"/>
      <name val="Bierstadt"/>
      <family val="0"/>
      <charset val="1"/>
    </font>
    <font>
      <sz val="9"/>
      <color rgb="FF595959"/>
      <name val="Bierstadt"/>
      <family val="0"/>
      <charset val="1"/>
    </font>
    <font>
      <b val="true"/>
      <sz val="11"/>
      <color rgb="FFFFFFFF"/>
      <name val="Bierstadt"/>
      <family val="0"/>
      <charset val="1"/>
    </font>
    <font>
      <b val="true"/>
      <sz val="11"/>
      <color rgb="FF000000"/>
      <name val="Bierstadt"/>
      <family val="0"/>
      <charset val="1"/>
    </font>
    <font>
      <i val="true"/>
      <sz val="10"/>
      <color rgb="FF7F7F7F"/>
      <name val="Bierstadt"/>
      <family val="0"/>
      <charset val="1"/>
    </font>
    <font>
      <i val="true"/>
      <sz val="10"/>
      <color rgb="FF0000FF"/>
      <name val="Bierstadt"/>
      <family val="0"/>
      <charset val="1"/>
    </font>
    <font>
      <b val="true"/>
      <sz val="9"/>
      <color rgb="FF000000"/>
      <name val="Bierstadt"/>
      <family val="0"/>
      <charset val="1"/>
    </font>
    <font>
      <i val="true"/>
      <sz val="9"/>
      <color rgb="FF7F7F7F"/>
      <name val="Bierstadt"/>
      <family val="0"/>
      <charset val="1"/>
    </font>
  </fonts>
  <fills count="4">
    <fill>
      <patternFill patternType="none"/>
    </fill>
    <fill>
      <patternFill patternType="gray125"/>
    </fill>
    <fill>
      <patternFill patternType="solid">
        <fgColor rgb="FF002060"/>
        <bgColor rgb="FF000080"/>
      </patternFill>
    </fill>
    <fill>
      <patternFill patternType="solid">
        <fgColor rgb="FFFFFF00"/>
        <bgColor rgb="FFFFFF00"/>
      </patternFill>
    </fill>
  </fills>
  <borders count="5">
    <border diagonalUp="false" diagonalDown="false">
      <left/>
      <right/>
      <top/>
      <bottom/>
      <diagonal/>
    </border>
    <border diagonalUp="false" diagonalDown="false">
      <left/>
      <right/>
      <top style="thin"/>
      <bottom/>
      <diagonal/>
    </border>
    <border diagonalUp="false" diagonalDown="false">
      <left/>
      <right/>
      <top/>
      <bottom style="medium"/>
      <diagonal/>
    </border>
    <border diagonalUp="false" diagonalDown="false">
      <left/>
      <right/>
      <top style="thin"/>
      <bottom style="thin"/>
      <diagonal/>
    </border>
    <border diagonalUp="false" diagonalDown="false">
      <left/>
      <right/>
      <top/>
      <bottom style="hair">
        <color rgb="FFBFBFBF"/>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8" fontId="7"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xf numFmtId="169" fontId="8" fillId="0" borderId="0" applyFont="true" applyBorder="true" applyAlignment="true" applyProtection="true">
      <alignment horizontal="general" vertical="bottom" textRotation="0" wrapText="false" indent="0" shrinkToFit="false"/>
      <protection locked="true" hidden="false"/>
    </xf>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6" applyFont="true" applyBorder="false" applyAlignment="false" applyProtection="false">
      <alignment horizontal="general" vertical="bottom" textRotation="0" wrapText="false" indent="0" shrinkToFit="false"/>
      <protection locked="true" hidden="false"/>
    </xf>
    <xf numFmtId="164" fontId="4" fillId="2" borderId="0" xfId="26" applyFont="true" applyBorder="false" applyAlignment="true" applyProtection="false">
      <alignment horizontal="general" vertical="bottom" textRotation="0" wrapText="true" indent="0" shrinkToFit="false"/>
      <protection locked="true" hidden="false"/>
    </xf>
    <xf numFmtId="164" fontId="9" fillId="2" borderId="0" xfId="26" applyFont="true" applyBorder="false" applyAlignment="false" applyProtection="false">
      <alignment horizontal="general" vertical="bottom" textRotation="0" wrapText="false" indent="0" shrinkToFit="false"/>
      <protection locked="true" hidden="false"/>
    </xf>
    <xf numFmtId="164" fontId="10" fillId="2" borderId="0" xfId="26" applyFont="true" applyBorder="false" applyAlignment="true" applyProtection="false">
      <alignment horizontal="center" vertical="bottom" textRotation="0" wrapText="false" indent="0" shrinkToFit="false"/>
      <protection locked="true" hidden="false"/>
    </xf>
    <xf numFmtId="164" fontId="11" fillId="2" borderId="0" xfId="26" applyFont="true" applyBorder="false" applyAlignment="true" applyProtection="false">
      <alignment horizontal="center" vertical="bottom" textRotation="0" wrapText="false" indent="0" shrinkToFit="false"/>
      <protection locked="true" hidden="false"/>
    </xf>
    <xf numFmtId="164" fontId="12" fillId="2" borderId="0" xfId="26" applyFont="true" applyBorder="false" applyAlignment="false" applyProtection="false">
      <alignment horizontal="general" vertical="bottom" textRotation="0" wrapText="false" indent="0" shrinkToFit="false"/>
      <protection locked="true" hidden="false"/>
    </xf>
    <xf numFmtId="164" fontId="13" fillId="2" borderId="0" xfId="26" applyFont="true" applyBorder="false" applyAlignment="false" applyProtection="false">
      <alignment horizontal="general" vertical="bottom" textRotation="0" wrapText="false" indent="0" shrinkToFit="false"/>
      <protection locked="true" hidden="false"/>
    </xf>
    <xf numFmtId="164" fontId="13" fillId="2" borderId="0" xfId="26" applyFont="true" applyBorder="false" applyAlignment="true" applyProtection="false">
      <alignment horizontal="left" vertical="bottom" textRotation="0" wrapText="false" indent="0" shrinkToFit="false"/>
      <protection locked="true" hidden="false"/>
    </xf>
    <xf numFmtId="164" fontId="13" fillId="2" borderId="0" xfId="26" applyFont="true" applyBorder="false" applyAlignment="true" applyProtection="false">
      <alignment horizontal="center" vertical="bottom" textRotation="0" wrapText="false" indent="0" shrinkToFit="false"/>
      <protection locked="true" hidden="false"/>
    </xf>
    <xf numFmtId="164" fontId="14" fillId="2" borderId="0" xfId="26" applyFont="true" applyBorder="false" applyAlignment="true" applyProtection="false">
      <alignment horizontal="center" vertical="bottom" textRotation="0" wrapText="false" indent="0" shrinkToFit="false"/>
      <protection locked="true" hidden="false"/>
    </xf>
    <xf numFmtId="164" fontId="15" fillId="2" borderId="0" xfId="23" applyFont="true" applyBorder="false" applyAlignment="true" applyProtection="false">
      <alignment horizontal="center" vertical="bottom" textRotation="0" wrapText="false" indent="0" shrinkToFit="false"/>
      <protection locked="true" hidden="false"/>
    </xf>
    <xf numFmtId="164" fontId="16" fillId="2" borderId="0" xfId="26" applyFont="true" applyBorder="false" applyAlignment="false" applyProtection="false">
      <alignment horizontal="general" vertical="bottom" textRotation="0" wrapText="false" indent="0" shrinkToFit="false"/>
      <protection locked="true" hidden="false"/>
    </xf>
    <xf numFmtId="164" fontId="17" fillId="2" borderId="0" xfId="26"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70" fontId="19" fillId="0"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71" fontId="20" fillId="0" borderId="3"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right"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3" borderId="0" xfId="0" applyFont="true" applyBorder="false" applyAlignment="true" applyProtection="false">
      <alignment horizontal="right" vertical="bottom" textRotation="0" wrapText="false" indent="0" shrinkToFit="false"/>
      <protection locked="true" hidden="false"/>
    </xf>
    <xf numFmtId="164" fontId="32" fillId="0" borderId="3" xfId="0" applyFont="true" applyBorder="true" applyAlignment="false" applyProtection="false">
      <alignment horizontal="general" vertical="bottom" textRotation="0" wrapText="false" indent="0" shrinkToFit="false"/>
      <protection locked="true" hidden="false"/>
    </xf>
    <xf numFmtId="172" fontId="32" fillId="0" borderId="3"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top" textRotation="0" wrapText="true" indent="0" shrinkToFit="false"/>
      <protection locked="true" hidden="false"/>
    </xf>
    <xf numFmtId="174" fontId="23" fillId="0" borderId="0" xfId="0" applyFont="true" applyBorder="false" applyAlignment="false" applyProtection="false">
      <alignment horizontal="general" vertical="bottom" textRotation="0" wrapText="false" indent="0" shrinkToFit="false"/>
      <protection locked="true" hidden="false"/>
    </xf>
    <xf numFmtId="174" fontId="20" fillId="0" borderId="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right" vertical="bottom" textRotation="0" wrapText="false" indent="0"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75" fontId="31" fillId="3"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2"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71" fontId="3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39" fillId="0"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center" vertical="bottom" textRotation="0" wrapText="false" indent="0" shrinkToFit="false"/>
      <protection locked="true" hidden="false"/>
    </xf>
    <xf numFmtId="164" fontId="41" fillId="0" borderId="0" xfId="0" applyFont="true" applyBorder="false" applyAlignment="true" applyProtection="false">
      <alignment horizontal="center"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1" fillId="0"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8" fillId="0" borderId="2" xfId="0" applyFont="true" applyBorder="true" applyAlignment="true" applyProtection="false">
      <alignment horizontal="general" vertical="bottom" textRotation="0" wrapText="true" indent="0" shrinkToFit="false"/>
      <protection locked="true" hidden="false"/>
    </xf>
    <xf numFmtId="164" fontId="40" fillId="0" borderId="4" xfId="0" applyFont="true" applyBorder="true" applyAlignment="true" applyProtection="false">
      <alignment horizontal="general" vertical="top" textRotation="0" wrapText="true" indent="0" shrinkToFit="false"/>
      <protection locked="true" hidden="false"/>
    </xf>
    <xf numFmtId="176" fontId="24" fillId="0" borderId="4" xfId="0" applyFont="true" applyBorder="true" applyAlignment="true" applyProtection="false">
      <alignment horizontal="general" vertical="top" textRotation="0" wrapText="true" indent="0" shrinkToFit="false"/>
      <protection locked="true" hidden="false"/>
    </xf>
    <xf numFmtId="164" fontId="24" fillId="0" borderId="4" xfId="0" applyFont="true" applyBorder="true" applyAlignment="true" applyProtection="false">
      <alignment horizontal="general" vertical="top" textRotation="0" wrapText="tru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77" fontId="20" fillId="0" borderId="0" xfId="0" applyFont="true" applyBorder="false" applyAlignment="true" applyProtection="false">
      <alignment horizontal="left"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2 2" xfId="21"/>
    <cellStyle name="Currency 2" xfId="22"/>
    <cellStyle name="Hyperlink 2" xfId="23"/>
    <cellStyle name="Komma 2" xfId="24"/>
    <cellStyle name="Normal 13" xfId="25"/>
    <cellStyle name="Normal 2" xfId="26"/>
    <cellStyle name="Normal 2 2" xfId="27"/>
    <cellStyle name="Normal 2 3" xfId="28"/>
    <cellStyle name="Normal 3" xfId="29"/>
    <cellStyle name="Per cent 2" xfId="30"/>
    <cellStyle name="Percent 2" xfId="31"/>
    <cellStyle name="Percent 3" xfId="32"/>
  </cellStyles>
  <dxfs count="4">
    <dxf>
      <fill>
        <patternFill>
          <bgColor rgb="FFFCE4D6"/>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89426D"/>
      <rgbColor rgb="FFF2F2F2"/>
      <rgbColor rgb="FFCCFFFF"/>
      <rgbColor rgb="FF660066"/>
      <rgbColor rgb="FFFF8080"/>
      <rgbColor rgb="FF0563C1"/>
      <rgbColor rgb="FFFCE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7F7F7F"/>
      <rgbColor rgb="FF002060"/>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2626"/>
    <pageSetUpPr fitToPage="true"/>
  </sheetPr>
  <dimension ref="A1:K37"/>
  <sheetViews>
    <sheetView showFormulas="false" showGridLines="false" showRowColHeaders="true" showZeros="true" rightToLeft="false" tabSelected="false" showOutlineSymbols="true" defaultGridColor="true" view="pageBreakPreview" topLeftCell="A1" colorId="64" zoomScale="85" zoomScaleNormal="85" zoomScalePageLayoutView="85" workbookViewId="0">
      <selection pane="topLeft" activeCell="E27" activeCellId="0" sqref="E27"/>
    </sheetView>
  </sheetViews>
  <sheetFormatPr defaultColWidth="12.2890625" defaultRowHeight="15.75" zeroHeight="false" outlineLevelRow="0" outlineLevelCol="0"/>
  <cols>
    <col collapsed="false" customWidth="true" hidden="false" outlineLevel="0" max="1" min="1" style="1" width="5.42"/>
    <col collapsed="false" customWidth="false" hidden="false" outlineLevel="0" max="5" min="2" style="1" width="12.29"/>
    <col collapsed="false" customWidth="true" hidden="false" outlineLevel="0" max="6" min="6" style="1" width="14"/>
    <col collapsed="false" customWidth="false" hidden="false" outlineLevel="0" max="11" min="7" style="1" width="12.29"/>
    <col collapsed="false" customWidth="false" hidden="false" outlineLevel="0" max="16384" min="12" style="2" width="12.29"/>
  </cols>
  <sheetData>
    <row r="1" customFormat="false" ht="15.75" hidden="false" customHeight="false" outlineLevel="0" collapsed="false">
      <c r="A1" s="3"/>
      <c r="B1" s="3"/>
      <c r="C1" s="3"/>
      <c r="D1" s="3"/>
      <c r="E1" s="3"/>
      <c r="F1" s="3"/>
      <c r="G1" s="3"/>
      <c r="H1" s="3"/>
      <c r="I1" s="3"/>
      <c r="J1" s="3"/>
      <c r="K1" s="3"/>
    </row>
    <row r="2" customFormat="false" ht="15.75" hidden="false" customHeight="false" outlineLevel="0" collapsed="false">
      <c r="A2" s="3"/>
      <c r="B2" s="3"/>
      <c r="C2" s="3"/>
      <c r="D2" s="3"/>
      <c r="E2" s="3"/>
      <c r="F2" s="3"/>
      <c r="G2" s="3"/>
      <c r="H2" s="3"/>
      <c r="I2" s="3"/>
      <c r="J2" s="3"/>
      <c r="K2" s="3"/>
    </row>
    <row r="3" customFormat="false" ht="15.75" hidden="false" customHeight="false" outlineLevel="0" collapsed="false">
      <c r="A3" s="3"/>
      <c r="B3" s="3"/>
      <c r="C3" s="3"/>
      <c r="D3" s="3"/>
      <c r="E3" s="3"/>
      <c r="F3" s="3"/>
      <c r="G3" s="3"/>
      <c r="H3" s="3"/>
      <c r="I3" s="3"/>
      <c r="J3" s="3"/>
      <c r="K3" s="3"/>
    </row>
    <row r="4" customFormat="false" ht="15.75" hidden="false" customHeight="false" outlineLevel="0" collapsed="false">
      <c r="A4" s="3"/>
      <c r="B4" s="3"/>
      <c r="C4" s="3"/>
      <c r="D4" s="3"/>
      <c r="E4" s="3"/>
      <c r="F4" s="3"/>
      <c r="G4" s="3"/>
      <c r="H4" s="3"/>
      <c r="I4" s="3"/>
      <c r="J4" s="3"/>
      <c r="K4" s="3"/>
    </row>
    <row r="5" customFormat="false" ht="15.75" hidden="false" customHeight="false" outlineLevel="0" collapsed="false">
      <c r="A5" s="3"/>
      <c r="B5" s="3"/>
      <c r="C5" s="3"/>
      <c r="D5" s="3"/>
      <c r="E5" s="3"/>
      <c r="F5" s="3"/>
      <c r="G5" s="3"/>
      <c r="H5" s="3"/>
      <c r="I5" s="3"/>
      <c r="J5" s="3"/>
      <c r="K5" s="3"/>
    </row>
    <row r="6" customFormat="false" ht="15.75" hidden="false" customHeight="false" outlineLevel="0" collapsed="false">
      <c r="A6" s="3"/>
      <c r="B6" s="3"/>
      <c r="C6" s="3"/>
      <c r="D6" s="3"/>
      <c r="E6" s="3"/>
      <c r="F6" s="3"/>
      <c r="G6" s="3"/>
      <c r="H6" s="3"/>
      <c r="I6" s="3"/>
      <c r="J6" s="3"/>
      <c r="K6" s="3"/>
    </row>
    <row r="7" customFormat="false" ht="15.75" hidden="false" customHeight="false" outlineLevel="0" collapsed="false">
      <c r="A7" s="3"/>
      <c r="B7" s="3"/>
      <c r="C7" s="3"/>
      <c r="D7" s="3"/>
      <c r="E7" s="3"/>
      <c r="F7" s="3"/>
      <c r="G7" s="3"/>
      <c r="H7" s="3"/>
      <c r="I7" s="3"/>
      <c r="J7" s="3"/>
      <c r="K7" s="3"/>
    </row>
    <row r="8" customFormat="false" ht="15.75" hidden="false" customHeight="false" outlineLevel="0" collapsed="false">
      <c r="A8" s="3"/>
      <c r="B8" s="3"/>
      <c r="C8" s="3"/>
      <c r="D8" s="3"/>
      <c r="E8" s="3"/>
      <c r="F8" s="3"/>
      <c r="G8" s="3"/>
      <c r="H8" s="3"/>
      <c r="I8" s="3"/>
      <c r="J8" s="3"/>
      <c r="K8" s="3"/>
    </row>
    <row r="9" customFormat="false" ht="36" hidden="false" customHeight="true" outlineLevel="0" collapsed="false">
      <c r="A9" s="3"/>
      <c r="B9" s="3"/>
      <c r="C9" s="3"/>
      <c r="D9" s="3"/>
      <c r="E9" s="3"/>
      <c r="F9" s="4" t="s">
        <v>0</v>
      </c>
      <c r="G9" s="3"/>
      <c r="H9" s="3"/>
      <c r="I9" s="3"/>
      <c r="J9" s="3"/>
      <c r="K9" s="3"/>
    </row>
    <row r="10" customFormat="false" ht="15.75" hidden="false" customHeight="false" outlineLevel="0" collapsed="false">
      <c r="A10" s="3"/>
      <c r="B10" s="3"/>
      <c r="C10" s="3"/>
      <c r="D10" s="3"/>
      <c r="E10" s="3"/>
      <c r="F10" s="5" t="s">
        <v>1</v>
      </c>
      <c r="G10" s="3"/>
      <c r="H10" s="3"/>
      <c r="I10" s="3"/>
      <c r="J10" s="3"/>
      <c r="K10" s="3"/>
    </row>
    <row r="11" customFormat="false" ht="15.75" hidden="false" customHeight="false" outlineLevel="0" collapsed="false">
      <c r="A11" s="3"/>
      <c r="B11" s="3"/>
      <c r="C11" s="3"/>
      <c r="D11" s="3"/>
      <c r="E11" s="3"/>
      <c r="F11" s="3"/>
      <c r="G11" s="3"/>
      <c r="H11" s="3"/>
      <c r="I11" s="3"/>
      <c r="J11" s="3"/>
      <c r="K11" s="3"/>
    </row>
    <row r="12" customFormat="false" ht="15.75" hidden="false" customHeight="false" outlineLevel="0" collapsed="false">
      <c r="A12" s="3"/>
      <c r="B12" s="3"/>
      <c r="C12" s="3"/>
      <c r="D12" s="3"/>
      <c r="E12" s="3"/>
      <c r="F12" s="3"/>
      <c r="G12" s="3"/>
      <c r="H12" s="3"/>
      <c r="I12" s="3"/>
      <c r="J12" s="3"/>
      <c r="K12" s="3"/>
    </row>
    <row r="13" customFormat="false" ht="15.75" hidden="false" customHeight="false" outlineLevel="0" collapsed="false">
      <c r="A13" s="6"/>
      <c r="B13" s="6"/>
      <c r="C13" s="6"/>
      <c r="D13" s="6"/>
      <c r="E13" s="3"/>
      <c r="F13" s="3"/>
      <c r="G13" s="3"/>
      <c r="H13" s="3"/>
      <c r="I13" s="3"/>
      <c r="J13" s="3"/>
      <c r="K13" s="3"/>
    </row>
    <row r="14" customFormat="false" ht="15.75" hidden="false" customHeight="false" outlineLevel="0" collapsed="false">
      <c r="A14" s="6"/>
      <c r="B14" s="6"/>
      <c r="C14" s="6"/>
      <c r="D14" s="7"/>
      <c r="E14" s="7"/>
      <c r="F14" s="7"/>
      <c r="G14" s="7"/>
      <c r="H14" s="7"/>
      <c r="I14" s="3"/>
      <c r="J14" s="3"/>
      <c r="K14" s="3"/>
    </row>
    <row r="15" customFormat="false" ht="15.75" hidden="false" customHeight="false" outlineLevel="0" collapsed="false">
      <c r="A15" s="6"/>
      <c r="B15" s="6"/>
      <c r="C15" s="6"/>
      <c r="D15" s="7"/>
      <c r="E15" s="8"/>
      <c r="F15" s="3"/>
      <c r="G15" s="7"/>
      <c r="H15" s="7"/>
      <c r="I15" s="3"/>
      <c r="J15" s="3"/>
      <c r="K15" s="3"/>
    </row>
    <row r="16" customFormat="false" ht="15.75" hidden="false" customHeight="false" outlineLevel="0" collapsed="false">
      <c r="A16" s="6"/>
      <c r="B16" s="7"/>
      <c r="C16" s="7"/>
      <c r="D16" s="7"/>
      <c r="E16" s="8"/>
      <c r="F16" s="3"/>
      <c r="G16" s="7"/>
      <c r="H16" s="7"/>
      <c r="I16" s="3"/>
      <c r="J16" s="3"/>
      <c r="K16" s="3"/>
    </row>
    <row r="17" customFormat="false" ht="15.75" hidden="false" customHeight="false" outlineLevel="0" collapsed="false">
      <c r="A17" s="6"/>
      <c r="B17" s="7"/>
      <c r="C17" s="7"/>
      <c r="D17" s="7"/>
      <c r="E17" s="9"/>
      <c r="F17" s="9"/>
      <c r="G17" s="9"/>
      <c r="H17" s="7"/>
      <c r="I17" s="3"/>
      <c r="J17" s="3"/>
      <c r="K17" s="3"/>
    </row>
    <row r="18" customFormat="false" ht="15.75" hidden="false" customHeight="false" outlineLevel="0" collapsed="false">
      <c r="A18" s="6"/>
      <c r="B18" s="9"/>
      <c r="C18" s="9"/>
      <c r="D18" s="7"/>
      <c r="E18" s="9"/>
      <c r="F18" s="9"/>
      <c r="G18" s="9"/>
      <c r="H18" s="7"/>
      <c r="I18" s="3"/>
      <c r="J18" s="3"/>
      <c r="K18" s="3"/>
    </row>
    <row r="19" customFormat="false" ht="15.75" hidden="false" customHeight="false" outlineLevel="0" collapsed="false">
      <c r="A19" s="6"/>
      <c r="B19" s="9"/>
      <c r="C19" s="9"/>
      <c r="D19" s="7"/>
      <c r="E19" s="9"/>
      <c r="F19" s="9"/>
      <c r="G19" s="9"/>
      <c r="H19" s="7"/>
      <c r="I19" s="3"/>
      <c r="J19" s="3"/>
      <c r="K19" s="3"/>
    </row>
    <row r="20" customFormat="false" ht="15.75" hidden="false" customHeight="false" outlineLevel="0" collapsed="false">
      <c r="A20" s="6"/>
      <c r="B20" s="7"/>
      <c r="C20" s="7"/>
      <c r="D20" s="7"/>
      <c r="E20" s="7"/>
      <c r="F20" s="10"/>
      <c r="G20" s="9"/>
      <c r="H20" s="7"/>
      <c r="I20" s="3"/>
      <c r="J20" s="3"/>
      <c r="K20" s="3"/>
    </row>
    <row r="21" customFormat="false" ht="15.75" hidden="false" customHeight="false" outlineLevel="0" collapsed="false">
      <c r="A21" s="6"/>
      <c r="B21" s="6"/>
      <c r="C21" s="6"/>
      <c r="D21" s="7"/>
      <c r="E21" s="9"/>
      <c r="F21" s="9"/>
      <c r="G21" s="9"/>
      <c r="H21" s="9"/>
      <c r="I21" s="3"/>
      <c r="J21" s="3"/>
      <c r="K21" s="3"/>
    </row>
    <row r="22" customFormat="false" ht="15.75" hidden="false" customHeight="false" outlineLevel="0" collapsed="false">
      <c r="A22" s="6"/>
      <c r="B22" s="6"/>
      <c r="C22" s="6"/>
      <c r="D22" s="7"/>
      <c r="E22" s="9"/>
      <c r="F22" s="5"/>
      <c r="G22" s="9"/>
      <c r="H22" s="9"/>
      <c r="I22" s="3"/>
      <c r="J22" s="3"/>
      <c r="K22" s="3"/>
    </row>
    <row r="23" customFormat="false" ht="15.75" hidden="false" customHeight="false" outlineLevel="0" collapsed="false">
      <c r="A23" s="6"/>
      <c r="B23" s="6"/>
      <c r="C23" s="6"/>
      <c r="D23" s="7"/>
      <c r="E23" s="9"/>
      <c r="F23" s="9"/>
      <c r="G23" s="9"/>
      <c r="H23" s="9"/>
      <c r="I23" s="3"/>
      <c r="J23" s="3"/>
      <c r="K23" s="3"/>
    </row>
    <row r="24" customFormat="false" ht="15.75" hidden="false" customHeight="false" outlineLevel="0" collapsed="false">
      <c r="A24" s="6"/>
      <c r="B24" s="6"/>
      <c r="C24" s="6"/>
      <c r="D24" s="7"/>
      <c r="E24" s="9"/>
      <c r="F24" s="5" t="s">
        <v>2</v>
      </c>
      <c r="G24" s="9"/>
      <c r="H24" s="9"/>
      <c r="I24" s="3"/>
      <c r="J24" s="3"/>
      <c r="K24" s="3"/>
    </row>
    <row r="25" customFormat="false" ht="15.75" hidden="false" customHeight="false" outlineLevel="0" collapsed="false">
      <c r="A25" s="3"/>
      <c r="B25" s="3"/>
      <c r="C25" s="3"/>
      <c r="D25" s="7"/>
      <c r="E25" s="9"/>
      <c r="F25" s="5" t="s">
        <v>3</v>
      </c>
      <c r="G25" s="9"/>
      <c r="H25" s="9"/>
      <c r="I25" s="3"/>
      <c r="J25" s="3"/>
      <c r="K25" s="3"/>
    </row>
    <row r="26" customFormat="false" ht="15.75" hidden="false" customHeight="false" outlineLevel="0" collapsed="false">
      <c r="A26" s="3"/>
      <c r="B26" s="3"/>
      <c r="C26" s="3"/>
      <c r="D26" s="7"/>
      <c r="E26" s="9"/>
      <c r="F26" s="5" t="s">
        <v>4</v>
      </c>
      <c r="G26" s="7"/>
      <c r="H26" s="7"/>
      <c r="I26" s="3"/>
      <c r="J26" s="3"/>
      <c r="K26" s="3"/>
    </row>
    <row r="27" customFormat="false" ht="15.75" hidden="false" customHeight="false" outlineLevel="0" collapsed="false">
      <c r="A27" s="3"/>
      <c r="B27" s="3"/>
      <c r="C27" s="3"/>
      <c r="D27" s="7"/>
      <c r="E27" s="9"/>
      <c r="F27" s="11"/>
      <c r="G27" s="7"/>
      <c r="H27" s="7"/>
      <c r="I27" s="3"/>
      <c r="J27" s="3"/>
      <c r="K27" s="3"/>
    </row>
    <row r="28" customFormat="false" ht="15.75" hidden="false" customHeight="false" outlineLevel="0" collapsed="false">
      <c r="A28" s="3"/>
      <c r="B28" s="3"/>
      <c r="C28" s="3"/>
      <c r="D28" s="7"/>
      <c r="E28" s="9"/>
      <c r="F28" s="9"/>
      <c r="G28" s="7"/>
      <c r="H28" s="7"/>
      <c r="I28" s="3"/>
      <c r="J28" s="3"/>
      <c r="K28" s="3"/>
    </row>
    <row r="29" customFormat="false" ht="15.75" hidden="false" customHeight="false" outlineLevel="0" collapsed="false">
      <c r="A29" s="3"/>
      <c r="B29" s="3"/>
      <c r="C29" s="3"/>
      <c r="D29" s="7"/>
      <c r="E29" s="9"/>
      <c r="F29" s="7"/>
      <c r="G29" s="7"/>
      <c r="H29" s="7"/>
      <c r="I29" s="3"/>
      <c r="J29" s="3"/>
      <c r="K29" s="3"/>
    </row>
    <row r="30" customFormat="false" ht="15.75" hidden="false" customHeight="false" outlineLevel="0" collapsed="false">
      <c r="A30" s="3"/>
      <c r="B30" s="3"/>
      <c r="C30" s="3"/>
      <c r="D30" s="3"/>
      <c r="E30" s="3"/>
      <c r="F30" s="3"/>
      <c r="G30" s="3"/>
      <c r="H30" s="3"/>
      <c r="I30" s="3"/>
      <c r="J30" s="3"/>
      <c r="K30" s="3"/>
    </row>
    <row r="31" customFormat="false" ht="15.75" hidden="false" customHeight="false" outlineLevel="0" collapsed="false">
      <c r="A31" s="3"/>
      <c r="B31" s="3"/>
      <c r="C31" s="3"/>
      <c r="D31" s="3"/>
      <c r="E31" s="3"/>
      <c r="F31" s="3"/>
      <c r="G31" s="3"/>
      <c r="H31" s="3"/>
      <c r="I31" s="3"/>
      <c r="J31" s="3"/>
      <c r="K31" s="3"/>
    </row>
    <row r="33" customFormat="false" ht="15.75" hidden="false" customHeight="false" outlineLevel="0" collapsed="false">
      <c r="A33" s="12"/>
    </row>
    <row r="34" customFormat="false" ht="15.75" hidden="false" customHeight="false" outlineLevel="0" collapsed="false">
      <c r="A34" s="12"/>
    </row>
    <row r="35" customFormat="false" ht="15.75" hidden="false" customHeight="false" outlineLevel="0" collapsed="false">
      <c r="A35" s="12"/>
    </row>
    <row r="36" customFormat="false" ht="15.75" hidden="false" customHeight="false" outlineLevel="0" collapsed="false">
      <c r="A36" s="12"/>
    </row>
    <row r="37" customFormat="false" ht="15.75" hidden="false" customHeight="false" outlineLevel="0" collapsed="false">
      <c r="A37" s="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A1:K559"/>
  <sheetViews>
    <sheetView showFormulas="false" showGridLines="false" showRowColHeaders="true" showZeros="true" rightToLeft="false" tabSelected="false" showOutlineSymbols="true" defaultGridColor="true" view="pageBreakPreview" topLeftCell="A1" colorId="64" zoomScale="85" zoomScaleNormal="100" zoomScalePageLayoutView="85"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2" min="2" style="0" width="70"/>
    <col collapsed="false" customWidth="true" hidden="false" outlineLevel="0" max="3" min="3" style="0" width="7"/>
    <col collapsed="false" customWidth="true" hidden="false" outlineLevel="0" max="4" min="4" style="0" width="2"/>
    <col collapsed="false" customWidth="true" hidden="false" outlineLevel="0" max="8" min="5" style="0" width="12.3"/>
    <col collapsed="false" customWidth="true" hidden="false" outlineLevel="0" max="9" min="9" style="0" width="3"/>
    <col collapsed="false" customWidth="true" hidden="false" outlineLevel="0" max="10" min="10" style="0" width="84"/>
    <col collapsed="false" customWidth="true" hidden="false" outlineLevel="0" max="11" min="11" style="0" width="3"/>
  </cols>
  <sheetData>
    <row r="1" customFormat="false" ht="12" hidden="false" customHeight="true" outlineLevel="0" collapsed="false">
      <c r="A1" s="14"/>
      <c r="B1" s="14"/>
      <c r="C1" s="14"/>
      <c r="D1" s="14"/>
      <c r="E1" s="14"/>
      <c r="F1" s="14"/>
      <c r="G1" s="14"/>
      <c r="H1" s="14"/>
      <c r="I1" s="14"/>
      <c r="J1" s="14"/>
      <c r="K1" s="14"/>
    </row>
    <row r="2" customFormat="false" ht="12" hidden="false" customHeight="true" outlineLevel="0" collapsed="false">
      <c r="A2" s="14"/>
      <c r="B2" s="14"/>
      <c r="C2" s="14"/>
      <c r="D2" s="14"/>
      <c r="E2" s="14"/>
      <c r="F2" s="14"/>
      <c r="G2" s="14"/>
      <c r="H2" s="14"/>
      <c r="I2" s="14"/>
      <c r="J2" s="14"/>
      <c r="K2" s="14"/>
    </row>
    <row r="3" customFormat="false" ht="23.25" hidden="false" customHeight="true" outlineLevel="0" collapsed="false">
      <c r="A3" s="14"/>
      <c r="B3" s="15" t="str">
        <f aca="true">MID(CELL("filename",B3),FIND("]",CELL("filename",B3))+1,256)</f>
        <v>Reformation &amp; Profitability</v>
      </c>
      <c r="C3" s="14"/>
      <c r="D3" s="14"/>
      <c r="E3" s="14"/>
      <c r="F3" s="14"/>
      <c r="G3" s="14"/>
      <c r="H3" s="14"/>
      <c r="I3" s="14"/>
      <c r="J3" s="14"/>
      <c r="K3" s="14"/>
    </row>
    <row r="4" customFormat="false" ht="12" hidden="false" customHeight="true" outlineLevel="0" collapsed="false"/>
    <row r="5" customFormat="false" ht="12" hidden="false" customHeight="true" outlineLevel="0" collapsed="false"/>
    <row r="6" customFormat="false" ht="15" hidden="false" customHeight="false" outlineLevel="0" collapsed="false">
      <c r="G6" s="16" t="s">
        <v>5</v>
      </c>
    </row>
    <row r="7" customFormat="false" ht="15" hidden="false" customHeight="false" outlineLevel="0" collapsed="false">
      <c r="B7" s="17" t="s">
        <v>6</v>
      </c>
      <c r="C7" s="18" t="s">
        <v>7</v>
      </c>
      <c r="D7" s="19"/>
      <c r="E7" s="20" t="s">
        <v>8</v>
      </c>
      <c r="F7" s="20" t="str">
        <f aca="false">TEXT(VALUE(LEFT(E7, 4)) + 1, "####")&amp;IF(VALUE(LEFT(E7, 4)) + 1 &lt;= 2025, "A", "P")</f>
        <v>2023A</v>
      </c>
      <c r="G7" s="20" t="str">
        <f aca="false">TEXT(VALUE(LEFT(F7, 4)) + 1, "####")&amp;IF(VALUE(LEFT(F7, 4)) + 1 &lt;= 2025, "A", "P")</f>
        <v>2024A</v>
      </c>
      <c r="H7" s="20" t="str">
        <f aca="false">TEXT(VALUE(LEFT(G7, 4)) + 1, "####")&amp;IF(VALUE(LEFT(G7, 4)) + 1 &lt;= 2025, "A", "P")</f>
        <v>2025A</v>
      </c>
      <c r="J7" s="21" t="s">
        <v>9</v>
      </c>
    </row>
    <row r="8" customFormat="false" ht="15" hidden="false" customHeight="false" outlineLevel="0" collapsed="false">
      <c r="B8" s="22" t="s">
        <v>10</v>
      </c>
      <c r="C8" s="23"/>
      <c r="D8" s="23"/>
      <c r="E8" s="24" t="n">
        <v>44926</v>
      </c>
      <c r="F8" s="24" t="n">
        <v>45291</v>
      </c>
      <c r="G8" s="24" t="n">
        <v>45657</v>
      </c>
      <c r="H8" s="24" t="n">
        <v>46022</v>
      </c>
    </row>
    <row r="10" customFormat="false" ht="15" hidden="false" customHeight="false" outlineLevel="0" collapsed="false">
      <c r="A10" s="25" t="s">
        <v>11</v>
      </c>
      <c r="B10" s="26" t="s">
        <v>12</v>
      </c>
      <c r="C10" s="14"/>
      <c r="D10" s="14"/>
      <c r="E10" s="14"/>
      <c r="F10" s="14"/>
      <c r="G10" s="14"/>
      <c r="H10" s="14"/>
    </row>
    <row r="12" customFormat="false" ht="15" hidden="false" customHeight="false" outlineLevel="0" collapsed="false">
      <c r="B12" s="27" t="s">
        <v>13</v>
      </c>
      <c r="C12" s="28" t="s">
        <v>14</v>
      </c>
      <c r="F12" s="29" t="n">
        <f aca="false">'Reported Financials'!F12</f>
        <v>7176</v>
      </c>
      <c r="G12" s="29" t="n">
        <f aca="false">'Reported Financials'!G12</f>
        <v>7715</v>
      </c>
      <c r="H12" s="29" t="n">
        <f aca="false">'Reported Financials'!H12</f>
        <v>9935</v>
      </c>
      <c r="J12" s="30" t="s">
        <v>15</v>
      </c>
    </row>
    <row r="13" customFormat="false" ht="15" hidden="false" customHeight="false" outlineLevel="0" collapsed="false">
      <c r="B13" s="31" t="s">
        <v>16</v>
      </c>
      <c r="G13" s="32" t="n">
        <f aca="false">G12/F12-1</f>
        <v>0.0751114827201784</v>
      </c>
      <c r="H13" s="32" t="n">
        <f aca="false">H12/G12-1</f>
        <v>0.287751134154245</v>
      </c>
    </row>
    <row r="14" customFormat="false" ht="15" hidden="false" customHeight="false" outlineLevel="0" collapsed="false">
      <c r="B14" s="27" t="s">
        <v>17</v>
      </c>
      <c r="C14" s="28" t="s">
        <v>18</v>
      </c>
      <c r="F14" s="29" t="n">
        <f aca="false">'Reported Financials'!F15</f>
        <v>607</v>
      </c>
      <c r="G14" s="29" t="n">
        <f aca="false">'Reported Financials'!G15</f>
        <v>6</v>
      </c>
      <c r="H14" s="29" t="n">
        <f aca="false">'Reported Financials'!H15</f>
        <v>407</v>
      </c>
      <c r="J14" s="30" t="s">
        <v>19</v>
      </c>
    </row>
    <row r="15" customFormat="false" ht="15" hidden="false" customHeight="false" outlineLevel="0" collapsed="false">
      <c r="B15" s="27" t="s">
        <v>20</v>
      </c>
      <c r="C15" s="28" t="s">
        <v>18</v>
      </c>
      <c r="F15" s="29" t="n">
        <f aca="false">'Reported Financials'!F16</f>
        <v>89</v>
      </c>
      <c r="G15" s="29" t="n">
        <f aca="false">'Reported Financials'!G16</f>
        <v>126</v>
      </c>
      <c r="H15" s="29" t="n">
        <f aca="false">'Reported Financials'!H16</f>
        <v>114</v>
      </c>
      <c r="J15" s="30" t="s">
        <v>21</v>
      </c>
    </row>
    <row r="16" customFormat="false" ht="15" hidden="false" customHeight="false" outlineLevel="0" collapsed="false">
      <c r="B16" s="33" t="s">
        <v>22</v>
      </c>
      <c r="C16" s="34"/>
      <c r="D16" s="34"/>
      <c r="E16" s="34"/>
      <c r="F16" s="35" t="n">
        <f aca="false">F12+F14+F15</f>
        <v>7872</v>
      </c>
      <c r="G16" s="35" t="n">
        <f aca="false">G12+G14+G15</f>
        <v>7847</v>
      </c>
      <c r="H16" s="35" t="n">
        <f aca="false">H12+H14+H15</f>
        <v>10456</v>
      </c>
      <c r="J16" s="30" t="s">
        <v>23</v>
      </c>
    </row>
    <row r="18" customFormat="false" ht="15" hidden="false" customHeight="false" outlineLevel="0" collapsed="false">
      <c r="B18" s="27" t="s">
        <v>24</v>
      </c>
      <c r="C18" s="28" t="s">
        <v>25</v>
      </c>
      <c r="F18" s="29" t="n">
        <f aca="false">'Reported Financials'!F32</f>
        <v>-2883</v>
      </c>
      <c r="G18" s="29" t="n">
        <f aca="false">'Reported Financials'!G32</f>
        <v>-2435</v>
      </c>
      <c r="H18" s="29" t="n">
        <f aca="false">'Reported Financials'!H32</f>
        <v>-3784</v>
      </c>
      <c r="J18" s="30" t="s">
        <v>26</v>
      </c>
    </row>
    <row r="19" customFormat="false" ht="15" hidden="false" customHeight="false" outlineLevel="0" collapsed="false">
      <c r="B19" s="27" t="s">
        <v>27</v>
      </c>
      <c r="C19" s="28" t="s">
        <v>25</v>
      </c>
      <c r="F19" s="29" t="n">
        <f aca="false">'Reported Financials'!F33</f>
        <v>-1053</v>
      </c>
      <c r="G19" s="29" t="n">
        <f aca="false">'Reported Financials'!G33</f>
        <v>-1258</v>
      </c>
      <c r="H19" s="29" t="n">
        <f aca="false">'Reported Financials'!H33</f>
        <v>-1469</v>
      </c>
      <c r="J19" s="30" t="s">
        <v>28</v>
      </c>
    </row>
    <row r="20" customFormat="false" ht="15" hidden="false" customHeight="false" outlineLevel="0" collapsed="false">
      <c r="B20" s="27" t="s">
        <v>29</v>
      </c>
      <c r="C20" s="28" t="s">
        <v>25</v>
      </c>
      <c r="F20" s="36" t="n">
        <f aca="false">'Reported Financials'!F48+'Reported Financials'!F49+'Reported Financials'!F50+'Reported Financials'!F52+'Reported Financials'!F53+'Reported Financials'!F54+'Reported Financials'!F56+'Reported Financials'!F58+'Reported Financials'!F60-'Reported Financials'!F92</f>
        <v>-698</v>
      </c>
      <c r="G20" s="36" t="n">
        <f aca="false">'Reported Financials'!G48+'Reported Financials'!G49+'Reported Financials'!G50+'Reported Financials'!G52+'Reported Financials'!G53+'Reported Financials'!G54+'Reported Financials'!G56+'Reported Financials'!G58+'Reported Financials'!G60-'Reported Financials'!G92</f>
        <v>-695</v>
      </c>
      <c r="H20" s="36" t="n">
        <f aca="false">'Reported Financials'!H48+'Reported Financials'!H49+'Reported Financials'!H50+'Reported Financials'!H52+'Reported Financials'!H53+'Reported Financials'!H54+'Reported Financials'!H56+'Reported Financials'!H58+'Reported Financials'!H60-'Reported Financials'!H92</f>
        <v>-834</v>
      </c>
      <c r="J20" s="30" t="s">
        <v>30</v>
      </c>
    </row>
    <row r="21" customFormat="false" ht="15" hidden="false" customHeight="false" outlineLevel="0" collapsed="false">
      <c r="B21" s="27" t="s">
        <v>31</v>
      </c>
      <c r="C21" s="28" t="s">
        <v>25</v>
      </c>
      <c r="F21" s="36" t="n">
        <f aca="false">'Reported Financials'!F34+'Reported Financials'!F17</f>
        <v>1</v>
      </c>
      <c r="G21" s="36" t="n">
        <f aca="false">'Reported Financials'!G34+'Reported Financials'!G17</f>
        <v>0</v>
      </c>
      <c r="H21" s="36" t="n">
        <f aca="false">'Reported Financials'!H34+'Reported Financials'!H17</f>
        <v>1</v>
      </c>
      <c r="J21" s="30" t="s">
        <v>32</v>
      </c>
    </row>
    <row r="22" customFormat="false" ht="15" hidden="false" customHeight="false" outlineLevel="0" collapsed="false">
      <c r="B22" s="33" t="s">
        <v>33</v>
      </c>
      <c r="C22" s="34"/>
      <c r="D22" s="34"/>
      <c r="E22" s="34"/>
      <c r="F22" s="35" t="n">
        <f aca="false">F16+F18+F19+F20+F21</f>
        <v>3239</v>
      </c>
      <c r="G22" s="35" t="n">
        <f aca="false">G16+G18+G19+G20+G21</f>
        <v>3459</v>
      </c>
      <c r="H22" s="35" t="n">
        <f aca="false">H16+H18+H19+H20+H21</f>
        <v>4370</v>
      </c>
      <c r="J22" s="30" t="s">
        <v>34</v>
      </c>
    </row>
    <row r="23" customFormat="false" ht="15" hidden="false" customHeight="false" outlineLevel="0" collapsed="false">
      <c r="B23" s="31" t="s">
        <v>35</v>
      </c>
      <c r="F23" s="32" t="n">
        <f aca="false">F22/F16</f>
        <v>0.411458333333333</v>
      </c>
      <c r="G23" s="32" t="n">
        <f aca="false">G22/G16</f>
        <v>0.440805403338856</v>
      </c>
      <c r="H23" s="32" t="n">
        <f aca="false">H22/H16</f>
        <v>0.417941851568477</v>
      </c>
    </row>
    <row r="25" customFormat="false" ht="15" hidden="false" customHeight="false" outlineLevel="0" collapsed="false">
      <c r="B25" s="27" t="s">
        <v>36</v>
      </c>
      <c r="C25" s="28" t="s">
        <v>25</v>
      </c>
      <c r="F25" s="36" t="n">
        <f aca="false">'Reported Financials'!F20-'Reported Financials'!F27-'Reported Financials'!F98</f>
        <v>151</v>
      </c>
      <c r="G25" s="36" t="n">
        <f aca="false">'Reported Financials'!G20-'Reported Financials'!G27-'Reported Financials'!G98</f>
        <v>176</v>
      </c>
      <c r="H25" s="36" t="n">
        <f aca="false">'Reported Financials'!H20-'Reported Financials'!H27-'Reported Financials'!H98</f>
        <v>176</v>
      </c>
      <c r="J25" s="30" t="s">
        <v>37</v>
      </c>
    </row>
    <row r="26" customFormat="false" ht="15" hidden="false" customHeight="false" outlineLevel="0" collapsed="false">
      <c r="B26" s="27" t="s">
        <v>38</v>
      </c>
      <c r="C26" s="28" t="s">
        <v>25</v>
      </c>
      <c r="F26" s="36" t="n">
        <f aca="false">'Reported Financials'!F55+'Reported Financials'!F57+'Reported Financials'!F59+'Reported Financials'!F61+'Reported Financials'!F62+'Reported Financials'!F63+'Reported Financials'!F64</f>
        <v>-117</v>
      </c>
      <c r="G26" s="36" t="n">
        <f aca="false">'Reported Financials'!G55+'Reported Financials'!G57+'Reported Financials'!G59+'Reported Financials'!G61+'Reported Financials'!G62+'Reported Financials'!G63+'Reported Financials'!G64</f>
        <v>-114</v>
      </c>
      <c r="H26" s="36" t="n">
        <f aca="false">'Reported Financials'!H55+'Reported Financials'!H57+'Reported Financials'!H59+'Reported Financials'!H61+'Reported Financials'!H62+'Reported Financials'!H63+'Reported Financials'!H64</f>
        <v>-181</v>
      </c>
      <c r="J26" s="30" t="s">
        <v>39</v>
      </c>
    </row>
    <row r="27" customFormat="false" ht="15" hidden="false" customHeight="false" outlineLevel="0" collapsed="false">
      <c r="B27" s="27" t="s">
        <v>40</v>
      </c>
      <c r="C27" s="28" t="s">
        <v>25</v>
      </c>
      <c r="F27" s="29" t="n">
        <f aca="false">'Reported Financials'!F68</f>
        <v>0</v>
      </c>
      <c r="G27" s="29" t="n">
        <f aca="false">'Reported Financials'!G68</f>
        <v>-1</v>
      </c>
      <c r="H27" s="29" t="n">
        <f aca="false">'Reported Financials'!H68</f>
        <v>-1</v>
      </c>
      <c r="J27" s="30" t="s">
        <v>41</v>
      </c>
    </row>
    <row r="28" customFormat="false" ht="15" hidden="false" customHeight="false" outlineLevel="0" collapsed="false">
      <c r="B28" s="27" t="s">
        <v>42</v>
      </c>
      <c r="C28" s="28" t="s">
        <v>43</v>
      </c>
      <c r="F28" s="36" t="n">
        <f aca="false">'Reported Financials'!F35-'Reported Financials'!F96</f>
        <v>-2046</v>
      </c>
      <c r="G28" s="36" t="n">
        <f aca="false">'Reported Financials'!G35-'Reported Financials'!G96</f>
        <v>-1842</v>
      </c>
      <c r="H28" s="36" t="n">
        <f aca="false">'Reported Financials'!H35-'Reported Financials'!H96</f>
        <v>-2307</v>
      </c>
      <c r="J28" s="30" t="s">
        <v>44</v>
      </c>
    </row>
    <row r="29" customFormat="false" ht="15" hidden="false" customHeight="false" outlineLevel="0" collapsed="false">
      <c r="B29" s="27" t="s">
        <v>45</v>
      </c>
      <c r="C29" s="28" t="s">
        <v>43</v>
      </c>
      <c r="F29" s="29" t="n">
        <f aca="false">'Reported Financials'!F51</f>
        <v>-74</v>
      </c>
      <c r="G29" s="29" t="n">
        <f aca="false">'Reported Financials'!G51</f>
        <v>-76</v>
      </c>
      <c r="H29" s="29" t="n">
        <f aca="false">'Reported Financials'!H51</f>
        <v>-97</v>
      </c>
      <c r="J29" s="30" t="s">
        <v>46</v>
      </c>
    </row>
    <row r="30" customFormat="false" ht="15" hidden="false" customHeight="false" outlineLevel="0" collapsed="false">
      <c r="B30" s="33" t="s">
        <v>47</v>
      </c>
      <c r="C30" s="34"/>
      <c r="D30" s="34"/>
      <c r="E30" s="34"/>
      <c r="F30" s="35" t="n">
        <f aca="false">F22+F25+F26+F27+F28+F29</f>
        <v>1153</v>
      </c>
      <c r="G30" s="35" t="n">
        <f aca="false">G22+G25+G26+G27+G28+G29</f>
        <v>1602</v>
      </c>
      <c r="H30" s="35" t="n">
        <f aca="false">H22+H25+H26+H27+H28+H29</f>
        <v>1960</v>
      </c>
      <c r="J30" s="30" t="s">
        <v>48</v>
      </c>
    </row>
    <row r="31" customFormat="false" ht="15" hidden="false" customHeight="false" outlineLevel="0" collapsed="false">
      <c r="B31" s="31" t="s">
        <v>49</v>
      </c>
      <c r="F31" s="32" t="n">
        <f aca="false">F30/F12</f>
        <v>0.160674470457079</v>
      </c>
      <c r="G31" s="32" t="n">
        <f aca="false">G30/G12</f>
        <v>0.207647440051847</v>
      </c>
      <c r="H31" s="32" t="n">
        <f aca="false">H30/H12</f>
        <v>0.197282335178661</v>
      </c>
    </row>
    <row r="33" customFormat="false" ht="15" hidden="false" customHeight="false" outlineLevel="0" collapsed="false">
      <c r="B33" s="27" t="s">
        <v>50</v>
      </c>
      <c r="C33" s="28" t="s">
        <v>43</v>
      </c>
      <c r="F33" s="29" t="n">
        <f aca="false">'Reported Financials'!F87</f>
        <v>-10</v>
      </c>
      <c r="G33" s="29" t="n">
        <f aca="false">'Reported Financials'!G87</f>
        <v>-12</v>
      </c>
      <c r="H33" s="29" t="n">
        <f aca="false">'Reported Financials'!H87</f>
        <v>-5</v>
      </c>
      <c r="J33" s="30" t="s">
        <v>51</v>
      </c>
    </row>
    <row r="34" customFormat="false" ht="15" hidden="false" customHeight="false" outlineLevel="0" collapsed="false">
      <c r="B34" s="27" t="s">
        <v>52</v>
      </c>
      <c r="C34" s="28" t="s">
        <v>53</v>
      </c>
      <c r="F34" s="36" t="n">
        <f aca="false">'Reported Financials'!F41-'Reported Financials'!F86</f>
        <v>-302</v>
      </c>
      <c r="G34" s="36" t="n">
        <f aca="false">'Reported Financials'!G41-'Reported Financials'!G86</f>
        <v>-284</v>
      </c>
      <c r="H34" s="36" t="n">
        <f aca="false">'Reported Financials'!H41-'Reported Financials'!H86</f>
        <v>-389</v>
      </c>
      <c r="J34" s="30" t="s">
        <v>54</v>
      </c>
    </row>
    <row r="35" customFormat="false" ht="15" hidden="false" customHeight="false" outlineLevel="0" collapsed="false">
      <c r="B35" s="27" t="s">
        <v>55</v>
      </c>
      <c r="F35" s="29" t="n">
        <f aca="false">'Reported Financials'!F85</f>
        <v>-47</v>
      </c>
      <c r="G35" s="29" t="n">
        <f aca="false">'Reported Financials'!G85</f>
        <v>-102</v>
      </c>
      <c r="H35" s="29" t="n">
        <f aca="false">'Reported Financials'!H85</f>
        <v>-139</v>
      </c>
      <c r="J35" s="30" t="s">
        <v>56</v>
      </c>
    </row>
    <row r="36" customFormat="false" ht="15" hidden="false" customHeight="false" outlineLevel="0" collapsed="false">
      <c r="B36" s="33" t="s">
        <v>57</v>
      </c>
      <c r="C36" s="34"/>
      <c r="D36" s="34"/>
      <c r="E36" s="34"/>
      <c r="F36" s="35" t="n">
        <f aca="false">F30+F33+F34</f>
        <v>841</v>
      </c>
      <c r="G36" s="35" t="n">
        <f aca="false">G30+G33+G34</f>
        <v>1306</v>
      </c>
      <c r="H36" s="35" t="n">
        <f aca="false">H30+H33+H34</f>
        <v>1566</v>
      </c>
      <c r="J36" s="30" t="s">
        <v>58</v>
      </c>
    </row>
    <row r="37" customFormat="false" ht="15" hidden="false" customHeight="false" outlineLevel="0" collapsed="false">
      <c r="B37" s="31" t="s">
        <v>59</v>
      </c>
      <c r="F37" s="32" t="n">
        <f aca="false">F36/F12</f>
        <v>0.117196209587514</v>
      </c>
      <c r="G37" s="32" t="n">
        <f aca="false">G36/G12</f>
        <v>0.169280622164614</v>
      </c>
      <c r="H37" s="32" t="n">
        <f aca="false">H36/H12</f>
        <v>0.157624559637645</v>
      </c>
    </row>
    <row r="39" customFormat="false" ht="15" hidden="false" customHeight="false" outlineLevel="0" collapsed="false">
      <c r="B39" s="27" t="s">
        <v>60</v>
      </c>
      <c r="C39" s="28" t="s">
        <v>61</v>
      </c>
      <c r="F39" s="36" t="n">
        <f aca="false">'Reported Financials'!F66-'Reported Financials'!F89-'Reported Financials'!F90</f>
        <v>4</v>
      </c>
      <c r="G39" s="36" t="n">
        <f aca="false">'Reported Financials'!G66-'Reported Financials'!G89-'Reported Financials'!G90</f>
        <v>-33</v>
      </c>
      <c r="H39" s="36" t="n">
        <f aca="false">'Reported Financials'!H66-'Reported Financials'!H89-'Reported Financials'!H90</f>
        <v>1</v>
      </c>
      <c r="J39" s="30" t="s">
        <v>62</v>
      </c>
    </row>
    <row r="40" customFormat="false" ht="15" hidden="false" customHeight="false" outlineLevel="0" collapsed="false">
      <c r="B40" s="27" t="s">
        <v>63</v>
      </c>
      <c r="C40" s="28" t="s">
        <v>61</v>
      </c>
      <c r="F40" s="36" t="n">
        <f aca="false">'Reported Financials'!F67-'Reported Financials'!F91</f>
        <v>-11</v>
      </c>
      <c r="G40" s="36" t="n">
        <f aca="false">'Reported Financials'!G67-'Reported Financials'!G91</f>
        <v>-9</v>
      </c>
      <c r="H40" s="36" t="n">
        <f aca="false">'Reported Financials'!H67-'Reported Financials'!H91</f>
        <v>-22</v>
      </c>
      <c r="J40" s="30" t="s">
        <v>64</v>
      </c>
    </row>
    <row r="41" customFormat="false" ht="15" hidden="false" customHeight="false" outlineLevel="0" collapsed="false">
      <c r="B41" s="33" t="s">
        <v>65</v>
      </c>
      <c r="C41" s="34"/>
      <c r="D41" s="34"/>
      <c r="E41" s="34"/>
      <c r="F41" s="35" t="n">
        <f aca="false">F39+F40</f>
        <v>-7</v>
      </c>
      <c r="G41" s="35" t="n">
        <f aca="false">G39+G40</f>
        <v>-42</v>
      </c>
      <c r="H41" s="35" t="n">
        <f aca="false">H39+H40</f>
        <v>-21</v>
      </c>
      <c r="J41" s="30" t="s">
        <v>66</v>
      </c>
    </row>
    <row r="43" customFormat="false" ht="15" hidden="false" customHeight="false" outlineLevel="0" collapsed="false">
      <c r="B43" s="33" t="s">
        <v>67</v>
      </c>
      <c r="C43" s="34"/>
      <c r="D43" s="34"/>
      <c r="E43" s="34"/>
      <c r="F43" s="35" t="n">
        <f aca="false">F36+F41</f>
        <v>834</v>
      </c>
      <c r="G43" s="35" t="n">
        <f aca="false">G36+G41</f>
        <v>1264</v>
      </c>
      <c r="H43" s="35" t="n">
        <f aca="false">H36+H41</f>
        <v>1545</v>
      </c>
      <c r="J43" s="30" t="s">
        <v>68</v>
      </c>
    </row>
    <row r="44" customFormat="false" ht="15" hidden="false" customHeight="false" outlineLevel="0" collapsed="false">
      <c r="B44" s="31" t="s">
        <v>69</v>
      </c>
      <c r="F44" s="32" t="n">
        <f aca="false">F43/F12</f>
        <v>0.116220735785953</v>
      </c>
      <c r="G44" s="32" t="n">
        <f aca="false">G43/G12</f>
        <v>0.163836681788723</v>
      </c>
      <c r="H44" s="32" t="n">
        <f aca="false">H43/H12</f>
        <v>0.155510820332159</v>
      </c>
    </row>
    <row r="46" customFormat="false" ht="15" hidden="false" customHeight="false" outlineLevel="0" collapsed="false">
      <c r="B46" s="27" t="s">
        <v>70</v>
      </c>
      <c r="C46" s="28" t="s">
        <v>71</v>
      </c>
      <c r="F46" s="29" t="n">
        <f aca="false">'Reported Financials'!F71</f>
        <v>29</v>
      </c>
      <c r="G46" s="29" t="n">
        <f aca="false">'Reported Financials'!G71</f>
        <v>14</v>
      </c>
      <c r="H46" s="29" t="n">
        <f aca="false">'Reported Financials'!H71</f>
        <v>4</v>
      </c>
      <c r="J46" s="30" t="s">
        <v>72</v>
      </c>
    </row>
    <row r="47" customFormat="false" ht="15" hidden="false" customHeight="false" outlineLevel="0" collapsed="false">
      <c r="B47" s="27" t="s">
        <v>73</v>
      </c>
      <c r="C47" s="28" t="s">
        <v>71</v>
      </c>
      <c r="F47" s="36" t="n">
        <f aca="false">'Reported Financials'!F72-'Reported Financials'!F87</f>
        <v>-101</v>
      </c>
      <c r="G47" s="36" t="n">
        <f aca="false">'Reported Financials'!G72-'Reported Financials'!G87</f>
        <v>-104</v>
      </c>
      <c r="H47" s="36" t="n">
        <f aca="false">'Reported Financials'!H72-'Reported Financials'!H87</f>
        <v>-111</v>
      </c>
      <c r="J47" s="30" t="s">
        <v>74</v>
      </c>
    </row>
    <row r="48" customFormat="false" ht="15" hidden="false" customHeight="false" outlineLevel="0" collapsed="false">
      <c r="B48" s="33" t="s">
        <v>75</v>
      </c>
      <c r="C48" s="34"/>
      <c r="D48" s="34"/>
      <c r="E48" s="34"/>
      <c r="F48" s="35" t="n">
        <f aca="false">F46+F47</f>
        <v>-72</v>
      </c>
      <c r="G48" s="35" t="n">
        <f aca="false">G46+G47</f>
        <v>-90</v>
      </c>
      <c r="H48" s="35" t="n">
        <f aca="false">H46+H47</f>
        <v>-107</v>
      </c>
      <c r="J48" s="30" t="s">
        <v>76</v>
      </c>
    </row>
    <row r="50" customFormat="false" ht="15" hidden="false" customHeight="false" outlineLevel="0" collapsed="false">
      <c r="B50" s="33" t="s">
        <v>77</v>
      </c>
      <c r="C50" s="34"/>
      <c r="D50" s="34"/>
      <c r="E50" s="34"/>
      <c r="F50" s="35" t="n">
        <f aca="false">F43+F48</f>
        <v>762</v>
      </c>
      <c r="G50" s="35" t="n">
        <f aca="false">G43+G48</f>
        <v>1174</v>
      </c>
      <c r="H50" s="35" t="n">
        <f aca="false">H43+H48</f>
        <v>1438</v>
      </c>
      <c r="J50" s="30" t="s">
        <v>68</v>
      </c>
    </row>
    <row r="52" customFormat="false" ht="15" hidden="false" customHeight="false" outlineLevel="0" collapsed="false">
      <c r="B52" s="37" t="s">
        <v>78</v>
      </c>
      <c r="C52" s="28" t="s">
        <v>79</v>
      </c>
      <c r="J52" s="30" t="s">
        <v>80</v>
      </c>
    </row>
    <row r="53" customFormat="false" ht="15" hidden="false" customHeight="false" outlineLevel="0" collapsed="false">
      <c r="B53" s="37" t="s">
        <v>81</v>
      </c>
    </row>
    <row r="54" customFormat="false" ht="15" hidden="false" customHeight="false" outlineLevel="0" collapsed="false">
      <c r="B54" s="27" t="s">
        <v>82</v>
      </c>
      <c r="C54" s="28" t="s">
        <v>79</v>
      </c>
      <c r="F54" s="29" t="n">
        <f aca="false">'Reported Financials'!F27</f>
        <v>2</v>
      </c>
      <c r="G54" s="29" t="n">
        <f aca="false">'Reported Financials'!G27</f>
        <v>2</v>
      </c>
      <c r="H54" s="29" t="n">
        <f aca="false">'Reported Financials'!H27</f>
        <v>0</v>
      </c>
      <c r="J54" s="30" t="s">
        <v>83</v>
      </c>
    </row>
    <row r="55" customFormat="false" ht="15" hidden="false" customHeight="false" outlineLevel="0" collapsed="false">
      <c r="B55" s="27" t="s">
        <v>84</v>
      </c>
      <c r="C55" s="28" t="s">
        <v>79</v>
      </c>
      <c r="F55" s="29" t="n">
        <f aca="false">'Reported Financials'!F86</f>
        <v>-6</v>
      </c>
      <c r="G55" s="29" t="n">
        <f aca="false">'Reported Financials'!G86</f>
        <v>0</v>
      </c>
      <c r="H55" s="29" t="n">
        <f aca="false">'Reported Financials'!H86</f>
        <v>-17</v>
      </c>
      <c r="J55" s="30" t="s">
        <v>85</v>
      </c>
    </row>
    <row r="56" customFormat="false" ht="15" hidden="false" customHeight="false" outlineLevel="0" collapsed="false">
      <c r="B56" s="27" t="s">
        <v>86</v>
      </c>
      <c r="C56" s="28" t="s">
        <v>79</v>
      </c>
      <c r="F56" s="36" t="n">
        <f aca="false">'Reported Financials'!F89+'Reported Financials'!F90</f>
        <v>53</v>
      </c>
      <c r="G56" s="36" t="n">
        <f aca="false">'Reported Financials'!G89+'Reported Financials'!G90</f>
        <v>0</v>
      </c>
      <c r="H56" s="36" t="n">
        <f aca="false">'Reported Financials'!H89+'Reported Financials'!H90</f>
        <v>46</v>
      </c>
      <c r="J56" s="30" t="s">
        <v>87</v>
      </c>
    </row>
    <row r="57" customFormat="false" ht="15" hidden="false" customHeight="false" outlineLevel="0" collapsed="false">
      <c r="B57" s="27" t="s">
        <v>88</v>
      </c>
      <c r="C57" s="28" t="s">
        <v>79</v>
      </c>
      <c r="F57" s="29" t="n">
        <f aca="false">'Reported Financials'!F91</f>
        <v>5</v>
      </c>
      <c r="G57" s="29" t="n">
        <f aca="false">'Reported Financials'!G91</f>
        <v>0</v>
      </c>
      <c r="H57" s="29" t="n">
        <f aca="false">'Reported Financials'!H91</f>
        <v>15</v>
      </c>
      <c r="J57" s="30" t="s">
        <v>89</v>
      </c>
    </row>
    <row r="58" customFormat="false" ht="15" hidden="false" customHeight="false" outlineLevel="0" collapsed="false">
      <c r="B58" s="27" t="s">
        <v>90</v>
      </c>
      <c r="C58" s="28" t="s">
        <v>79</v>
      </c>
      <c r="F58" s="29" t="n">
        <f aca="false">'Reported Financials'!F92</f>
        <v>0</v>
      </c>
      <c r="G58" s="29" t="n">
        <f aca="false">'Reported Financials'!G92</f>
        <v>-6</v>
      </c>
      <c r="H58" s="29" t="n">
        <f aca="false">'Reported Financials'!H92</f>
        <v>0</v>
      </c>
      <c r="J58" s="30" t="s">
        <v>91</v>
      </c>
    </row>
    <row r="59" customFormat="false" ht="15" hidden="false" customHeight="false" outlineLevel="0" collapsed="false">
      <c r="B59" s="27" t="s">
        <v>92</v>
      </c>
      <c r="C59" s="28" t="s">
        <v>79</v>
      </c>
      <c r="F59" s="29" t="n">
        <f aca="false">'Reported Financials'!F96</f>
        <v>-1</v>
      </c>
      <c r="G59" s="29" t="n">
        <f aca="false">'Reported Financials'!G96</f>
        <v>-2</v>
      </c>
      <c r="H59" s="29" t="n">
        <f aca="false">'Reported Financials'!H96</f>
        <v>-7</v>
      </c>
      <c r="J59" s="30" t="s">
        <v>93</v>
      </c>
    </row>
    <row r="60" customFormat="false" ht="15" hidden="false" customHeight="false" outlineLevel="0" collapsed="false">
      <c r="B60" s="27" t="s">
        <v>94</v>
      </c>
      <c r="C60" s="28" t="s">
        <v>79</v>
      </c>
      <c r="F60" s="29" t="n">
        <f aca="false">'Reported Financials'!F98</f>
        <v>0</v>
      </c>
      <c r="G60" s="29" t="n">
        <f aca="false">'Reported Financials'!G98</f>
        <v>0</v>
      </c>
      <c r="H60" s="29" t="n">
        <f aca="false">'Reported Financials'!H98</f>
        <v>97</v>
      </c>
      <c r="J60" s="30" t="s">
        <v>95</v>
      </c>
    </row>
    <row r="61" customFormat="false" ht="15" hidden="false" customHeight="false" outlineLevel="0" collapsed="false">
      <c r="B61" s="27" t="s">
        <v>96</v>
      </c>
      <c r="C61" s="28" t="s">
        <v>79</v>
      </c>
      <c r="F61" s="29" t="n">
        <f aca="false">'Reported Financials'!F100</f>
        <v>-59</v>
      </c>
      <c r="G61" s="29" t="n">
        <f aca="false">'Reported Financials'!G100</f>
        <v>-17</v>
      </c>
      <c r="H61" s="29" t="n">
        <f aca="false">'Reported Financials'!H100</f>
        <v>-315</v>
      </c>
      <c r="J61" s="30" t="s">
        <v>97</v>
      </c>
    </row>
    <row r="62" customFormat="false" ht="15" hidden="false" customHeight="false" outlineLevel="0" collapsed="false">
      <c r="B62" s="27" t="s">
        <v>98</v>
      </c>
      <c r="C62" s="28" t="s">
        <v>79</v>
      </c>
      <c r="F62" s="29" t="n">
        <f aca="false">'Reported Financials'!F93</f>
        <v>3</v>
      </c>
      <c r="G62" s="29" t="n">
        <f aca="false">'Reported Financials'!G93</f>
        <v>-1</v>
      </c>
      <c r="H62" s="29" t="n">
        <f aca="false">'Reported Financials'!H93</f>
        <v>-11</v>
      </c>
      <c r="J62" s="30" t="s">
        <v>99</v>
      </c>
    </row>
    <row r="63" customFormat="false" ht="15" hidden="false" customHeight="false" outlineLevel="0" collapsed="false">
      <c r="B63" s="37" t="s">
        <v>100</v>
      </c>
    </row>
    <row r="64" customFormat="false" ht="15" hidden="false" customHeight="false" outlineLevel="0" collapsed="false">
      <c r="B64" s="27" t="s">
        <v>101</v>
      </c>
      <c r="C64" s="28" t="s">
        <v>79</v>
      </c>
      <c r="F64" s="29" t="n">
        <f aca="false">'Reported Financials'!F102</f>
        <v>35</v>
      </c>
      <c r="G64" s="29" t="n">
        <f aca="false">'Reported Financials'!G102</f>
        <v>207</v>
      </c>
      <c r="H64" s="29" t="n">
        <f aca="false">'Reported Financials'!H102</f>
        <v>79</v>
      </c>
      <c r="J64" s="30" t="s">
        <v>102</v>
      </c>
    </row>
    <row r="65" customFormat="false" ht="15" hidden="false" customHeight="false" outlineLevel="0" collapsed="false">
      <c r="B65" s="27" t="s">
        <v>103</v>
      </c>
      <c r="C65" s="28" t="s">
        <v>79</v>
      </c>
      <c r="F65" s="29" t="n">
        <f aca="false">'Reported Financials'!F104</f>
        <v>-25</v>
      </c>
      <c r="G65" s="29" t="n">
        <f aca="false">'Reported Financials'!G104</f>
        <v>16</v>
      </c>
      <c r="H65" s="29" t="n">
        <f aca="false">'Reported Financials'!H104</f>
        <v>43</v>
      </c>
      <c r="J65" s="30" t="s">
        <v>104</v>
      </c>
    </row>
    <row r="66" customFormat="false" ht="15" hidden="false" customHeight="false" outlineLevel="0" collapsed="false">
      <c r="B66" s="27" t="s">
        <v>105</v>
      </c>
      <c r="C66" s="28" t="s">
        <v>79</v>
      </c>
      <c r="F66" s="29" t="n">
        <f aca="false">'Reported Financials'!F105</f>
        <v>7</v>
      </c>
      <c r="G66" s="29" t="n">
        <f aca="false">'Reported Financials'!G105</f>
        <v>12</v>
      </c>
      <c r="H66" s="29" t="n">
        <f aca="false">'Reported Financials'!H105</f>
        <v>-138</v>
      </c>
      <c r="J66" s="30" t="s">
        <v>106</v>
      </c>
    </row>
    <row r="67" customFormat="false" ht="15" hidden="false" customHeight="false" outlineLevel="0" collapsed="false">
      <c r="B67" s="27" t="s">
        <v>107</v>
      </c>
      <c r="C67" s="28" t="s">
        <v>79</v>
      </c>
      <c r="F67" s="36" t="n">
        <f aca="false">'Reported Financials'!F103+'Reported Financials'!F106</f>
        <v>-8</v>
      </c>
      <c r="G67" s="36" t="n">
        <f aca="false">'Reported Financials'!G103+'Reported Financials'!G106</f>
        <v>2</v>
      </c>
      <c r="H67" s="36" t="n">
        <f aca="false">'Reported Financials'!H103+'Reported Financials'!H106</f>
        <v>6</v>
      </c>
      <c r="J67" s="30" t="s">
        <v>108</v>
      </c>
    </row>
    <row r="68" customFormat="false" ht="15" hidden="false" customHeight="false" outlineLevel="0" collapsed="false">
      <c r="B68" s="27" t="s">
        <v>109</v>
      </c>
      <c r="C68" s="28" t="s">
        <v>79</v>
      </c>
      <c r="F68" s="36" t="n">
        <f aca="false">'Reported Financials'!F77-'Reported Financials'!F100-'Reported Financials'!F101</f>
        <v>0</v>
      </c>
      <c r="G68" s="36" t="n">
        <f aca="false">'Reported Financials'!G77-'Reported Financials'!G100-'Reported Financials'!G101</f>
        <v>-1</v>
      </c>
      <c r="H68" s="36" t="n">
        <f aca="false">'Reported Financials'!H77-'Reported Financials'!H100-'Reported Financials'!H101</f>
        <v>1</v>
      </c>
      <c r="J68" s="30" t="s">
        <v>110</v>
      </c>
    </row>
    <row r="69" customFormat="false" ht="15" hidden="false" customHeight="false" outlineLevel="0" collapsed="false">
      <c r="B69" s="27" t="s">
        <v>111</v>
      </c>
      <c r="C69" s="28" t="s">
        <v>79</v>
      </c>
      <c r="F69" s="36" t="n">
        <f aca="false">'Reported Financials'!F119-SUM('Reported Financials'!F102:F106)-'Reported Financials'!F107</f>
        <v>0</v>
      </c>
      <c r="G69" s="36" t="n">
        <f aca="false">'Reported Financials'!G119-SUM('Reported Financials'!G102:G106)-'Reported Financials'!G107</f>
        <v>1</v>
      </c>
      <c r="H69" s="36" t="n">
        <f aca="false">'Reported Financials'!H119-SUM('Reported Financials'!H102:H106)-'Reported Financials'!H107</f>
        <v>-1</v>
      </c>
      <c r="J69" s="30" t="s">
        <v>112</v>
      </c>
    </row>
    <row r="70" customFormat="false" ht="15" hidden="false" customHeight="false" outlineLevel="0" collapsed="false">
      <c r="B70" s="33" t="s">
        <v>113</v>
      </c>
      <c r="C70" s="34"/>
      <c r="D70" s="34"/>
      <c r="E70" s="34"/>
      <c r="F70" s="35" t="n">
        <f aca="false">SUM(F54:F69)</f>
        <v>6</v>
      </c>
      <c r="G70" s="35" t="n">
        <f aca="false">SUM(G54:G69)</f>
        <v>213</v>
      </c>
      <c r="H70" s="35" t="n">
        <f aca="false">SUM(H54:H69)</f>
        <v>-202</v>
      </c>
    </row>
    <row r="71" customFormat="false" ht="15" hidden="false" customHeight="false" outlineLevel="0" collapsed="false">
      <c r="B71" s="31" t="s">
        <v>114</v>
      </c>
      <c r="F71" s="32" t="n">
        <f aca="false">F70/F12</f>
        <v>0.000836120401337793</v>
      </c>
      <c r="G71" s="32" t="n">
        <f aca="false">G70/G12</f>
        <v>0.0276085547634478</v>
      </c>
      <c r="H71" s="32" t="n">
        <f aca="false">H70/H12</f>
        <v>-0.0203321590337192</v>
      </c>
    </row>
    <row r="73" customFormat="false" ht="15" hidden="false" customHeight="false" outlineLevel="0" collapsed="false">
      <c r="B73" s="33" t="s">
        <v>115</v>
      </c>
      <c r="C73" s="34"/>
      <c r="D73" s="34"/>
      <c r="E73" s="34"/>
      <c r="F73" s="35" t="n">
        <f aca="false">F50+F70</f>
        <v>768</v>
      </c>
      <c r="G73" s="35" t="n">
        <f aca="false">G50+G70</f>
        <v>1387</v>
      </c>
      <c r="H73" s="35" t="n">
        <f aca="false">H50+H70</f>
        <v>1236</v>
      </c>
      <c r="J73" s="30" t="s">
        <v>116</v>
      </c>
    </row>
    <row r="75" customFormat="false" ht="15" hidden="false" customHeight="false" outlineLevel="0" collapsed="false">
      <c r="B75" s="27" t="s">
        <v>117</v>
      </c>
      <c r="C75" s="28" t="s">
        <v>118</v>
      </c>
      <c r="F75" s="36" t="n">
        <f aca="false">'Reported Financials'!F74-'Reported Financials'!F93</f>
        <v>-188</v>
      </c>
      <c r="G75" s="36" t="n">
        <f aca="false">'Reported Financials'!G74-'Reported Financials'!G93</f>
        <v>-327</v>
      </c>
      <c r="H75" s="36" t="n">
        <f aca="false">'Reported Financials'!H74-'Reported Financials'!H93</f>
        <v>-385</v>
      </c>
      <c r="J75" s="30" t="s">
        <v>119</v>
      </c>
    </row>
    <row r="76" customFormat="false" ht="15" hidden="false" customHeight="false" outlineLevel="0" collapsed="false">
      <c r="B76" s="27" t="s">
        <v>120</v>
      </c>
      <c r="C76" s="28" t="s">
        <v>118</v>
      </c>
      <c r="F76" s="29" t="n">
        <f aca="false">'Reported Financials'!F101</f>
        <v>15</v>
      </c>
      <c r="G76" s="29" t="n">
        <f aca="false">'Reported Financials'!G101</f>
        <v>-14</v>
      </c>
      <c r="H76" s="29" t="n">
        <f aca="false">'Reported Financials'!H101</f>
        <v>-27</v>
      </c>
      <c r="J76" s="30" t="s">
        <v>121</v>
      </c>
    </row>
    <row r="77" customFormat="false" ht="15" hidden="false" customHeight="false" outlineLevel="0" collapsed="false">
      <c r="B77" s="27" t="s">
        <v>122</v>
      </c>
      <c r="C77" s="28" t="s">
        <v>118</v>
      </c>
      <c r="F77" s="29" t="n">
        <f aca="false">'Reported Financials'!F107</f>
        <v>2</v>
      </c>
      <c r="G77" s="29" t="n">
        <f aca="false">'Reported Financials'!G107</f>
        <v>-47</v>
      </c>
      <c r="H77" s="29" t="n">
        <f aca="false">'Reported Financials'!H107</f>
        <v>-38</v>
      </c>
      <c r="J77" s="30" t="s">
        <v>123</v>
      </c>
    </row>
    <row r="78" customFormat="false" ht="15" hidden="false" customHeight="false" outlineLevel="0" collapsed="false">
      <c r="B78" s="33" t="s">
        <v>124</v>
      </c>
      <c r="C78" s="38" t="s">
        <v>118</v>
      </c>
      <c r="D78" s="34"/>
      <c r="E78" s="34"/>
      <c r="F78" s="35" t="n">
        <f aca="false">F75+F76+F77</f>
        <v>-171</v>
      </c>
      <c r="G78" s="35" t="n">
        <f aca="false">G75+G76+G77</f>
        <v>-388</v>
      </c>
      <c r="H78" s="35" t="n">
        <f aca="false">H75+H76+H77</f>
        <v>-450</v>
      </c>
    </row>
    <row r="79" customFormat="false" ht="15" hidden="false" customHeight="false" outlineLevel="0" collapsed="false">
      <c r="B79" s="31" t="s">
        <v>125</v>
      </c>
      <c r="F79" s="32" t="n">
        <f aca="false">-F78/F73</f>
        <v>0.22265625</v>
      </c>
      <c r="G79" s="32" t="n">
        <f aca="false">-G78/G73</f>
        <v>0.279740447007931</v>
      </c>
      <c r="H79" s="32" t="n">
        <f aca="false">-H78/H73</f>
        <v>0.364077669902913</v>
      </c>
    </row>
    <row r="81" customFormat="false" ht="15" hidden="false" customHeight="false" outlineLevel="0" collapsed="false">
      <c r="B81" s="33" t="s">
        <v>126</v>
      </c>
      <c r="C81" s="34"/>
      <c r="D81" s="34"/>
      <c r="E81" s="34"/>
      <c r="F81" s="35" t="n">
        <f aca="false">F73+F78</f>
        <v>597</v>
      </c>
      <c r="G81" s="35" t="n">
        <f aca="false">G73+G78</f>
        <v>999</v>
      </c>
      <c r="H81" s="35" t="n">
        <f aca="false">H73+H78</f>
        <v>786</v>
      </c>
      <c r="J81" s="30" t="s">
        <v>127</v>
      </c>
    </row>
    <row r="82" customFormat="false" ht="15" hidden="false" customHeight="false" outlineLevel="0" collapsed="false">
      <c r="B82" s="27" t="s">
        <v>128</v>
      </c>
      <c r="F82" s="29" t="n">
        <f aca="false">'Reported Financials'!F121</f>
        <v>39</v>
      </c>
      <c r="G82" s="29" t="n">
        <f aca="false">'Reported Financials'!G121</f>
        <v>98</v>
      </c>
      <c r="H82" s="29" t="n">
        <f aca="false">'Reported Financials'!H121</f>
        <v>150</v>
      </c>
      <c r="J82" s="30" t="s">
        <v>129</v>
      </c>
    </row>
    <row r="83" customFormat="false" ht="15" hidden="false" customHeight="false" outlineLevel="0" collapsed="false">
      <c r="B83" s="27" t="s">
        <v>130</v>
      </c>
      <c r="F83" s="36" t="n">
        <f aca="false">F81-F82</f>
        <v>558</v>
      </c>
      <c r="G83" s="36" t="n">
        <f aca="false">G81-G82</f>
        <v>901</v>
      </c>
      <c r="H83" s="36" t="n">
        <f aca="false">H81-H82</f>
        <v>636</v>
      </c>
    </row>
    <row r="85" customFormat="false" ht="15" hidden="false" customHeight="false" outlineLevel="0" collapsed="false">
      <c r="B85" s="27" t="s">
        <v>131</v>
      </c>
      <c r="F85" s="29" t="n">
        <f aca="false">'Reported Financials'!F78</f>
        <v>586</v>
      </c>
      <c r="G85" s="29" t="n">
        <f aca="false">'Reported Financials'!G78</f>
        <v>808</v>
      </c>
      <c r="H85" s="29" t="n">
        <f aca="false">'Reported Financials'!H78</f>
        <v>835</v>
      </c>
      <c r="J85" s="30" t="s">
        <v>132</v>
      </c>
    </row>
    <row r="87" customFormat="false" ht="15" hidden="false" customHeight="false" outlineLevel="0" collapsed="false">
      <c r="B87" s="37" t="s">
        <v>133</v>
      </c>
      <c r="C87" s="28" t="s">
        <v>79</v>
      </c>
      <c r="J87" s="30" t="s">
        <v>134</v>
      </c>
    </row>
    <row r="88" customFormat="false" ht="15" hidden="false" customHeight="false" outlineLevel="0" collapsed="false">
      <c r="B88" s="27" t="s">
        <v>135</v>
      </c>
      <c r="C88" s="28" t="s">
        <v>79</v>
      </c>
      <c r="F88" s="36" t="n">
        <f aca="false">'Reported Financials'!F23</f>
        <v>53</v>
      </c>
      <c r="G88" s="36" t="n">
        <f aca="false">'Reported Financials'!G23</f>
        <v>55</v>
      </c>
      <c r="H88" s="36" t="n">
        <f aca="false">'Reported Financials'!H23</f>
        <v>44</v>
      </c>
      <c r="J88" s="30" t="str">
        <f aca="false">IF(OR(AND(F88&gt;0,G88&gt;0,H88&gt;0),AND(F88&lt;0,G88&lt;0,H88&lt;0)),"Recurring: same sign in all 3 years → stays in [A]/[B]","Unusual: not present with the same sign in all 3 years → R9")&amp;""</f>
        <v>Recurring: same sign in all 3 years → stays in [A]/[B]</v>
      </c>
    </row>
    <row r="89" customFormat="false" ht="15" hidden="false" customHeight="false" outlineLevel="0" collapsed="false">
      <c r="B89" s="27" t="s">
        <v>136</v>
      </c>
      <c r="C89" s="28" t="s">
        <v>79</v>
      </c>
      <c r="F89" s="36" t="n">
        <f aca="false">'Reported Financials'!F26+'Reported Financials'!F61</f>
        <v>-8</v>
      </c>
      <c r="G89" s="36" t="n">
        <f aca="false">'Reported Financials'!G26+'Reported Financials'!G61</f>
        <v>-19</v>
      </c>
      <c r="H89" s="36" t="n">
        <f aca="false">'Reported Financials'!H26+'Reported Financials'!H61</f>
        <v>-8</v>
      </c>
      <c r="J89" s="30" t="str">
        <f aca="false">IF(OR(AND(F89&gt;0,G89&gt;0,H89&gt;0),AND(F89&lt;0,G89&lt;0,H89&lt;0)),"Recurring: same sign in all 3 years → stays in [A]/[B]","Unusual: not present with the same sign in all 3 years → R9")&amp;""</f>
        <v>Recurring: same sign in all 3 years → stays in [A]/[B]</v>
      </c>
    </row>
    <row r="90" customFormat="false" ht="15" hidden="false" customHeight="false" outlineLevel="0" collapsed="false">
      <c r="B90" s="27" t="s">
        <v>137</v>
      </c>
      <c r="C90" s="28" t="s">
        <v>79</v>
      </c>
      <c r="F90" s="36" t="n">
        <f aca="false">'Reported Financials'!F57</f>
        <v>-7</v>
      </c>
      <c r="G90" s="36" t="n">
        <f aca="false">'Reported Financials'!G57</f>
        <v>-2</v>
      </c>
      <c r="H90" s="36" t="n">
        <f aca="false">'Reported Financials'!H57</f>
        <v>-33</v>
      </c>
      <c r="J90" s="30" t="str">
        <f aca="false">IF(OR(AND(F90&gt;0,G90&gt;0,H90&gt;0),AND(F90&lt;0,G90&lt;0,H90&lt;0)),"Recurring: same sign in all 3 years → stays in [A]/[B]","Unusual: not present with the same sign in all 3 years → R9")&amp;" 2025 jump flagged in the trend analysis"</f>
        <v>Recurring: same sign in all 3 years → stays in [A]/[B] 2025 jump flagged in the trend analysis</v>
      </c>
    </row>
    <row r="91" customFormat="false" ht="15" hidden="false" customHeight="false" outlineLevel="0" collapsed="false">
      <c r="B91" s="27" t="s">
        <v>138</v>
      </c>
      <c r="C91" s="28" t="s">
        <v>79</v>
      </c>
      <c r="F91" s="36" t="n">
        <f aca="false">'Reported Financials'!F86+'Reported Financials'!F27</f>
        <v>-4</v>
      </c>
      <c r="G91" s="36" t="n">
        <f aca="false">'Reported Financials'!G86+'Reported Financials'!G27</f>
        <v>2</v>
      </c>
      <c r="H91" s="36" t="n">
        <f aca="false">'Reported Financials'!H86+'Reported Financials'!H27</f>
        <v>-17</v>
      </c>
      <c r="J91" s="30" t="str">
        <f aca="false">IF(OR(AND(F91&gt;0,G91&gt;0,H91&gt;0),AND(F91&lt;0,G91&lt;0,H91&lt;0)),"Recurring: same sign in all 3 years → stays in [A]/[B]","Unusual: not present with the same sign in all 3 years → R9")&amp;""</f>
        <v>Unusual: not present with the same sign in all 3 years → R9</v>
      </c>
    </row>
    <row r="92" customFormat="false" ht="15" hidden="false" customHeight="false" outlineLevel="0" collapsed="false">
      <c r="B92" s="27" t="s">
        <v>139</v>
      </c>
      <c r="C92" s="28" t="s">
        <v>79</v>
      </c>
      <c r="F92" s="36" t="n">
        <f aca="false">'Reported Financials'!F93</f>
        <v>3</v>
      </c>
      <c r="G92" s="36" t="n">
        <f aca="false">'Reported Financials'!G93</f>
        <v>-1</v>
      </c>
      <c r="H92" s="36" t="n">
        <f aca="false">'Reported Financials'!H93</f>
        <v>-11</v>
      </c>
      <c r="J92" s="30" t="str">
        <f aca="false">IF(OR(AND(F92&gt;0,G92&gt;0,H92&gt;0),AND(F92&lt;0,G92&lt;0,H92&lt;0)),"Recurring: same sign in all 3 years → stays in [A]/[B]","Unusual: not present with the same sign in all 3 years → R9")&amp;""</f>
        <v>Unusual: not present with the same sign in all 3 years → R9</v>
      </c>
    </row>
    <row r="93" customFormat="false" ht="15" hidden="false" customHeight="false" outlineLevel="0" collapsed="false">
      <c r="B93" s="27" t="s">
        <v>140</v>
      </c>
      <c r="C93" s="28" t="s">
        <v>79</v>
      </c>
      <c r="F93" s="36" t="n">
        <f aca="false">'Reported Financials'!F96</f>
        <v>-1</v>
      </c>
      <c r="G93" s="36" t="n">
        <f aca="false">'Reported Financials'!G96</f>
        <v>-2</v>
      </c>
      <c r="H93" s="36" t="n">
        <f aca="false">'Reported Financials'!H96</f>
        <v>-7</v>
      </c>
      <c r="J93" s="30" t="s">
        <v>141</v>
      </c>
    </row>
    <row r="94" customFormat="false" ht="15" hidden="false" customHeight="false" outlineLevel="0" collapsed="false">
      <c r="B94" s="27" t="s">
        <v>142</v>
      </c>
      <c r="C94" s="28" t="s">
        <v>79</v>
      </c>
      <c r="F94" s="36" t="n">
        <f aca="false">'Reported Financials'!F97</f>
        <v>-6</v>
      </c>
      <c r="G94" s="36" t="n">
        <f aca="false">'Reported Financials'!G97</f>
        <v>11</v>
      </c>
      <c r="H94" s="36" t="n">
        <f aca="false">'Reported Financials'!H97</f>
        <v>-1</v>
      </c>
      <c r="J94" s="30" t="str">
        <f aca="false">IF(OR(AND(F94&gt;0,G94&gt;0,H94&gt;0),AND(F94&lt;0,G94&lt;0,H94&lt;0)),"Recurring: same sign in all 3 years → stays in [A]/[B]","Unusual: not present with the same sign in all 3 years → R9")&amp;" — but line and content not disclosed: cannot be moved; logged (I-26)"</f>
        <v>Unusual: not present with the same sign in all 3 years → R9 — but line and content not disclosed: cannot be moved; logged (I-26)</v>
      </c>
    </row>
    <row r="96" customFormat="false" ht="15" hidden="false" customHeight="false" outlineLevel="0" collapsed="false">
      <c r="B96" s="37" t="s">
        <v>143</v>
      </c>
      <c r="C96" s="28" t="s">
        <v>144</v>
      </c>
      <c r="J96" s="30" t="s">
        <v>145</v>
      </c>
    </row>
    <row r="97" customFormat="false" ht="15" hidden="false" customHeight="false" outlineLevel="0" collapsed="false">
      <c r="B97" s="31" t="s">
        <v>146</v>
      </c>
      <c r="C97" s="28" t="s">
        <v>144</v>
      </c>
      <c r="G97" s="32" t="n">
        <f aca="false">G12/F12-1</f>
        <v>0.0751114827201784</v>
      </c>
      <c r="H97" s="32" t="n">
        <f aca="false">H12/G12-1</f>
        <v>0.287751134154245</v>
      </c>
      <c r="J97" s="30" t="str">
        <f aca="false">"CAGR 2023–25: "&amp;TEXT((H12/F12)^(1/2)-1,"0.0%")&amp;"   |   % of net revenues: "&amp;TEXT(F12/F12,"0.0%")&amp;" → "&amp;TEXT(G12/G12,"0.0%")&amp;" → "&amp;TEXT(H12/H12,"0.0%")</f>
        <v>CAGR 2023–25: 17.7%   |   % of net revenues: 100.0% → 100.0% → 100.0%</v>
      </c>
    </row>
    <row r="98" customFormat="false" ht="15" hidden="false" customHeight="false" outlineLevel="0" collapsed="false">
      <c r="B98" s="31" t="s">
        <v>147</v>
      </c>
      <c r="C98" s="28" t="s">
        <v>144</v>
      </c>
      <c r="G98" s="32" t="n">
        <f aca="false">G16/F16-1</f>
        <v>-0.00317581300813008</v>
      </c>
      <c r="H98" s="32" t="n">
        <f aca="false">H16/G16-1</f>
        <v>0.332483751752262</v>
      </c>
      <c r="J98" s="30" t="str">
        <f aca="false">"CAGR 2023–25: "&amp;TEXT((H16/F16)^(1/2)-1,"0.0%")&amp;"   |   % of net revenues: "&amp;TEXT(F16/F12,"0.0%")&amp;" → "&amp;TEXT(G16/G12,"0.0%")&amp;" → "&amp;TEXT(H16/H12,"0.0%")</f>
        <v>CAGR 2023–25: 15.2%   |   % of net revenues: 109.7% → 101.7% → 105.2%</v>
      </c>
    </row>
    <row r="99" customFormat="false" ht="15" hidden="false" customHeight="false" outlineLevel="0" collapsed="false">
      <c r="B99" s="31" t="s">
        <v>148</v>
      </c>
      <c r="C99" s="28" t="s">
        <v>144</v>
      </c>
      <c r="G99" s="32" t="n">
        <f aca="false">G18/F18-1</f>
        <v>-0.15539368713146</v>
      </c>
      <c r="H99" s="32" t="n">
        <f aca="false">H18/G18-1</f>
        <v>0.554004106776181</v>
      </c>
      <c r="J99" s="30" t="str">
        <f aca="false">"CAGR 2023–25: "&amp;TEXT((H18/F18)^(1/2)-1,"0.0%")&amp;"   |   % of net revenues: "&amp;TEXT(F18/F12,"0.0%")&amp;" → "&amp;TEXT(G18/G12,"0.0%")&amp;" → "&amp;TEXT(H18/H12,"0.0%")</f>
        <v>CAGR 2023–25: 14.6%   |   % of net revenues: -40.2% → -31.6% → -38.1%</v>
      </c>
    </row>
    <row r="100" customFormat="false" ht="15" hidden="false" customHeight="false" outlineLevel="0" collapsed="false">
      <c r="B100" s="31" t="s">
        <v>149</v>
      </c>
      <c r="C100" s="28" t="s">
        <v>144</v>
      </c>
      <c r="G100" s="32" t="n">
        <f aca="false">G19/F19-1</f>
        <v>0.194681861348528</v>
      </c>
      <c r="H100" s="32" t="n">
        <f aca="false">H19/G19-1</f>
        <v>0.167726550079491</v>
      </c>
      <c r="J100" s="30" t="str">
        <f aca="false">"CAGR 2023–25: "&amp;TEXT((H19/F19)^(1/2)-1,"0.0%")&amp;"   |   % of net revenues: "&amp;TEXT(F19/F12,"0.0%")&amp;" → "&amp;TEXT(G19/G12,"0.0%")&amp;" → "&amp;TEXT(H19/H12,"0.0%")</f>
        <v>CAGR 2023–25: 18.1%   |   % of net revenues: -14.7% → -16.3% → -14.8%</v>
      </c>
    </row>
    <row r="101" customFormat="false" ht="15" hidden="false" customHeight="false" outlineLevel="0" collapsed="false">
      <c r="B101" s="31" t="s">
        <v>150</v>
      </c>
      <c r="C101" s="28" t="s">
        <v>144</v>
      </c>
      <c r="G101" s="32" t="n">
        <f aca="false">G20/F20-1</f>
        <v>-0.00429799426934097</v>
      </c>
      <c r="H101" s="32" t="n">
        <f aca="false">H20/G20-1</f>
        <v>0.2</v>
      </c>
      <c r="J101" s="30" t="str">
        <f aca="false">"CAGR 2023–25: "&amp;TEXT((H20/F20)^(1/2)-1,"0.0%")&amp;"   |   % of net revenues: "&amp;TEXT(F20/F12,"0.0%")&amp;" → "&amp;TEXT(G20/G12,"0.0%")&amp;" → "&amp;TEXT(H20/H12,"0.0%")</f>
        <v>CAGR 2023–25: 9.3%   |   % of net revenues: -9.7% → -9.0% → -8.4%</v>
      </c>
    </row>
    <row r="102" customFormat="false" ht="15" hidden="false" customHeight="false" outlineLevel="0" collapsed="false">
      <c r="B102" s="31" t="s">
        <v>151</v>
      </c>
      <c r="C102" s="28" t="s">
        <v>144</v>
      </c>
      <c r="G102" s="32" t="n">
        <f aca="false">G26/F26-1</f>
        <v>-0.0256410256410257</v>
      </c>
      <c r="H102" s="32" t="n">
        <f aca="false">H26/G26-1</f>
        <v>0.587719298245614</v>
      </c>
      <c r="J102" s="30" t="str">
        <f aca="false">"CAGR 2023–25: "&amp;TEXT((H26/F26)^(1/2)-1,"0.0%")&amp;"   |   % of net revenues: "&amp;TEXT(F26/F12,"0.0%")&amp;" → "&amp;TEXT(G26/G12,"0.0%")&amp;" → "&amp;TEXT(H26/H12,"0.0%")</f>
        <v>CAGR 2023–25: 24.4%   |   % of net revenues: -1.6% → -1.5% → -1.8%</v>
      </c>
    </row>
    <row r="103" customFormat="false" ht="15" hidden="false" customHeight="false" outlineLevel="0" collapsed="false">
      <c r="B103" s="31" t="s">
        <v>152</v>
      </c>
      <c r="C103" s="28" t="s">
        <v>144</v>
      </c>
      <c r="G103" s="32" t="n">
        <f aca="false">G25/F25-1</f>
        <v>0.165562913907285</v>
      </c>
      <c r="H103" s="32" t="n">
        <f aca="false">H25/G25-1</f>
        <v>0</v>
      </c>
      <c r="J103" s="30" t="str">
        <f aca="false">"CAGR 2023–25: "&amp;TEXT((H25/F25)^(1/2)-1,"0.0%")&amp;"   |   % of net revenues: "&amp;TEXT(F25/F12,"0.0%")&amp;" → "&amp;TEXT(G25/G12,"0.0%")&amp;" → "&amp;TEXT(H25/H12,"0.0%")</f>
        <v>CAGR 2023–25: 8.0%   |   % of net revenues: 2.1% → 2.3% → 1.8%</v>
      </c>
    </row>
    <row r="104" customFormat="false" ht="15" hidden="false" customHeight="false" outlineLevel="0" collapsed="false">
      <c r="B104" s="31" t="s">
        <v>153</v>
      </c>
      <c r="C104" s="28" t="s">
        <v>144</v>
      </c>
      <c r="G104" s="32" t="n">
        <f aca="false">G28/F28-1</f>
        <v>-0.0997067448680352</v>
      </c>
      <c r="H104" s="32" t="n">
        <f aca="false">H28/G28-1</f>
        <v>0.252442996742671</v>
      </c>
      <c r="J104" s="30" t="str">
        <f aca="false">"CAGR 2023–25: "&amp;TEXT((H28/F28)^(1/2)-1,"0.0%")&amp;"   |   % of net revenues: "&amp;TEXT(F28/F12,"0.0%")&amp;" → "&amp;TEXT(G28/G12,"0.0%")&amp;" → "&amp;TEXT(H28/H12,"0.0%")</f>
        <v>CAGR 2023–25: 6.2%   |   % of net revenues: -28.5% → -23.9% → -23.2%</v>
      </c>
    </row>
    <row r="105" customFormat="false" ht="15" hidden="false" customHeight="false" outlineLevel="0" collapsed="false">
      <c r="B105" s="31" t="s">
        <v>154</v>
      </c>
      <c r="C105" s="28" t="s">
        <v>144</v>
      </c>
      <c r="G105" s="32" t="n">
        <f aca="false">G34/F34-1</f>
        <v>-0.0596026490066225</v>
      </c>
      <c r="H105" s="32" t="n">
        <f aca="false">H34/G34-1</f>
        <v>0.369718309859155</v>
      </c>
      <c r="J105" s="30" t="str">
        <f aca="false">"CAGR 2023–25: "&amp;TEXT((H34/F34)^(1/2)-1,"0.0%")&amp;"   |   % of net revenues: "&amp;TEXT(F34/F12,"0.0%")&amp;" → "&amp;TEXT(G34/G12,"0.0%")&amp;" → "&amp;TEXT(H34/H12,"0.0%")</f>
        <v>CAGR 2023–25: 13.5%   |   % of net revenues: -4.2% → -3.7% → -3.9%</v>
      </c>
    </row>
    <row r="106" customFormat="false" ht="15" hidden="false" customHeight="false" outlineLevel="0" collapsed="false">
      <c r="B106" s="31" t="s">
        <v>155</v>
      </c>
      <c r="C106" s="28" t="s">
        <v>144</v>
      </c>
      <c r="G106" s="32" t="n">
        <f aca="false">G30/F30-1</f>
        <v>0.389418907198612</v>
      </c>
      <c r="H106" s="32" t="n">
        <f aca="false">H30/G30-1</f>
        <v>0.223470661672909</v>
      </c>
      <c r="J106" s="30" t="str">
        <f aca="false">"CAGR 2023–25: "&amp;TEXT((H30/F30)^(1/2)-1,"0.0%")&amp;"   |   % of net revenues: "&amp;TEXT(F30/F12,"0.0%")&amp;" → "&amp;TEXT(G30/G12,"0.0%")&amp;" → "&amp;TEXT(H30/H12,"0.0%")</f>
        <v>CAGR 2023–25: 30.4%   |   % of net revenues: 16.1% → 20.8% → 19.7%</v>
      </c>
    </row>
    <row r="107" customFormat="false" ht="15" hidden="false" customHeight="false" outlineLevel="0" collapsed="false">
      <c r="B107" s="31" t="s">
        <v>156</v>
      </c>
      <c r="C107" s="28" t="s">
        <v>144</v>
      </c>
      <c r="G107" s="32" t="n">
        <f aca="false">G36/F36-1</f>
        <v>0.552913198573127</v>
      </c>
      <c r="H107" s="32" t="n">
        <f aca="false">H36/G36-1</f>
        <v>0.199081163859112</v>
      </c>
      <c r="J107" s="30" t="str">
        <f aca="false">"CAGR 2023–25: "&amp;TEXT((H36/F36)^(1/2)-1,"0.0%")&amp;"   |   % of net revenues: "&amp;TEXT(F36/F12,"0.0%")&amp;" → "&amp;TEXT(G36/G12,"0.0%")&amp;" → "&amp;TEXT(H36/H12,"0.0%")</f>
        <v>CAGR 2023–25: 36.5%   |   % of net revenues: 11.7% → 16.9% → 15.8%</v>
      </c>
    </row>
    <row r="108" customFormat="false" ht="15" hidden="false" customHeight="false" outlineLevel="0" collapsed="false">
      <c r="B108" s="31" t="s">
        <v>157</v>
      </c>
      <c r="C108" s="28" t="s">
        <v>144</v>
      </c>
      <c r="G108" s="32" t="n">
        <f aca="false">G12/(F12-'Reported Financials'!F94)-1</f>
        <v>0.514229636898921</v>
      </c>
      <c r="J108" s="30" t="s">
        <v>158</v>
      </c>
    </row>
    <row r="109" customFormat="false" ht="15" hidden="false" customHeight="false" outlineLevel="0" collapsed="false">
      <c r="B109" s="31" t="s">
        <v>159</v>
      </c>
      <c r="C109" s="28" t="s">
        <v>144</v>
      </c>
      <c r="F109" s="32" t="n">
        <f aca="false">-'Reported Financials'!F108/F12</f>
        <v>0.0302396878483835</v>
      </c>
      <c r="G109" s="32" t="n">
        <f aca="false">-'Reported Financials'!G108/G12</f>
        <v>0.0128321451717434</v>
      </c>
      <c r="H109" s="32" t="n">
        <f aca="false">-'Reported Financials'!H108/H12</f>
        <v>0.0105686965274283</v>
      </c>
      <c r="J109" s="30" t="s">
        <v>160</v>
      </c>
    </row>
    <row r="110" customFormat="false" ht="15" hidden="false" customHeight="false" outlineLevel="0" collapsed="false">
      <c r="B110" s="39" t="s">
        <v>161</v>
      </c>
      <c r="C110" s="28" t="s">
        <v>144</v>
      </c>
    </row>
    <row r="112" customFormat="false" ht="15" hidden="false" customHeight="false" outlineLevel="0" collapsed="false">
      <c r="A112" s="25" t="s">
        <v>11</v>
      </c>
      <c r="B112" s="26" t="s">
        <v>162</v>
      </c>
      <c r="C112" s="14"/>
      <c r="D112" s="14"/>
      <c r="E112" s="14"/>
      <c r="F112" s="14"/>
      <c r="G112" s="14"/>
      <c r="H112" s="14"/>
    </row>
    <row r="114" customFormat="false" ht="15" hidden="false" customHeight="false" outlineLevel="0" collapsed="false">
      <c r="B114" s="37" t="s">
        <v>163</v>
      </c>
      <c r="C114" s="28" t="s">
        <v>164</v>
      </c>
      <c r="J114" s="30" t="s">
        <v>165</v>
      </c>
    </row>
    <row r="115" customFormat="false" ht="15" hidden="false" customHeight="false" outlineLevel="0" collapsed="false">
      <c r="B115" s="27" t="s">
        <v>166</v>
      </c>
      <c r="C115" s="28" t="s">
        <v>164</v>
      </c>
      <c r="F115" s="36" t="n">
        <f aca="false">F12</f>
        <v>7176</v>
      </c>
      <c r="G115" s="36" t="n">
        <f aca="false">G12</f>
        <v>7715</v>
      </c>
      <c r="H115" s="36" t="n">
        <f aca="false">H12</f>
        <v>9935</v>
      </c>
    </row>
    <row r="116" customFormat="false" ht="15" hidden="false" customHeight="false" outlineLevel="0" collapsed="false">
      <c r="B116" s="27" t="s">
        <v>167</v>
      </c>
      <c r="C116" s="28" t="s">
        <v>164</v>
      </c>
      <c r="F116" s="40" t="s">
        <v>168</v>
      </c>
      <c r="G116" s="40" t="s">
        <v>168</v>
      </c>
      <c r="H116" s="40" t="s">
        <v>168</v>
      </c>
      <c r="J116" s="39" t="s">
        <v>169</v>
      </c>
    </row>
    <row r="117" customFormat="false" ht="15" hidden="false" customHeight="false" outlineLevel="0" collapsed="false">
      <c r="B117" s="27" t="s">
        <v>170</v>
      </c>
      <c r="C117" s="28" t="s">
        <v>164</v>
      </c>
      <c r="F117" s="40" t="s">
        <v>168</v>
      </c>
      <c r="G117" s="40" t="s">
        <v>168</v>
      </c>
      <c r="H117" s="40" t="s">
        <v>168</v>
      </c>
    </row>
    <row r="118" customFormat="false" ht="15" hidden="false" customHeight="false" outlineLevel="0" collapsed="false">
      <c r="B118" s="27" t="s">
        <v>171</v>
      </c>
      <c r="C118" s="28" t="s">
        <v>164</v>
      </c>
      <c r="F118" s="40" t="s">
        <v>168</v>
      </c>
      <c r="G118" s="40" t="s">
        <v>168</v>
      </c>
      <c r="H118" s="40" t="s">
        <v>168</v>
      </c>
    </row>
    <row r="119" customFormat="false" ht="15" hidden="false" customHeight="false" outlineLevel="0" collapsed="false">
      <c r="B119" s="27" t="s">
        <v>172</v>
      </c>
      <c r="C119" s="28" t="s">
        <v>164</v>
      </c>
      <c r="F119" s="40" t="s">
        <v>168</v>
      </c>
      <c r="G119" s="40" t="s">
        <v>168</v>
      </c>
      <c r="H119" s="40" t="s">
        <v>168</v>
      </c>
    </row>
    <row r="120" customFormat="false" ht="15" hidden="false" customHeight="false" outlineLevel="0" collapsed="false">
      <c r="B120" s="27" t="s">
        <v>173</v>
      </c>
      <c r="C120" s="28" t="s">
        <v>164</v>
      </c>
      <c r="F120" s="40" t="s">
        <v>168</v>
      </c>
      <c r="G120" s="40" t="s">
        <v>168</v>
      </c>
      <c r="H120" s="40" t="s">
        <v>168</v>
      </c>
    </row>
    <row r="121" customFormat="false" ht="15" hidden="false" customHeight="false" outlineLevel="0" collapsed="false">
      <c r="B121" s="37" t="s">
        <v>174</v>
      </c>
      <c r="C121" s="28" t="s">
        <v>164</v>
      </c>
    </row>
    <row r="122" customFormat="false" ht="15" hidden="false" customHeight="false" outlineLevel="0" collapsed="false">
      <c r="B122" s="27" t="s">
        <v>175</v>
      </c>
      <c r="C122" s="28" t="s">
        <v>164</v>
      </c>
      <c r="J122" s="30" t="s">
        <v>176</v>
      </c>
    </row>
    <row r="123" customFormat="false" ht="15" hidden="false" customHeight="false" outlineLevel="0" collapsed="false">
      <c r="B123" s="27" t="s">
        <v>177</v>
      </c>
      <c r="C123" s="28" t="s">
        <v>164</v>
      </c>
      <c r="J123" s="30" t="s">
        <v>178</v>
      </c>
    </row>
    <row r="124" customFormat="false" ht="15" hidden="false" customHeight="false" outlineLevel="0" collapsed="false">
      <c r="B124" s="27" t="s">
        <v>179</v>
      </c>
      <c r="C124" s="28" t="s">
        <v>164</v>
      </c>
      <c r="J124" s="30" t="s">
        <v>180</v>
      </c>
    </row>
    <row r="125" customFormat="false" ht="15" hidden="false" customHeight="false" outlineLevel="0" collapsed="false">
      <c r="B125" s="27" t="s">
        <v>181</v>
      </c>
      <c r="C125" s="28" t="s">
        <v>164</v>
      </c>
      <c r="J125" s="30" t="s">
        <v>182</v>
      </c>
    </row>
    <row r="126" customFormat="false" ht="15" hidden="false" customHeight="false" outlineLevel="0" collapsed="false">
      <c r="B126" s="27" t="s">
        <v>183</v>
      </c>
      <c r="C126" s="28" t="s">
        <v>164</v>
      </c>
      <c r="J126" s="30" t="s">
        <v>184</v>
      </c>
    </row>
    <row r="127" customFormat="false" ht="15" hidden="false" customHeight="false" outlineLevel="0" collapsed="false">
      <c r="B127" s="27" t="s">
        <v>185</v>
      </c>
      <c r="C127" s="28" t="s">
        <v>164</v>
      </c>
      <c r="J127" s="30" t="s">
        <v>186</v>
      </c>
    </row>
    <row r="128" customFormat="false" ht="15" hidden="false" customHeight="false" outlineLevel="0" collapsed="false">
      <c r="B128" s="27" t="s">
        <v>187</v>
      </c>
      <c r="C128" s="28" t="s">
        <v>164</v>
      </c>
      <c r="J128" s="30" t="s">
        <v>188</v>
      </c>
    </row>
    <row r="129" customFormat="false" ht="15" hidden="false" customHeight="false" outlineLevel="0" collapsed="false">
      <c r="B129" s="27" t="s">
        <v>189</v>
      </c>
      <c r="C129" s="28" t="s">
        <v>164</v>
      </c>
      <c r="F129" s="29" t="n">
        <f aca="false">'Reported Financials'!F108</f>
        <v>-217</v>
      </c>
      <c r="G129" s="29" t="n">
        <f aca="false">'Reported Financials'!G108</f>
        <v>-99</v>
      </c>
      <c r="H129" s="29" t="n">
        <f aca="false">'Reported Financials'!H108</f>
        <v>-105</v>
      </c>
      <c r="J129" s="30" t="s">
        <v>190</v>
      </c>
    </row>
    <row r="130" customFormat="false" ht="15" hidden="false" customHeight="false" outlineLevel="0" collapsed="false">
      <c r="B130" s="31" t="s">
        <v>191</v>
      </c>
      <c r="F130" s="32" t="n">
        <f aca="false">-F129/F12</f>
        <v>0.0302396878483835</v>
      </c>
      <c r="G130" s="32" t="n">
        <f aca="false">-G129/G12</f>
        <v>0.0128321451717434</v>
      </c>
      <c r="H130" s="32" t="n">
        <f aca="false">-H129/H12</f>
        <v>0.0105686965274283</v>
      </c>
    </row>
    <row r="132" customFormat="false" ht="15" hidden="false" customHeight="false" outlineLevel="0" collapsed="false">
      <c r="B132" s="37" t="s">
        <v>192</v>
      </c>
      <c r="C132" s="28" t="s">
        <v>193</v>
      </c>
      <c r="J132" s="30" t="s">
        <v>194</v>
      </c>
    </row>
    <row r="133" customFormat="false" ht="15" hidden="false" customHeight="false" outlineLevel="0" collapsed="false">
      <c r="B133" s="31" t="s">
        <v>195</v>
      </c>
      <c r="C133" s="28" t="s">
        <v>193</v>
      </c>
      <c r="F133" s="32" t="n">
        <f aca="false">F16/F16</f>
        <v>1</v>
      </c>
      <c r="G133" s="32" t="n">
        <f aca="false">G16/G16</f>
        <v>1</v>
      </c>
      <c r="H133" s="32" t="n">
        <f aca="false">H16/H16</f>
        <v>1</v>
      </c>
    </row>
    <row r="134" customFormat="false" ht="15" hidden="false" customHeight="false" outlineLevel="0" collapsed="false">
      <c r="B134" s="31" t="s">
        <v>196</v>
      </c>
      <c r="C134" s="28" t="s">
        <v>193</v>
      </c>
      <c r="F134" s="32" t="n">
        <f aca="false">F18/F16</f>
        <v>-0.366234756097561</v>
      </c>
      <c r="G134" s="32" t="n">
        <f aca="false">G18/G16</f>
        <v>-0.310309672486301</v>
      </c>
      <c r="H134" s="32" t="n">
        <f aca="false">H18/H16</f>
        <v>-0.361897475133894</v>
      </c>
    </row>
    <row r="135" customFormat="false" ht="15" hidden="false" customHeight="false" outlineLevel="0" collapsed="false">
      <c r="B135" s="31" t="s">
        <v>197</v>
      </c>
      <c r="C135" s="28" t="s">
        <v>193</v>
      </c>
      <c r="F135" s="32" t="n">
        <f aca="false">F19/F16</f>
        <v>-0.133765243902439</v>
      </c>
      <c r="G135" s="32" t="n">
        <f aca="false">G19/G16</f>
        <v>-0.160316044348159</v>
      </c>
      <c r="H135" s="32" t="n">
        <f aca="false">H19/H16</f>
        <v>-0.140493496557001</v>
      </c>
    </row>
    <row r="136" customFormat="false" ht="15" hidden="false" customHeight="false" outlineLevel="0" collapsed="false">
      <c r="B136" s="31" t="s">
        <v>198</v>
      </c>
      <c r="C136" s="28" t="s">
        <v>193</v>
      </c>
      <c r="F136" s="32" t="n">
        <f aca="false">F20/F16</f>
        <v>-0.0886686991869919</v>
      </c>
      <c r="G136" s="32" t="n">
        <f aca="false">G20/G16</f>
        <v>-0.0885688798266854</v>
      </c>
      <c r="H136" s="32" t="n">
        <f aca="false">H20/H16</f>
        <v>-0.0797628156082632</v>
      </c>
    </row>
    <row r="137" customFormat="false" ht="15" hidden="false" customHeight="false" outlineLevel="0" collapsed="false">
      <c r="B137" s="31" t="s">
        <v>199</v>
      </c>
      <c r="C137" s="28" t="s">
        <v>193</v>
      </c>
      <c r="F137" s="32" t="n">
        <f aca="false">F21/F16</f>
        <v>0.000127032520325203</v>
      </c>
      <c r="G137" s="32" t="n">
        <f aca="false">G21/G16</f>
        <v>0</v>
      </c>
      <c r="H137" s="32" t="n">
        <f aca="false">H21/H16</f>
        <v>9.56388676358072E-005</v>
      </c>
    </row>
    <row r="138" customFormat="false" ht="15" hidden="false" customHeight="false" outlineLevel="0" collapsed="false">
      <c r="B138" s="31" t="s">
        <v>200</v>
      </c>
      <c r="C138" s="28" t="s">
        <v>193</v>
      </c>
      <c r="F138" s="32" t="n">
        <f aca="false">F22/F16</f>
        <v>0.411458333333333</v>
      </c>
      <c r="G138" s="32" t="n">
        <f aca="false">G22/G16</f>
        <v>0.440805403338856</v>
      </c>
      <c r="H138" s="32" t="n">
        <f aca="false">H22/H16</f>
        <v>0.417941851568477</v>
      </c>
    </row>
    <row r="139" customFormat="false" ht="15" hidden="false" customHeight="false" outlineLevel="0" collapsed="false">
      <c r="B139" s="31" t="s">
        <v>201</v>
      </c>
      <c r="C139" s="28" t="s">
        <v>193</v>
      </c>
      <c r="F139" s="32" t="n">
        <f aca="false">F25/F16</f>
        <v>0.0191819105691057</v>
      </c>
      <c r="G139" s="32" t="n">
        <f aca="false">G25/G16</f>
        <v>0.0224289537402829</v>
      </c>
      <c r="H139" s="32" t="n">
        <f aca="false">H25/H16</f>
        <v>0.0168324407039021</v>
      </c>
    </row>
    <row r="140" customFormat="false" ht="15" hidden="false" customHeight="false" outlineLevel="0" collapsed="false">
      <c r="B140" s="31" t="s">
        <v>202</v>
      </c>
      <c r="C140" s="28" t="s">
        <v>193</v>
      </c>
      <c r="F140" s="32" t="n">
        <f aca="false">F26/F16</f>
        <v>-0.0148628048780488</v>
      </c>
      <c r="G140" s="32" t="n">
        <f aca="false">G26/G16</f>
        <v>-0.0145278450363196</v>
      </c>
      <c r="H140" s="32" t="n">
        <f aca="false">H26/H16</f>
        <v>-0.0173106350420811</v>
      </c>
    </row>
    <row r="141" customFormat="false" ht="15" hidden="false" customHeight="false" outlineLevel="0" collapsed="false">
      <c r="B141" s="31" t="s">
        <v>203</v>
      </c>
      <c r="C141" s="28" t="s">
        <v>193</v>
      </c>
      <c r="F141" s="32" t="n">
        <f aca="false">F27/F16</f>
        <v>0</v>
      </c>
      <c r="G141" s="32" t="n">
        <f aca="false">G27/G16</f>
        <v>-0.000127437237160698</v>
      </c>
      <c r="H141" s="32" t="n">
        <f aca="false">H27/H16</f>
        <v>-9.56388676358072E-005</v>
      </c>
    </row>
    <row r="142" customFormat="false" ht="15" hidden="false" customHeight="false" outlineLevel="0" collapsed="false">
      <c r="B142" s="31" t="s">
        <v>204</v>
      </c>
      <c r="C142" s="28" t="s">
        <v>193</v>
      </c>
      <c r="F142" s="32" t="n">
        <f aca="false">F28/F16</f>
        <v>-0.259908536585366</v>
      </c>
      <c r="G142" s="32" t="n">
        <f aca="false">G28/G16</f>
        <v>-0.234739390850006</v>
      </c>
      <c r="H142" s="32" t="n">
        <f aca="false">H28/H16</f>
        <v>-0.220638867635807</v>
      </c>
    </row>
    <row r="143" customFormat="false" ht="15" hidden="false" customHeight="false" outlineLevel="0" collapsed="false">
      <c r="B143" s="31" t="s">
        <v>205</v>
      </c>
      <c r="C143" s="28" t="s">
        <v>193</v>
      </c>
      <c r="F143" s="32" t="n">
        <f aca="false">F29/F16</f>
        <v>-0.00940040650406504</v>
      </c>
      <c r="G143" s="32" t="n">
        <f aca="false">G29/G16</f>
        <v>-0.00968523002421308</v>
      </c>
      <c r="H143" s="32" t="n">
        <f aca="false">H29/H16</f>
        <v>-0.0092769701606733</v>
      </c>
    </row>
    <row r="144" customFormat="false" ht="15" hidden="false" customHeight="false" outlineLevel="0" collapsed="false">
      <c r="B144" s="31" t="s">
        <v>206</v>
      </c>
      <c r="C144" s="28" t="s">
        <v>193</v>
      </c>
      <c r="F144" s="32" t="n">
        <f aca="false">F30/F16</f>
        <v>0.146468495934959</v>
      </c>
      <c r="G144" s="32" t="n">
        <f aca="false">G30/G16</f>
        <v>0.204154453931439</v>
      </c>
      <c r="H144" s="32" t="n">
        <f aca="false">H30/H16</f>
        <v>0.187452180566182</v>
      </c>
    </row>
    <row r="145" customFormat="false" ht="15" hidden="false" customHeight="false" outlineLevel="0" collapsed="false">
      <c r="B145" s="31" t="s">
        <v>207</v>
      </c>
      <c r="C145" s="28" t="s">
        <v>193</v>
      </c>
      <c r="F145" s="32" t="n">
        <f aca="false">F33/F16</f>
        <v>-0.00127032520325203</v>
      </c>
      <c r="G145" s="32" t="n">
        <f aca="false">G33/G16</f>
        <v>-0.00152924684592838</v>
      </c>
      <c r="H145" s="32" t="n">
        <f aca="false">H33/H16</f>
        <v>-0.000478194338179036</v>
      </c>
    </row>
    <row r="146" customFormat="false" ht="15" hidden="false" customHeight="false" outlineLevel="0" collapsed="false">
      <c r="B146" s="31" t="s">
        <v>208</v>
      </c>
      <c r="C146" s="28" t="s">
        <v>193</v>
      </c>
      <c r="F146" s="32" t="n">
        <f aca="false">F34/F16</f>
        <v>-0.0383638211382114</v>
      </c>
      <c r="G146" s="32" t="n">
        <f aca="false">G34/G16</f>
        <v>-0.0361921753536383</v>
      </c>
      <c r="H146" s="32" t="n">
        <f aca="false">H34/H16</f>
        <v>-0.037203519510329</v>
      </c>
    </row>
    <row r="147" customFormat="false" ht="15" hidden="false" customHeight="false" outlineLevel="0" collapsed="false">
      <c r="B147" s="31" t="s">
        <v>209</v>
      </c>
      <c r="C147" s="28" t="s">
        <v>193</v>
      </c>
      <c r="F147" s="32" t="n">
        <f aca="false">F36/F16</f>
        <v>0.106834349593496</v>
      </c>
      <c r="G147" s="32" t="n">
        <f aca="false">G36/G16</f>
        <v>0.166433031731872</v>
      </c>
      <c r="H147" s="32" t="n">
        <f aca="false">H36/H16</f>
        <v>0.149770466717674</v>
      </c>
    </row>
    <row r="148" customFormat="false" ht="15" hidden="false" customHeight="false" outlineLevel="0" collapsed="false">
      <c r="B148" s="31" t="s">
        <v>210</v>
      </c>
      <c r="C148" s="28" t="s">
        <v>193</v>
      </c>
      <c r="F148" s="32" t="n">
        <f aca="false">-(F18+F19+F20)/F16</f>
        <v>0.588668699186992</v>
      </c>
      <c r="G148" s="32" t="n">
        <f aca="false">-(G18+G19+G20)/G16</f>
        <v>0.559194596661144</v>
      </c>
      <c r="H148" s="32" t="n">
        <f aca="false">-(H18+H19+H20)/H16</f>
        <v>0.582153787299158</v>
      </c>
      <c r="J148" s="30" t="s">
        <v>211</v>
      </c>
    </row>
    <row r="150" customFormat="false" ht="15" hidden="false" customHeight="false" outlineLevel="0" collapsed="false">
      <c r="B150" s="37" t="s">
        <v>212</v>
      </c>
      <c r="C150" s="28" t="s">
        <v>213</v>
      </c>
      <c r="J150" s="30" t="s">
        <v>214</v>
      </c>
    </row>
    <row r="151" customFormat="false" ht="15" hidden="false" customHeight="false" outlineLevel="0" collapsed="false">
      <c r="B151" s="27" t="s">
        <v>166</v>
      </c>
      <c r="C151" s="28" t="s">
        <v>213</v>
      </c>
      <c r="F151" s="36" t="n">
        <f aca="false">F12</f>
        <v>7176</v>
      </c>
      <c r="G151" s="36" t="n">
        <f aca="false">G12</f>
        <v>7715</v>
      </c>
      <c r="H151" s="36" t="n">
        <f aca="false">H12</f>
        <v>9935</v>
      </c>
    </row>
    <row r="152" customFormat="false" ht="15" hidden="false" customHeight="false" outlineLevel="0" collapsed="false">
      <c r="B152" s="27" t="s">
        <v>215</v>
      </c>
      <c r="C152" s="28" t="s">
        <v>213</v>
      </c>
      <c r="F152" s="36" t="n">
        <f aca="false">F18</f>
        <v>-2883</v>
      </c>
      <c r="G152" s="36" t="n">
        <f aca="false">G18</f>
        <v>-2435</v>
      </c>
      <c r="H152" s="36" t="n">
        <f aca="false">H18</f>
        <v>-3784</v>
      </c>
      <c r="J152" s="30" t="s">
        <v>216</v>
      </c>
    </row>
    <row r="153" customFormat="false" ht="15" hidden="false" customHeight="false" outlineLevel="0" collapsed="false">
      <c r="B153" s="27" t="s">
        <v>217</v>
      </c>
      <c r="C153" s="28" t="s">
        <v>213</v>
      </c>
      <c r="F153" s="36" t="n">
        <f aca="false">F19</f>
        <v>-1053</v>
      </c>
      <c r="G153" s="36" t="n">
        <f aca="false">G19</f>
        <v>-1258</v>
      </c>
      <c r="H153" s="36" t="n">
        <f aca="false">H19</f>
        <v>-1469</v>
      </c>
      <c r="J153" s="30" t="s">
        <v>218</v>
      </c>
    </row>
    <row r="154" customFormat="false" ht="15" hidden="false" customHeight="false" outlineLevel="0" collapsed="false">
      <c r="B154" s="27" t="s">
        <v>219</v>
      </c>
      <c r="C154" s="28" t="s">
        <v>213</v>
      </c>
      <c r="F154" s="29" t="n">
        <f aca="false">'Reported Financials'!F59</f>
        <v>-13</v>
      </c>
      <c r="G154" s="29" t="n">
        <f aca="false">'Reported Financials'!G59</f>
        <v>-15</v>
      </c>
      <c r="H154" s="29" t="n">
        <f aca="false">'Reported Financials'!H59</f>
        <v>-20</v>
      </c>
      <c r="J154" s="30" t="s">
        <v>220</v>
      </c>
    </row>
    <row r="155" customFormat="false" ht="15" hidden="false" customHeight="false" outlineLevel="0" collapsed="false">
      <c r="B155" s="27" t="s">
        <v>221</v>
      </c>
      <c r="C155" s="28" t="s">
        <v>213</v>
      </c>
      <c r="F155" s="29" t="n">
        <f aca="false">'Reported Financials'!F60</f>
        <v>-11</v>
      </c>
      <c r="G155" s="29" t="n">
        <f aca="false">'Reported Financials'!G60</f>
        <v>-14</v>
      </c>
      <c r="H155" s="29" t="n">
        <f aca="false">'Reported Financials'!H60</f>
        <v>-10</v>
      </c>
      <c r="J155" s="30" t="s">
        <v>222</v>
      </c>
    </row>
    <row r="156" customFormat="false" ht="15" hidden="false" customHeight="false" outlineLevel="0" collapsed="false">
      <c r="B156" s="33" t="s">
        <v>223</v>
      </c>
      <c r="C156" s="38" t="s">
        <v>213</v>
      </c>
      <c r="D156" s="34"/>
      <c r="E156" s="34"/>
      <c r="F156" s="35" t="n">
        <f aca="false">SUM(F152:F155)</f>
        <v>-3960</v>
      </c>
      <c r="G156" s="35" t="n">
        <f aca="false">SUM(G152:G155)</f>
        <v>-3722</v>
      </c>
      <c r="H156" s="35" t="n">
        <f aca="false">SUM(H152:H155)</f>
        <v>-5283</v>
      </c>
    </row>
    <row r="157" customFormat="false" ht="15" hidden="false" customHeight="false" outlineLevel="0" collapsed="false">
      <c r="B157" s="33" t="s">
        <v>224</v>
      </c>
      <c r="C157" s="38" t="s">
        <v>213</v>
      </c>
      <c r="D157" s="34"/>
      <c r="E157" s="34"/>
      <c r="F157" s="35" t="n">
        <f aca="false">F151+F156</f>
        <v>3216</v>
      </c>
      <c r="G157" s="35" t="n">
        <f aca="false">G151+G156</f>
        <v>3993</v>
      </c>
      <c r="H157" s="35" t="n">
        <f aca="false">H151+H156</f>
        <v>4652</v>
      </c>
      <c r="J157" s="30" t="s">
        <v>225</v>
      </c>
    </row>
    <row r="158" customFormat="false" ht="15" hidden="false" customHeight="false" outlineLevel="0" collapsed="false">
      <c r="B158" s="31" t="s">
        <v>226</v>
      </c>
      <c r="F158" s="32" t="n">
        <f aca="false">F157/F151</f>
        <v>0.448160535117057</v>
      </c>
      <c r="G158" s="32" t="n">
        <f aca="false">G157/G151</f>
        <v>0.517563188593649</v>
      </c>
      <c r="H158" s="32" t="n">
        <f aca="false">H157/H151</f>
        <v>0.468243583291394</v>
      </c>
    </row>
    <row r="159" customFormat="false" ht="15" hidden="false" customHeight="false" outlineLevel="0" collapsed="false">
      <c r="B159" s="27" t="s">
        <v>227</v>
      </c>
      <c r="C159" s="28" t="s">
        <v>213</v>
      </c>
      <c r="F159" s="36" t="n">
        <f aca="false">F28+F29</f>
        <v>-2120</v>
      </c>
      <c r="G159" s="36" t="n">
        <f aca="false">G28+G29</f>
        <v>-1918</v>
      </c>
      <c r="H159" s="36" t="n">
        <f aca="false">H28+H29</f>
        <v>-2404</v>
      </c>
      <c r="J159" s="30" t="s">
        <v>228</v>
      </c>
    </row>
    <row r="160" customFormat="false" ht="15" hidden="false" customHeight="false" outlineLevel="0" collapsed="false">
      <c r="B160" s="27" t="s">
        <v>229</v>
      </c>
      <c r="C160" s="28" t="s">
        <v>213</v>
      </c>
      <c r="F160" s="36" t="n">
        <f aca="false">F34</f>
        <v>-302</v>
      </c>
      <c r="G160" s="36" t="n">
        <f aca="false">G34</f>
        <v>-284</v>
      </c>
      <c r="H160" s="36" t="n">
        <f aca="false">H34</f>
        <v>-389</v>
      </c>
      <c r="J160" s="30" t="s">
        <v>225</v>
      </c>
    </row>
    <row r="161" customFormat="false" ht="15" hidden="false" customHeight="false" outlineLevel="0" collapsed="false">
      <c r="B161" s="27" t="s">
        <v>230</v>
      </c>
      <c r="C161" s="28" t="s">
        <v>213</v>
      </c>
      <c r="F161" s="36" t="n">
        <f aca="false">F20-'Reported Financials'!F60</f>
        <v>-687</v>
      </c>
      <c r="G161" s="36" t="n">
        <f aca="false">G20-'Reported Financials'!G60</f>
        <v>-681</v>
      </c>
      <c r="H161" s="36" t="n">
        <f aca="false">H20-'Reported Financials'!H60</f>
        <v>-824</v>
      </c>
      <c r="J161" s="30" t="s">
        <v>231</v>
      </c>
    </row>
    <row r="162" customFormat="false" ht="15" hidden="false" customHeight="false" outlineLevel="0" collapsed="false">
      <c r="B162" s="27" t="s">
        <v>232</v>
      </c>
      <c r="C162" s="28" t="s">
        <v>213</v>
      </c>
      <c r="F162" s="36" t="n">
        <f aca="false">F26-'Reported Financials'!F59</f>
        <v>-104</v>
      </c>
      <c r="G162" s="36" t="n">
        <f aca="false">G26-'Reported Financials'!G59</f>
        <v>-99</v>
      </c>
      <c r="H162" s="36" t="n">
        <f aca="false">H26-'Reported Financials'!H59</f>
        <v>-161</v>
      </c>
      <c r="J162" s="30" t="s">
        <v>233</v>
      </c>
    </row>
    <row r="163" customFormat="false" ht="15" hidden="false" customHeight="false" outlineLevel="0" collapsed="false">
      <c r="B163" s="27" t="s">
        <v>234</v>
      </c>
      <c r="C163" s="28" t="s">
        <v>213</v>
      </c>
      <c r="F163" s="36" t="n">
        <f aca="false">F33</f>
        <v>-10</v>
      </c>
      <c r="G163" s="36" t="n">
        <f aca="false">G33</f>
        <v>-12</v>
      </c>
      <c r="H163" s="36" t="n">
        <f aca="false">H33</f>
        <v>-5</v>
      </c>
    </row>
    <row r="164" customFormat="false" ht="15" hidden="false" customHeight="false" outlineLevel="0" collapsed="false">
      <c r="B164" s="33" t="s">
        <v>235</v>
      </c>
      <c r="C164" s="38" t="s">
        <v>213</v>
      </c>
      <c r="D164" s="34"/>
      <c r="E164" s="34"/>
      <c r="F164" s="35" t="n">
        <f aca="false">SUM(F159:F163)</f>
        <v>-3223</v>
      </c>
      <c r="G164" s="35" t="n">
        <f aca="false">SUM(G159:G163)</f>
        <v>-2994</v>
      </c>
      <c r="H164" s="35" t="n">
        <f aca="false">SUM(H159:H163)</f>
        <v>-3783</v>
      </c>
    </row>
    <row r="165" customFormat="false" ht="15" hidden="false" customHeight="false" outlineLevel="0" collapsed="false">
      <c r="B165" s="37" t="s">
        <v>236</v>
      </c>
      <c r="C165" s="28" t="s">
        <v>213</v>
      </c>
    </row>
    <row r="166" customFormat="false" ht="15" hidden="false" customHeight="false" outlineLevel="0" collapsed="false">
      <c r="B166" s="27" t="s">
        <v>237</v>
      </c>
      <c r="C166" s="28" t="s">
        <v>213</v>
      </c>
      <c r="F166" s="36" t="n">
        <f aca="false">F14</f>
        <v>607</v>
      </c>
      <c r="G166" s="36" t="n">
        <f aca="false">G14</f>
        <v>6</v>
      </c>
      <c r="H166" s="36" t="n">
        <f aca="false">H14</f>
        <v>407</v>
      </c>
      <c r="J166" s="30" t="s">
        <v>238</v>
      </c>
    </row>
    <row r="167" customFormat="false" ht="15" hidden="false" customHeight="false" outlineLevel="0" collapsed="false">
      <c r="B167" s="27" t="s">
        <v>239</v>
      </c>
      <c r="C167" s="28" t="s">
        <v>213</v>
      </c>
      <c r="F167" s="36" t="n">
        <f aca="false">F15</f>
        <v>89</v>
      </c>
      <c r="G167" s="36" t="n">
        <f aca="false">G15</f>
        <v>126</v>
      </c>
      <c r="H167" s="36" t="n">
        <f aca="false">H15</f>
        <v>114</v>
      </c>
      <c r="J167" s="30" t="s">
        <v>240</v>
      </c>
    </row>
    <row r="168" customFormat="false" ht="15" hidden="false" customHeight="false" outlineLevel="0" collapsed="false">
      <c r="B168" s="27" t="s">
        <v>241</v>
      </c>
      <c r="C168" s="28" t="s">
        <v>213</v>
      </c>
      <c r="F168" s="36" t="n">
        <f aca="false">F25</f>
        <v>151</v>
      </c>
      <c r="G168" s="36" t="n">
        <f aca="false">G25</f>
        <v>176</v>
      </c>
      <c r="H168" s="36" t="n">
        <f aca="false">H25</f>
        <v>176</v>
      </c>
      <c r="J168" s="30" t="s">
        <v>242</v>
      </c>
    </row>
    <row r="169" customFormat="false" ht="15" hidden="false" customHeight="false" outlineLevel="0" collapsed="false">
      <c r="B169" s="27" t="s">
        <v>243</v>
      </c>
      <c r="C169" s="28" t="s">
        <v>213</v>
      </c>
      <c r="F169" s="36" t="n">
        <f aca="false">F27+F21</f>
        <v>1</v>
      </c>
      <c r="G169" s="36" t="n">
        <f aca="false">G27+G21</f>
        <v>-1</v>
      </c>
      <c r="H169" s="36" t="n">
        <f aca="false">H27+H21</f>
        <v>0</v>
      </c>
      <c r="J169" s="30" t="s">
        <v>244</v>
      </c>
    </row>
    <row r="170" customFormat="false" ht="15" hidden="false" customHeight="false" outlineLevel="0" collapsed="false">
      <c r="B170" s="33" t="s">
        <v>245</v>
      </c>
      <c r="C170" s="38" t="s">
        <v>213</v>
      </c>
      <c r="D170" s="34"/>
      <c r="E170" s="34"/>
      <c r="F170" s="35" t="n">
        <f aca="false">SUM(F166:F169)</f>
        <v>848</v>
      </c>
      <c r="G170" s="35" t="n">
        <f aca="false">SUM(G166:G169)</f>
        <v>307</v>
      </c>
      <c r="H170" s="35" t="n">
        <f aca="false">SUM(H166:H169)</f>
        <v>697</v>
      </c>
    </row>
    <row r="171" customFormat="false" ht="15" hidden="false" customHeight="false" outlineLevel="0" collapsed="false">
      <c r="B171" s="33" t="s">
        <v>246</v>
      </c>
      <c r="C171" s="38" t="s">
        <v>213</v>
      </c>
      <c r="D171" s="34"/>
      <c r="E171" s="34"/>
      <c r="F171" s="35" t="n">
        <f aca="false">F157+F164+F170</f>
        <v>841</v>
      </c>
      <c r="G171" s="35" t="n">
        <f aca="false">G157+G164+G170</f>
        <v>1306</v>
      </c>
      <c r="H171" s="35" t="n">
        <f aca="false">H157+H164+H170</f>
        <v>1566</v>
      </c>
      <c r="J171" s="30" t="s">
        <v>247</v>
      </c>
    </row>
    <row r="172" customFormat="false" ht="15" hidden="false" customHeight="false" outlineLevel="0" collapsed="false">
      <c r="B172" s="27" t="s">
        <v>248</v>
      </c>
      <c r="C172" s="28" t="s">
        <v>213</v>
      </c>
      <c r="F172" s="41" t="n">
        <f aca="false">F157/F171</f>
        <v>3.82401902497027</v>
      </c>
      <c r="G172" s="41" t="n">
        <f aca="false">G157/G171</f>
        <v>3.05742725880551</v>
      </c>
      <c r="H172" s="41" t="n">
        <f aca="false">H157/H171</f>
        <v>2.97062579821201</v>
      </c>
      <c r="J172" s="30" t="s">
        <v>249</v>
      </c>
    </row>
    <row r="173" customFormat="false" ht="15" hidden="false" customHeight="false" outlineLevel="0" collapsed="false">
      <c r="B173" s="31" t="s">
        <v>250</v>
      </c>
      <c r="C173" s="28" t="s">
        <v>213</v>
      </c>
      <c r="F173" s="32" t="n">
        <f aca="false">F171/F157</f>
        <v>0.261504975124378</v>
      </c>
      <c r="G173" s="32" t="n">
        <f aca="false">G171/G157</f>
        <v>0.327072376659154</v>
      </c>
      <c r="H173" s="32" t="n">
        <f aca="false">H171/H157</f>
        <v>0.336629406706793</v>
      </c>
      <c r="J173" s="30" t="s">
        <v>251</v>
      </c>
    </row>
    <row r="174" customFormat="false" ht="15" hidden="false" customHeight="false" outlineLevel="0" collapsed="false">
      <c r="B174" s="27" t="s">
        <v>252</v>
      </c>
      <c r="C174" s="28" t="s">
        <v>213</v>
      </c>
      <c r="F174" s="36" t="n">
        <f aca="false">-(F164+F170)/F158</f>
        <v>5299.44029850746</v>
      </c>
      <c r="G174" s="36" t="n">
        <f aca="false">-(G164+G170)/G158</f>
        <v>5191.63661407463</v>
      </c>
      <c r="H174" s="36" t="n">
        <f aca="false">-(H164+H170)/H158</f>
        <v>6590.58684436801</v>
      </c>
      <c r="J174" s="30" t="s">
        <v>253</v>
      </c>
    </row>
    <row r="175" customFormat="false" ht="15" hidden="false" customHeight="false" outlineLevel="0" collapsed="false">
      <c r="B175" s="27" t="s">
        <v>254</v>
      </c>
      <c r="C175" s="28" t="s">
        <v>213</v>
      </c>
      <c r="G175" s="41" t="n">
        <f aca="false">IFERROR((G171/F171-1)/(G12/F12-1),"n.a.")</f>
        <v>7.36123397580846</v>
      </c>
      <c r="H175" s="41" t="n">
        <f aca="false">IFERROR((H171/G171-1)/(H12/G12-1),"n.a.")</f>
        <v>0.691851882510382</v>
      </c>
      <c r="J175" s="30" t="s">
        <v>255</v>
      </c>
    </row>
    <row r="176" customFormat="false" ht="15" hidden="false" customHeight="false" outlineLevel="0" collapsed="false">
      <c r="B176" s="31" t="s">
        <v>256</v>
      </c>
      <c r="C176" s="28" t="s">
        <v>213</v>
      </c>
      <c r="G176" s="32" t="n">
        <f aca="false">F172*(G12/F12-1)</f>
        <v>0.287227738915688</v>
      </c>
      <c r="H176" s="32" t="n">
        <f aca="false">G172*(H12/G12-1)</f>
        <v>0.879778161315391</v>
      </c>
      <c r="J176" s="30" t="s">
        <v>257</v>
      </c>
    </row>
    <row r="177" customFormat="false" ht="15" hidden="false" customHeight="false" outlineLevel="0" collapsed="false">
      <c r="B177" s="31" t="s">
        <v>258</v>
      </c>
      <c r="C177" s="28" t="s">
        <v>213</v>
      </c>
      <c r="G177" s="32" t="n">
        <f aca="false">G171/F171-1</f>
        <v>0.552913198573127</v>
      </c>
      <c r="H177" s="32" t="n">
        <f aca="false">H171/G171-1</f>
        <v>0.199081163859112</v>
      </c>
      <c r="J177" s="30" t="s">
        <v>259</v>
      </c>
    </row>
    <row r="179" customFormat="false" ht="15" hidden="false" customHeight="false" outlineLevel="0" collapsed="false">
      <c r="B179" s="37" t="s">
        <v>260</v>
      </c>
      <c r="C179" s="28" t="s">
        <v>261</v>
      </c>
      <c r="J179" s="30" t="s">
        <v>262</v>
      </c>
    </row>
    <row r="180" customFormat="false" ht="15" hidden="false" customHeight="false" outlineLevel="0" collapsed="false">
      <c r="B180" s="31" t="s">
        <v>195</v>
      </c>
      <c r="C180" s="28" t="s">
        <v>261</v>
      </c>
      <c r="F180" s="32" t="n">
        <f aca="false">F16/F12</f>
        <v>1.09698996655518</v>
      </c>
      <c r="G180" s="32" t="n">
        <f aca="false">G16/G12</f>
        <v>1.01710952689566</v>
      </c>
      <c r="H180" s="32" t="n">
        <f aca="false">H16/H12</f>
        <v>1.05244086562657</v>
      </c>
    </row>
    <row r="181" customFormat="false" ht="15" hidden="false" customHeight="false" outlineLevel="0" collapsed="false">
      <c r="B181" s="31" t="s">
        <v>196</v>
      </c>
      <c r="C181" s="28" t="s">
        <v>261</v>
      </c>
      <c r="F181" s="32" t="n">
        <f aca="false">F18/F12</f>
        <v>-0.401755852842809</v>
      </c>
      <c r="G181" s="32" t="n">
        <f aca="false">G18/G12</f>
        <v>-0.315618924173688</v>
      </c>
      <c r="H181" s="32" t="n">
        <f aca="false">H18/H12</f>
        <v>-0.380875691997987</v>
      </c>
    </row>
    <row r="182" customFormat="false" ht="15" hidden="false" customHeight="false" outlineLevel="0" collapsed="false">
      <c r="B182" s="31" t="s">
        <v>197</v>
      </c>
      <c r="C182" s="28" t="s">
        <v>261</v>
      </c>
      <c r="F182" s="32" t="n">
        <f aca="false">F19/F12</f>
        <v>-0.146739130434783</v>
      </c>
      <c r="G182" s="32" t="n">
        <f aca="false">G19/G12</f>
        <v>-0.163058976020739</v>
      </c>
      <c r="H182" s="32" t="n">
        <f aca="false">H19/H12</f>
        <v>-0.147861097131354</v>
      </c>
    </row>
    <row r="183" customFormat="false" ht="15" hidden="false" customHeight="false" outlineLevel="0" collapsed="false">
      <c r="B183" s="31" t="s">
        <v>198</v>
      </c>
      <c r="C183" s="28" t="s">
        <v>261</v>
      </c>
      <c r="F183" s="32" t="n">
        <f aca="false">F20/F12</f>
        <v>-0.0972686733556299</v>
      </c>
      <c r="G183" s="32" t="n">
        <f aca="false">G20/G12</f>
        <v>-0.0900842514581983</v>
      </c>
      <c r="H183" s="32" t="n">
        <f aca="false">H20/H12</f>
        <v>-0.0839456467035732</v>
      </c>
    </row>
    <row r="184" customFormat="false" ht="15" hidden="false" customHeight="false" outlineLevel="0" collapsed="false">
      <c r="B184" s="31" t="s">
        <v>200</v>
      </c>
      <c r="C184" s="28" t="s">
        <v>261</v>
      </c>
      <c r="F184" s="32" t="n">
        <f aca="false">F22/F12</f>
        <v>0.451365663322185</v>
      </c>
      <c r="G184" s="32" t="n">
        <f aca="false">G22/G12</f>
        <v>0.448347375243033</v>
      </c>
      <c r="H184" s="32" t="n">
        <f aca="false">H22/H12</f>
        <v>0.439859084046301</v>
      </c>
    </row>
    <row r="185" customFormat="false" ht="15" hidden="false" customHeight="false" outlineLevel="0" collapsed="false">
      <c r="B185" s="31" t="s">
        <v>201</v>
      </c>
      <c r="C185" s="28" t="s">
        <v>261</v>
      </c>
      <c r="F185" s="32" t="n">
        <f aca="false">F25/F12</f>
        <v>0.0210423634336678</v>
      </c>
      <c r="G185" s="32" t="n">
        <f aca="false">G25/G12</f>
        <v>0.0228127025275437</v>
      </c>
      <c r="H185" s="32" t="n">
        <f aca="false">H25/H12</f>
        <v>0.0177151484650227</v>
      </c>
    </row>
    <row r="186" customFormat="false" ht="15" hidden="false" customHeight="false" outlineLevel="0" collapsed="false">
      <c r="B186" s="31" t="s">
        <v>202</v>
      </c>
      <c r="C186" s="28" t="s">
        <v>261</v>
      </c>
      <c r="F186" s="32" t="n">
        <f aca="false">F26/F12</f>
        <v>-0.016304347826087</v>
      </c>
      <c r="G186" s="32" t="n">
        <f aca="false">G26/G12</f>
        <v>-0.0147764095917045</v>
      </c>
      <c r="H186" s="32" t="n">
        <f aca="false">H26/H12</f>
        <v>-0.0182184197282335</v>
      </c>
    </row>
    <row r="187" customFormat="false" ht="15" hidden="false" customHeight="false" outlineLevel="0" collapsed="false">
      <c r="B187" s="31" t="s">
        <v>204</v>
      </c>
      <c r="C187" s="28" t="s">
        <v>261</v>
      </c>
      <c r="F187" s="32" t="n">
        <f aca="false">F28/F12</f>
        <v>-0.285117056856187</v>
      </c>
      <c r="G187" s="32" t="n">
        <f aca="false">G28/G12</f>
        <v>-0.238755670771225</v>
      </c>
      <c r="H187" s="32" t="n">
        <f aca="false">H28/H12</f>
        <v>-0.232209360845496</v>
      </c>
    </row>
    <row r="188" customFormat="false" ht="15" hidden="false" customHeight="false" outlineLevel="0" collapsed="false">
      <c r="B188" s="31" t="s">
        <v>205</v>
      </c>
      <c r="C188" s="28" t="s">
        <v>261</v>
      </c>
      <c r="F188" s="32" t="n">
        <f aca="false">F29/F12</f>
        <v>-0.0103121516164994</v>
      </c>
      <c r="G188" s="32" t="n">
        <f aca="false">G29/G12</f>
        <v>-0.00985093972780298</v>
      </c>
      <c r="H188" s="32" t="n">
        <f aca="false">H29/H12</f>
        <v>-0.00976346250629089</v>
      </c>
    </row>
    <row r="189" customFormat="false" ht="15" hidden="false" customHeight="false" outlineLevel="0" collapsed="false">
      <c r="B189" s="31" t="s">
        <v>206</v>
      </c>
      <c r="C189" s="28" t="s">
        <v>261</v>
      </c>
      <c r="F189" s="32" t="n">
        <f aca="false">F30/F12</f>
        <v>0.160674470457079</v>
      </c>
      <c r="G189" s="32" t="n">
        <f aca="false">G30/G12</f>
        <v>0.207647440051847</v>
      </c>
      <c r="H189" s="32" t="n">
        <f aca="false">H30/H12</f>
        <v>0.197282335178661</v>
      </c>
    </row>
    <row r="190" customFormat="false" ht="15" hidden="false" customHeight="false" outlineLevel="0" collapsed="false">
      <c r="B190" s="31" t="s">
        <v>207</v>
      </c>
      <c r="C190" s="28" t="s">
        <v>261</v>
      </c>
      <c r="F190" s="32" t="n">
        <f aca="false">F33/F12</f>
        <v>-0.00139353400222965</v>
      </c>
      <c r="G190" s="32" t="n">
        <f aca="false">G33/G12</f>
        <v>-0.00155541153596889</v>
      </c>
      <c r="H190" s="32" t="n">
        <f aca="false">H33/H12</f>
        <v>-0.000503271263210871</v>
      </c>
    </row>
    <row r="191" customFormat="false" ht="15" hidden="false" customHeight="false" outlineLevel="0" collapsed="false">
      <c r="B191" s="31" t="s">
        <v>208</v>
      </c>
      <c r="C191" s="28" t="s">
        <v>261</v>
      </c>
      <c r="F191" s="32" t="n">
        <f aca="false">F34/F12</f>
        <v>-0.0420847268673356</v>
      </c>
      <c r="G191" s="32" t="n">
        <f aca="false">G34/G12</f>
        <v>-0.0368114063512638</v>
      </c>
      <c r="H191" s="32" t="n">
        <f aca="false">H34/H12</f>
        <v>-0.0391545042778057</v>
      </c>
    </row>
    <row r="192" customFormat="false" ht="15" hidden="false" customHeight="false" outlineLevel="0" collapsed="false">
      <c r="B192" s="31" t="s">
        <v>263</v>
      </c>
      <c r="C192" s="28" t="s">
        <v>261</v>
      </c>
      <c r="F192" s="32" t="n">
        <f aca="false">F36/F12</f>
        <v>0.117196209587514</v>
      </c>
      <c r="G192" s="32" t="n">
        <f aca="false">G36/G12</f>
        <v>0.169280622164614</v>
      </c>
      <c r="H192" s="32" t="n">
        <f aca="false">H36/H12</f>
        <v>0.157624559637645</v>
      </c>
    </row>
    <row r="193" customFormat="false" ht="15" hidden="false" customHeight="false" outlineLevel="0" collapsed="false">
      <c r="B193" s="27" t="s">
        <v>264</v>
      </c>
      <c r="C193" s="28" t="s">
        <v>261</v>
      </c>
      <c r="F193" s="42" t="s">
        <v>168</v>
      </c>
      <c r="G193" s="42" t="s">
        <v>168</v>
      </c>
      <c r="H193" s="42" t="s">
        <v>168</v>
      </c>
      <c r="J193" s="30" t="s">
        <v>265</v>
      </c>
    </row>
    <row r="194" customFormat="false" ht="15" hidden="false" customHeight="false" outlineLevel="0" collapsed="false">
      <c r="B194" s="27" t="s">
        <v>266</v>
      </c>
      <c r="C194" s="28" t="s">
        <v>261</v>
      </c>
      <c r="F194" s="42" t="s">
        <v>168</v>
      </c>
      <c r="G194" s="42" t="s">
        <v>168</v>
      </c>
      <c r="H194" s="42" t="s">
        <v>168</v>
      </c>
      <c r="J194" s="30" t="s">
        <v>267</v>
      </c>
    </row>
    <row r="195" customFormat="false" ht="15" hidden="false" customHeight="false" outlineLevel="0" collapsed="false">
      <c r="B195" s="30" t="s">
        <v>268</v>
      </c>
      <c r="C195" s="28" t="s">
        <v>261</v>
      </c>
    </row>
    <row r="197" customFormat="false" ht="15" hidden="false" customHeight="false" outlineLevel="0" collapsed="false">
      <c r="B197" s="37" t="s">
        <v>269</v>
      </c>
      <c r="C197" s="28" t="s">
        <v>270</v>
      </c>
    </row>
    <row r="198" customFormat="false" ht="15" hidden="false" customHeight="false" outlineLevel="0" collapsed="false">
      <c r="B198" s="27" t="s">
        <v>271</v>
      </c>
      <c r="C198" s="28" t="s">
        <v>270</v>
      </c>
      <c r="F198" s="36" t="n">
        <f aca="false">F36-F35</f>
        <v>888</v>
      </c>
      <c r="G198" s="36" t="n">
        <f aca="false">G36-G35</f>
        <v>1408</v>
      </c>
      <c r="H198" s="36" t="n">
        <f aca="false">H36-H35</f>
        <v>1705</v>
      </c>
      <c r="J198" s="30" t="s">
        <v>272</v>
      </c>
    </row>
    <row r="199" customFormat="false" ht="15" hidden="false" customHeight="false" outlineLevel="0" collapsed="false">
      <c r="B199" s="27" t="s">
        <v>273</v>
      </c>
      <c r="C199" s="28" t="s">
        <v>270</v>
      </c>
      <c r="F199" s="36" t="n">
        <f aca="false">F30-'Reported Financials'!F58</f>
        <v>1184</v>
      </c>
      <c r="G199" s="36" t="n">
        <f aca="false">G30-'Reported Financials'!G58</f>
        <v>1623</v>
      </c>
      <c r="H199" s="36" t="n">
        <f aca="false">H30-'Reported Financials'!H58</f>
        <v>1989</v>
      </c>
      <c r="J199" s="30" t="s">
        <v>274</v>
      </c>
    </row>
    <row r="200" customFormat="false" ht="15" hidden="false" customHeight="false" outlineLevel="0" collapsed="false">
      <c r="B200" s="27" t="s">
        <v>275</v>
      </c>
      <c r="C200" s="28" t="s">
        <v>270</v>
      </c>
      <c r="F200" s="36" t="n">
        <f aca="false">F30+'Reported Financials'!F43+'Reported Financials'!F88</f>
        <v>1096</v>
      </c>
      <c r="G200" s="36" t="n">
        <f aca="false">G30+'Reported Financials'!G43+'Reported Financials'!G88</f>
        <v>1551</v>
      </c>
      <c r="H200" s="36" t="n">
        <f aca="false">H30+'Reported Financials'!H43+'Reported Financials'!H88</f>
        <v>1895</v>
      </c>
      <c r="J200" s="30" t="s">
        <v>276</v>
      </c>
    </row>
    <row r="201" customFormat="false" ht="15" hidden="false" customHeight="false" outlineLevel="0" collapsed="false">
      <c r="B201" s="31" t="s">
        <v>277</v>
      </c>
      <c r="C201" s="28" t="s">
        <v>270</v>
      </c>
      <c r="F201" s="40" t="s">
        <v>168</v>
      </c>
      <c r="G201" s="40" t="s">
        <v>168</v>
      </c>
      <c r="H201" s="40" t="s">
        <v>168</v>
      </c>
      <c r="J201" s="30" t="s">
        <v>278</v>
      </c>
    </row>
    <row r="202" customFormat="false" ht="15" hidden="false" customHeight="false" outlineLevel="0" collapsed="false">
      <c r="B202" s="31" t="s">
        <v>35</v>
      </c>
      <c r="C202" s="28" t="s">
        <v>270</v>
      </c>
      <c r="F202" s="32" t="n">
        <f aca="false">F22/F16</f>
        <v>0.411458333333333</v>
      </c>
      <c r="G202" s="32" t="n">
        <f aca="false">G22/G16</f>
        <v>0.440805403338856</v>
      </c>
      <c r="H202" s="32" t="n">
        <f aca="false">H22/H16</f>
        <v>0.417941851568477</v>
      </c>
    </row>
    <row r="203" customFormat="false" ht="15" hidden="false" customHeight="false" outlineLevel="0" collapsed="false">
      <c r="B203" s="31" t="s">
        <v>279</v>
      </c>
      <c r="C203" s="28" t="s">
        <v>270</v>
      </c>
      <c r="F203" s="32" t="n">
        <f aca="false">F30/F16</f>
        <v>0.146468495934959</v>
      </c>
      <c r="G203" s="32" t="n">
        <f aca="false">G30/G16</f>
        <v>0.204154453931439</v>
      </c>
      <c r="H203" s="32" t="n">
        <f aca="false">H30/H16</f>
        <v>0.187452180566182</v>
      </c>
    </row>
    <row r="204" customFormat="false" ht="15" hidden="false" customHeight="false" outlineLevel="0" collapsed="false">
      <c r="B204" s="31" t="s">
        <v>280</v>
      </c>
      <c r="C204" s="28" t="s">
        <v>270</v>
      </c>
      <c r="F204" s="32" t="n">
        <f aca="false">F30/F22</f>
        <v>0.355974066069775</v>
      </c>
      <c r="G204" s="32" t="n">
        <f aca="false">G30/G22</f>
        <v>0.463139635732871</v>
      </c>
      <c r="H204" s="32" t="n">
        <f aca="false">H30/H22</f>
        <v>0.448512585812357</v>
      </c>
      <c r="J204" s="30" t="s">
        <v>281</v>
      </c>
    </row>
    <row r="205" customFormat="false" ht="15" hidden="false" customHeight="false" outlineLevel="0" collapsed="false">
      <c r="B205" s="31" t="s">
        <v>49</v>
      </c>
      <c r="C205" s="28" t="s">
        <v>270</v>
      </c>
      <c r="F205" s="32" t="n">
        <f aca="false">F30/F12</f>
        <v>0.160674470457079</v>
      </c>
      <c r="G205" s="32" t="n">
        <f aca="false">G30/G12</f>
        <v>0.207647440051847</v>
      </c>
      <c r="H205" s="32" t="n">
        <f aca="false">H30/H12</f>
        <v>0.197282335178661</v>
      </c>
    </row>
    <row r="206" customFormat="false" ht="15" hidden="false" customHeight="false" outlineLevel="0" collapsed="false">
      <c r="B206" s="31" t="s">
        <v>282</v>
      </c>
      <c r="C206" s="28" t="s">
        <v>270</v>
      </c>
      <c r="F206" s="32" t="n">
        <f aca="false">F199/F12</f>
        <v>0.164994425863991</v>
      </c>
      <c r="G206" s="32" t="n">
        <f aca="false">G199/G12</f>
        <v>0.210369410239793</v>
      </c>
      <c r="H206" s="32" t="n">
        <f aca="false">H199/H12</f>
        <v>0.200201308505284</v>
      </c>
    </row>
    <row r="207" customFormat="false" ht="15" hidden="false" customHeight="false" outlineLevel="0" collapsed="false">
      <c r="B207" s="31" t="s">
        <v>283</v>
      </c>
      <c r="C207" s="28" t="s">
        <v>270</v>
      </c>
      <c r="F207" s="32" t="n">
        <f aca="false">F200/F12</f>
        <v>0.15273132664437</v>
      </c>
      <c r="G207" s="32" t="n">
        <f aca="false">G200/G12</f>
        <v>0.201036941023979</v>
      </c>
      <c r="H207" s="32" t="n">
        <f aca="false">H200/H12</f>
        <v>0.19073980875692</v>
      </c>
    </row>
    <row r="208" customFormat="false" ht="15" hidden="false" customHeight="false" outlineLevel="0" collapsed="false">
      <c r="B208" s="31" t="s">
        <v>284</v>
      </c>
      <c r="C208" s="28" t="s">
        <v>270</v>
      </c>
      <c r="F208" s="32" t="n">
        <f aca="false">F198/F12</f>
        <v>0.123745819397993</v>
      </c>
      <c r="G208" s="32" t="n">
        <f aca="false">G198/G12</f>
        <v>0.18250162022035</v>
      </c>
      <c r="H208" s="32" t="n">
        <f aca="false">H198/H12</f>
        <v>0.171615500754907</v>
      </c>
    </row>
    <row r="209" customFormat="false" ht="15" hidden="false" customHeight="false" outlineLevel="0" collapsed="false">
      <c r="B209" s="31" t="s">
        <v>285</v>
      </c>
      <c r="C209" s="28" t="s">
        <v>270</v>
      </c>
      <c r="F209" s="32" t="n">
        <f aca="false">F43/F12</f>
        <v>0.116220735785953</v>
      </c>
      <c r="G209" s="32" t="n">
        <f aca="false">G43/G12</f>
        <v>0.163836681788723</v>
      </c>
      <c r="H209" s="32" t="n">
        <f aca="false">H43/H12</f>
        <v>0.155510820332159</v>
      </c>
    </row>
    <row r="210" customFormat="false" ht="15" hidden="false" customHeight="false" outlineLevel="0" collapsed="false">
      <c r="B210" s="27" t="s">
        <v>286</v>
      </c>
      <c r="C210" s="28" t="s">
        <v>270</v>
      </c>
      <c r="F210" s="41" t="n">
        <f aca="false">'Reported Financials'!F69/-'Reported Financials'!F72</f>
        <v>8.08108108108108</v>
      </c>
      <c r="G210" s="41" t="n">
        <f aca="false">'Reported Financials'!G69/-'Reported Financials'!G72</f>
        <v>10.948275862069</v>
      </c>
      <c r="H210" s="41" t="n">
        <f aca="false">'Reported Financials'!H69/-'Reported Financials'!H72</f>
        <v>14.5172413793103</v>
      </c>
      <c r="J210" s="30" t="s">
        <v>287</v>
      </c>
    </row>
    <row r="211" customFormat="false" ht="15" hidden="false" customHeight="false" outlineLevel="0" collapsed="false">
      <c r="B211" s="27" t="s">
        <v>288</v>
      </c>
      <c r="C211" s="28" t="s">
        <v>270</v>
      </c>
      <c r="F211" s="41" t="n">
        <f aca="false">F30/-'Reported Financials'!F72</f>
        <v>10.3873873873874</v>
      </c>
      <c r="G211" s="41" t="n">
        <f aca="false">G30/-'Reported Financials'!G72</f>
        <v>13.8103448275862</v>
      </c>
      <c r="H211" s="41" t="n">
        <f aca="false">H30/-'Reported Financials'!H72</f>
        <v>16.8965517241379</v>
      </c>
    </row>
    <row r="212" customFormat="false" ht="15" hidden="false" customHeight="false" outlineLevel="0" collapsed="false">
      <c r="B212" s="27" t="s">
        <v>289</v>
      </c>
      <c r="C212" s="28" t="s">
        <v>270</v>
      </c>
      <c r="F212" s="41" t="n">
        <f aca="false">('Reported Financials'!F69-'Reported Financials'!F58)/(-'Reported Financials'!F58-'Reported Financials'!F72)</f>
        <v>6.53521126760563</v>
      </c>
      <c r="G212" s="41" t="n">
        <f aca="false">('Reported Financials'!G69-'Reported Financials'!G58)/(-'Reported Financials'!G58-'Reported Financials'!G72)</f>
        <v>9.42335766423358</v>
      </c>
      <c r="H212" s="41" t="n">
        <f aca="false">('Reported Financials'!H69-'Reported Financials'!H58)/(-'Reported Financials'!H58-'Reported Financials'!H72)</f>
        <v>11.8137931034483</v>
      </c>
      <c r="J212" s="30" t="s">
        <v>290</v>
      </c>
    </row>
    <row r="213" customFormat="false" ht="15" hidden="false" customHeight="false" outlineLevel="0" collapsed="false">
      <c r="B213" s="27" t="s">
        <v>291</v>
      </c>
      <c r="C213" s="28" t="s">
        <v>270</v>
      </c>
      <c r="F213" s="41" t="n">
        <f aca="false">F172</f>
        <v>3.82401902497027</v>
      </c>
      <c r="G213" s="41" t="n">
        <f aca="false">G172</f>
        <v>3.05742725880551</v>
      </c>
      <c r="H213" s="41" t="n">
        <f aca="false">H172</f>
        <v>2.97062579821201</v>
      </c>
    </row>
    <row r="214" customFormat="false" ht="15" hidden="false" customHeight="false" outlineLevel="0" collapsed="false">
      <c r="B214" s="31" t="s">
        <v>292</v>
      </c>
      <c r="C214" s="28" t="s">
        <v>270</v>
      </c>
      <c r="F214" s="32" t="n">
        <f aca="false">F173</f>
        <v>0.261504975124378</v>
      </c>
      <c r="G214" s="32" t="n">
        <f aca="false">G173</f>
        <v>0.327072376659154</v>
      </c>
      <c r="H214" s="32" t="n">
        <f aca="false">H173</f>
        <v>0.336629406706793</v>
      </c>
    </row>
    <row r="215" customFormat="false" ht="15" hidden="false" customHeight="false" outlineLevel="0" collapsed="false">
      <c r="B215" s="31" t="s">
        <v>293</v>
      </c>
      <c r="C215" s="28" t="s">
        <v>270</v>
      </c>
      <c r="F215" s="32" t="n">
        <f aca="false">F81/F73</f>
        <v>0.77734375</v>
      </c>
      <c r="G215" s="32" t="n">
        <f aca="false">G81/G73</f>
        <v>0.720259552992069</v>
      </c>
      <c r="H215" s="32" t="n">
        <f aca="false">H81/H73</f>
        <v>0.635922330097087</v>
      </c>
      <c r="J215" s="30" t="s">
        <v>294</v>
      </c>
    </row>
    <row r="216" customFormat="false" ht="15" hidden="false" customHeight="false" outlineLevel="0" collapsed="false">
      <c r="B216" s="31" t="s">
        <v>295</v>
      </c>
      <c r="C216" s="28" t="s">
        <v>270</v>
      </c>
      <c r="F216" s="32" t="n">
        <f aca="false">-F78/F73</f>
        <v>0.22265625</v>
      </c>
      <c r="G216" s="32" t="n">
        <f aca="false">-G78/G73</f>
        <v>0.279740447007931</v>
      </c>
      <c r="H216" s="32" t="n">
        <f aca="false">-H78/H73</f>
        <v>0.364077669902913</v>
      </c>
      <c r="J216" s="30" t="s">
        <v>294</v>
      </c>
    </row>
    <row r="218" customFormat="false" ht="15" hidden="false" customHeight="false" outlineLevel="0" collapsed="false">
      <c r="A218" s="25" t="s">
        <v>11</v>
      </c>
      <c r="B218" s="26" t="s">
        <v>296</v>
      </c>
      <c r="C218" s="14"/>
      <c r="D218" s="14"/>
      <c r="E218" s="14"/>
      <c r="F218" s="14"/>
      <c r="G218" s="14"/>
      <c r="H218" s="14"/>
    </row>
    <row r="220" customFormat="false" ht="15" hidden="false" customHeight="false" outlineLevel="0" collapsed="false">
      <c r="B220" s="37" t="s">
        <v>297</v>
      </c>
      <c r="C220" s="28" t="s">
        <v>298</v>
      </c>
      <c r="J220" s="30" t="s">
        <v>299</v>
      </c>
    </row>
    <row r="221" customFormat="false" ht="15" hidden="false" customHeight="false" outlineLevel="0" collapsed="false">
      <c r="B221" s="27" t="s">
        <v>300</v>
      </c>
      <c r="C221" s="28" t="s">
        <v>298</v>
      </c>
      <c r="E221" s="29" t="n">
        <f aca="false">'Reported Financials'!E136</f>
        <v>1976</v>
      </c>
      <c r="F221" s="29" t="n">
        <f aca="false">'Reported Financials'!F136</f>
        <v>3244</v>
      </c>
      <c r="G221" s="29" t="n">
        <f aca="false">'Reported Financials'!G136</f>
        <v>3989</v>
      </c>
      <c r="H221" s="29" t="n">
        <f aca="false">'Reported Financials'!H136</f>
        <v>4721</v>
      </c>
      <c r="J221" s="30" t="s">
        <v>301</v>
      </c>
    </row>
    <row r="222" customFormat="false" ht="15" hidden="false" customHeight="false" outlineLevel="0" collapsed="false">
      <c r="B222" s="27" t="s">
        <v>302</v>
      </c>
      <c r="C222" s="28" t="s">
        <v>298</v>
      </c>
      <c r="E222" s="29" t="n">
        <f aca="false">'Reported Financials'!E137</f>
        <v>362</v>
      </c>
      <c r="F222" s="29" t="n">
        <f aca="false">'Reported Financials'!F137</f>
        <v>516</v>
      </c>
      <c r="G222" s="29" t="n">
        <f aca="false">'Reported Financials'!G137</f>
        <v>692</v>
      </c>
      <c r="H222" s="29" t="n">
        <f aca="false">'Reported Financials'!H137</f>
        <v>957</v>
      </c>
      <c r="J222" s="30" t="s">
        <v>303</v>
      </c>
    </row>
    <row r="223" customFormat="false" ht="15" hidden="false" customHeight="false" outlineLevel="0" collapsed="false">
      <c r="B223" s="27" t="s">
        <v>304</v>
      </c>
      <c r="C223" s="28" t="s">
        <v>298</v>
      </c>
      <c r="E223" s="29" t="n">
        <f aca="false">'Reported Financials'!E138</f>
        <v>1548</v>
      </c>
      <c r="F223" s="29" t="n">
        <f aca="false">'Reported Financials'!F138</f>
        <v>2021</v>
      </c>
      <c r="G223" s="29" t="n">
        <f aca="false">'Reported Financials'!G138</f>
        <v>1959</v>
      </c>
      <c r="H223" s="29" t="n">
        <f aca="false">'Reported Financials'!H138</f>
        <v>1907</v>
      </c>
      <c r="J223" s="30" t="s">
        <v>301</v>
      </c>
    </row>
    <row r="224" customFormat="false" ht="15" hidden="false" customHeight="false" outlineLevel="0" collapsed="false">
      <c r="B224" s="27" t="s">
        <v>305</v>
      </c>
      <c r="C224" s="28" t="s">
        <v>298</v>
      </c>
      <c r="E224" s="36" t="n">
        <f aca="false">'Reported Financials'!E139-'Reported Financials'!E184</f>
        <v>242</v>
      </c>
      <c r="F224" s="36" t="n">
        <f aca="false">'Reported Financials'!F139-'Reported Financials'!F184</f>
        <v>223</v>
      </c>
      <c r="G224" s="36" t="n">
        <f aca="false">'Reported Financials'!G139-'Reported Financials'!G184</f>
        <v>350</v>
      </c>
      <c r="H224" s="36" t="n">
        <f aca="false">'Reported Financials'!H139-'Reported Financials'!H184</f>
        <v>384</v>
      </c>
      <c r="J224" s="30" t="s">
        <v>306</v>
      </c>
    </row>
    <row r="225" customFormat="false" ht="15" hidden="false" customHeight="false" outlineLevel="0" collapsed="false">
      <c r="B225" s="27" t="s">
        <v>307</v>
      </c>
      <c r="C225" s="28" t="s">
        <v>308</v>
      </c>
      <c r="E225" s="29" t="n">
        <f aca="false">'Reported Financials'!E140</f>
        <v>23</v>
      </c>
      <c r="F225" s="29" t="n">
        <f aca="false">'Reported Financials'!F140</f>
        <v>13</v>
      </c>
      <c r="G225" s="29" t="n">
        <f aca="false">'Reported Financials'!G140</f>
        <v>57</v>
      </c>
      <c r="H225" s="29" t="n">
        <f aca="false">'Reported Financials'!H140</f>
        <v>11</v>
      </c>
      <c r="J225" s="30" t="s">
        <v>309</v>
      </c>
    </row>
    <row r="226" customFormat="false" ht="15" hidden="false" customHeight="false" outlineLevel="0" collapsed="false">
      <c r="B226" s="27" t="s">
        <v>310</v>
      </c>
      <c r="C226" s="28" t="s">
        <v>308</v>
      </c>
      <c r="E226" s="29" t="n">
        <f aca="false">'Reported Financials'!E133</f>
        <v>98</v>
      </c>
      <c r="F226" s="29" t="n">
        <f aca="false">'Reported Financials'!F133</f>
        <v>164</v>
      </c>
      <c r="G226" s="29" t="n">
        <f aca="false">'Reported Financials'!G133</f>
        <v>172</v>
      </c>
      <c r="H226" s="29" t="n">
        <f aca="false">'Reported Financials'!H133</f>
        <v>165</v>
      </c>
      <c r="J226" s="30" t="s">
        <v>311</v>
      </c>
    </row>
    <row r="227" customFormat="false" ht="15" hidden="false" customHeight="false" outlineLevel="0" collapsed="false">
      <c r="B227" s="33" t="s">
        <v>297</v>
      </c>
      <c r="C227" s="34"/>
      <c r="D227" s="34"/>
      <c r="E227" s="35" t="n">
        <f aca="false">SUM(E221:E226)</f>
        <v>4249</v>
      </c>
      <c r="F227" s="35" t="n">
        <f aca="false">SUM(F221:F226)</f>
        <v>6181</v>
      </c>
      <c r="G227" s="35" t="n">
        <f aca="false">SUM(G221:G226)</f>
        <v>7219</v>
      </c>
      <c r="H227" s="35" t="n">
        <f aca="false">SUM(H221:H226)</f>
        <v>8145</v>
      </c>
      <c r="J227" s="43" t="s">
        <v>312</v>
      </c>
    </row>
    <row r="229" customFormat="false" ht="15" hidden="false" customHeight="false" outlineLevel="0" collapsed="false">
      <c r="B229" s="37" t="s">
        <v>313</v>
      </c>
      <c r="C229" s="28" t="s">
        <v>314</v>
      </c>
      <c r="J229" s="30" t="s">
        <v>315</v>
      </c>
    </row>
    <row r="230" customFormat="false" ht="15" hidden="false" customHeight="false" outlineLevel="0" collapsed="false">
      <c r="B230" s="27" t="s">
        <v>316</v>
      </c>
      <c r="C230" s="28" t="s">
        <v>314</v>
      </c>
      <c r="E230" s="29" t="n">
        <f aca="false">'Reported Financials'!E170</f>
        <v>931</v>
      </c>
      <c r="F230" s="29" t="n">
        <f aca="false">'Reported Financials'!F170</f>
        <v>1222</v>
      </c>
      <c r="G230" s="29" t="n">
        <f aca="false">'Reported Financials'!G170</f>
        <v>1151</v>
      </c>
      <c r="H230" s="29" t="n">
        <f aca="false">'Reported Financials'!H170</f>
        <v>1186</v>
      </c>
      <c r="J230" s="30" t="s">
        <v>301</v>
      </c>
    </row>
    <row r="231" customFormat="false" ht="15" hidden="false" customHeight="false" outlineLevel="0" collapsed="false">
      <c r="B231" s="27" t="s">
        <v>317</v>
      </c>
      <c r="C231" s="28" t="s">
        <v>314</v>
      </c>
      <c r="E231" s="29" t="n">
        <f aca="false">'Reported Financials'!E169</f>
        <v>1120</v>
      </c>
      <c r="F231" s="29" t="n">
        <f aca="false">'Reported Financials'!F169</f>
        <v>2594</v>
      </c>
      <c r="G231" s="29" t="n">
        <f aca="false">'Reported Financials'!G169</f>
        <v>3866</v>
      </c>
      <c r="H231" s="29" t="n">
        <f aca="false">'Reported Financials'!H169</f>
        <v>5642</v>
      </c>
      <c r="J231" s="30" t="s">
        <v>318</v>
      </c>
    </row>
    <row r="232" customFormat="false" ht="15" hidden="false" customHeight="false" outlineLevel="0" collapsed="false">
      <c r="B232" s="27" t="s">
        <v>319</v>
      </c>
      <c r="C232" s="28" t="s">
        <v>314</v>
      </c>
      <c r="E232" s="36" t="n">
        <f aca="false">'Reported Financials'!E167+'Reported Financials'!E161-'Reported Financials'!E99</f>
        <v>824</v>
      </c>
      <c r="F232" s="36" t="n">
        <f aca="false">'Reported Financials'!F167+'Reported Financials'!F161-'Reported Financials'!F99</f>
        <v>874</v>
      </c>
      <c r="G232" s="36" t="n">
        <f aca="false">'Reported Financials'!G167+'Reported Financials'!G161-'Reported Financials'!G99</f>
        <v>1040</v>
      </c>
      <c r="H232" s="36" t="n">
        <f aca="false">'Reported Financials'!H167+'Reported Financials'!H161-'Reported Financials'!H99</f>
        <v>1146</v>
      </c>
      <c r="J232" s="30" t="s">
        <v>320</v>
      </c>
    </row>
    <row r="233" customFormat="false" ht="15" hidden="false" customHeight="false" outlineLevel="0" collapsed="false">
      <c r="B233" s="27" t="s">
        <v>321</v>
      </c>
      <c r="C233" s="28" t="s">
        <v>314</v>
      </c>
      <c r="E233" s="29" t="n">
        <f aca="false">'Reported Financials'!E160</f>
        <v>484</v>
      </c>
      <c r="F233" s="29" t="n">
        <f aca="false">'Reported Financials'!F160</f>
        <v>562</v>
      </c>
      <c r="G233" s="29" t="n">
        <f aca="false">'Reported Financials'!G160</f>
        <v>527</v>
      </c>
      <c r="H233" s="29" t="n">
        <f aca="false">'Reported Financials'!H160</f>
        <v>278</v>
      </c>
      <c r="J233" s="30" t="s">
        <v>322</v>
      </c>
    </row>
    <row r="234" customFormat="false" ht="15" hidden="false" customHeight="false" outlineLevel="0" collapsed="false">
      <c r="B234" s="27" t="s">
        <v>323</v>
      </c>
      <c r="C234" s="28" t="s">
        <v>314</v>
      </c>
      <c r="E234" s="36" t="n">
        <f aca="false">'Reported Financials'!E171+'Reported Financials'!E163</f>
        <v>256</v>
      </c>
      <c r="F234" s="36" t="n">
        <f aca="false">'Reported Financials'!F171+'Reported Financials'!F163</f>
        <v>325</v>
      </c>
      <c r="G234" s="36" t="n">
        <f aca="false">'Reported Financials'!G171+'Reported Financials'!G163</f>
        <v>346</v>
      </c>
      <c r="H234" s="36" t="n">
        <f aca="false">'Reported Financials'!H171+'Reported Financials'!H163</f>
        <v>328</v>
      </c>
      <c r="J234" s="30" t="s">
        <v>324</v>
      </c>
    </row>
    <row r="235" customFormat="false" ht="15" hidden="false" customHeight="false" outlineLevel="0" collapsed="false">
      <c r="B235" s="27" t="s">
        <v>325</v>
      </c>
      <c r="C235" s="28" t="s">
        <v>308</v>
      </c>
      <c r="E235" s="29" t="n">
        <f aca="false">'Reported Financials'!E172</f>
        <v>67</v>
      </c>
      <c r="F235" s="29" t="n">
        <f aca="false">'Reported Financials'!F172</f>
        <v>108</v>
      </c>
      <c r="G235" s="29" t="n">
        <f aca="false">'Reported Financials'!G172</f>
        <v>118</v>
      </c>
      <c r="H235" s="29" t="n">
        <f aca="false">'Reported Financials'!H172</f>
        <v>200</v>
      </c>
      <c r="J235" s="30" t="s">
        <v>311</v>
      </c>
    </row>
    <row r="236" customFormat="false" ht="15" hidden="false" customHeight="false" outlineLevel="0" collapsed="false">
      <c r="B236" s="27" t="s">
        <v>326</v>
      </c>
      <c r="C236" s="28" t="s">
        <v>308</v>
      </c>
      <c r="E236" s="29" t="n">
        <f aca="false">'Reported Financials'!E164</f>
        <v>78</v>
      </c>
      <c r="F236" s="29" t="n">
        <f aca="false">'Reported Financials'!F164</f>
        <v>260</v>
      </c>
      <c r="G236" s="29" t="n">
        <f aca="false">'Reported Financials'!G164</f>
        <v>356</v>
      </c>
      <c r="H236" s="29" t="n">
        <f aca="false">'Reported Financials'!H164</f>
        <v>363</v>
      </c>
      <c r="J236" s="30" t="s">
        <v>311</v>
      </c>
    </row>
    <row r="237" customFormat="false" ht="15" hidden="false" customHeight="false" outlineLevel="0" collapsed="false">
      <c r="B237" s="33" t="s">
        <v>327</v>
      </c>
      <c r="C237" s="34"/>
      <c r="D237" s="34"/>
      <c r="E237" s="35" t="n">
        <f aca="false">SUM(E230:E236)</f>
        <v>3760</v>
      </c>
      <c r="F237" s="35" t="n">
        <f aca="false">SUM(F230:F236)</f>
        <v>5945</v>
      </c>
      <c r="G237" s="35" t="n">
        <f aca="false">SUM(G230:G236)</f>
        <v>7404</v>
      </c>
      <c r="H237" s="35" t="n">
        <f aca="false">SUM(H230:H236)</f>
        <v>9143</v>
      </c>
      <c r="J237" s="43" t="s">
        <v>328</v>
      </c>
    </row>
    <row r="239" customFormat="false" ht="15" hidden="false" customHeight="false" outlineLevel="0" collapsed="false">
      <c r="B239" s="33" t="s">
        <v>329</v>
      </c>
      <c r="C239" s="38" t="s">
        <v>330</v>
      </c>
      <c r="D239" s="34"/>
      <c r="E239" s="35" t="n">
        <f aca="false">E227-E237</f>
        <v>489</v>
      </c>
      <c r="F239" s="35" t="n">
        <f aca="false">F227-F237</f>
        <v>236</v>
      </c>
      <c r="G239" s="35" t="n">
        <f aca="false">G227-G237</f>
        <v>-185</v>
      </c>
      <c r="H239" s="35" t="n">
        <f aca="false">H227-H237</f>
        <v>-998</v>
      </c>
      <c r="J239" s="30" t="s">
        <v>331</v>
      </c>
    </row>
    <row r="241" customFormat="false" ht="15" hidden="false" customHeight="false" outlineLevel="0" collapsed="false">
      <c r="B241" s="37" t="s">
        <v>332</v>
      </c>
      <c r="C241" s="28" t="s">
        <v>298</v>
      </c>
      <c r="J241" s="30" t="s">
        <v>333</v>
      </c>
    </row>
    <row r="242" customFormat="false" ht="15" hidden="false" customHeight="false" outlineLevel="0" collapsed="false">
      <c r="B242" s="27" t="s">
        <v>334</v>
      </c>
      <c r="C242" s="28" t="s">
        <v>298</v>
      </c>
      <c r="E242" s="29" t="n">
        <f aca="false">'Reported Financials'!E126</f>
        <v>483</v>
      </c>
      <c r="F242" s="29" t="n">
        <f aca="false">'Reported Financials'!F126</f>
        <v>1125</v>
      </c>
      <c r="G242" s="29" t="n">
        <f aca="false">'Reported Financials'!G126</f>
        <v>1426</v>
      </c>
      <c r="H242" s="29" t="n">
        <f aca="false">'Reported Financials'!H126</f>
        <v>1354</v>
      </c>
      <c r="J242" s="30" t="s">
        <v>335</v>
      </c>
    </row>
    <row r="243" customFormat="false" ht="15" hidden="false" customHeight="false" outlineLevel="0" collapsed="false">
      <c r="B243" s="27" t="s">
        <v>336</v>
      </c>
      <c r="C243" s="28" t="s">
        <v>298</v>
      </c>
      <c r="E243" s="29" t="n">
        <f aca="false">'Reported Financials'!E127</f>
        <v>338</v>
      </c>
      <c r="F243" s="29" t="n">
        <f aca="false">'Reported Financials'!F127</f>
        <v>952</v>
      </c>
      <c r="G243" s="29" t="n">
        <f aca="false">'Reported Financials'!G127</f>
        <v>1376</v>
      </c>
      <c r="H243" s="29" t="n">
        <f aca="false">'Reported Financials'!H127</f>
        <v>1244</v>
      </c>
      <c r="J243" s="30" t="s">
        <v>335</v>
      </c>
    </row>
    <row r="244" customFormat="false" ht="15" hidden="false" customHeight="false" outlineLevel="0" collapsed="false">
      <c r="B244" s="27" t="s">
        <v>337</v>
      </c>
      <c r="C244" s="28" t="s">
        <v>298</v>
      </c>
      <c r="E244" s="29" t="n">
        <f aca="false">'Reported Financials'!E128</f>
        <v>209</v>
      </c>
      <c r="F244" s="29" t="n">
        <f aca="false">'Reported Financials'!F128</f>
        <v>271</v>
      </c>
      <c r="G244" s="29" t="n">
        <f aca="false">'Reported Financials'!G128</f>
        <v>334</v>
      </c>
      <c r="H244" s="29" t="n">
        <f aca="false">'Reported Financials'!H128</f>
        <v>338</v>
      </c>
      <c r="J244" s="30" t="s">
        <v>338</v>
      </c>
    </row>
    <row r="245" customFormat="false" ht="15" hidden="false" customHeight="false" outlineLevel="0" collapsed="false">
      <c r="B245" s="27" t="s">
        <v>339</v>
      </c>
      <c r="C245" s="28" t="s">
        <v>298</v>
      </c>
      <c r="E245" s="29" t="n">
        <f aca="false">'Reported Financials'!E129</f>
        <v>1137</v>
      </c>
      <c r="F245" s="29" t="n">
        <f aca="false">'Reported Financials'!F129</f>
        <v>1370</v>
      </c>
      <c r="G245" s="29" t="n">
        <f aca="false">'Reported Financials'!G129</f>
        <v>1853</v>
      </c>
      <c r="H245" s="29" t="n">
        <f aca="false">'Reported Financials'!H129</f>
        <v>1962</v>
      </c>
      <c r="J245" s="30" t="s">
        <v>340</v>
      </c>
    </row>
    <row r="246" customFormat="false" ht="15" hidden="false" customHeight="false" outlineLevel="0" collapsed="false">
      <c r="B246" s="27" t="s">
        <v>341</v>
      </c>
      <c r="C246" s="28" t="s">
        <v>298</v>
      </c>
      <c r="E246" s="29" t="n">
        <f aca="false">'Reported Financials'!E130</f>
        <v>24</v>
      </c>
      <c r="F246" s="29" t="n">
        <f aca="false">'Reported Financials'!F130</f>
        <v>22</v>
      </c>
      <c r="G246" s="29" t="n">
        <f aca="false">'Reported Financials'!G130</f>
        <v>20</v>
      </c>
      <c r="H246" s="29" t="n">
        <f aca="false">'Reported Financials'!H130</f>
        <v>2</v>
      </c>
      <c r="J246" s="30" t="s">
        <v>342</v>
      </c>
    </row>
    <row r="247" customFormat="false" ht="15" hidden="false" customHeight="false" outlineLevel="0" collapsed="false">
      <c r="B247" s="27" t="s">
        <v>343</v>
      </c>
      <c r="C247" s="28" t="s">
        <v>298</v>
      </c>
      <c r="E247" s="36" t="n">
        <f aca="false">'Reported Financials'!E132-'Reported Financials'!E183</f>
        <v>176</v>
      </c>
      <c r="F247" s="36" t="n">
        <f aca="false">'Reported Financials'!F132-'Reported Financials'!F183</f>
        <v>328</v>
      </c>
      <c r="G247" s="36" t="n">
        <f aca="false">'Reported Financials'!G132-'Reported Financials'!G183</f>
        <v>566</v>
      </c>
      <c r="H247" s="36" t="n">
        <f aca="false">'Reported Financials'!H132-'Reported Financials'!H183</f>
        <v>566</v>
      </c>
      <c r="J247" s="30" t="s">
        <v>344</v>
      </c>
    </row>
    <row r="248" customFormat="false" ht="15" hidden="false" customHeight="false" outlineLevel="0" collapsed="false">
      <c r="B248" s="33" t="s">
        <v>332</v>
      </c>
      <c r="C248" s="34"/>
      <c r="D248" s="34"/>
      <c r="E248" s="35" t="n">
        <f aca="false">SUM(E242:E247)</f>
        <v>2367</v>
      </c>
      <c r="F248" s="35" t="n">
        <f aca="false">SUM(F242:F247)</f>
        <v>4068</v>
      </c>
      <c r="G248" s="35" t="n">
        <f aca="false">SUM(G242:G247)</f>
        <v>5575</v>
      </c>
      <c r="H248" s="35" t="n">
        <f aca="false">SUM(H242:H247)</f>
        <v>5466</v>
      </c>
    </row>
    <row r="250" customFormat="false" ht="15" hidden="false" customHeight="false" outlineLevel="0" collapsed="false">
      <c r="B250" s="33" t="s">
        <v>345</v>
      </c>
      <c r="C250" s="38" t="s">
        <v>330</v>
      </c>
      <c r="D250" s="34"/>
      <c r="E250" s="35" t="n">
        <f aca="false">E239+E248</f>
        <v>2856</v>
      </c>
      <c r="F250" s="35" t="n">
        <f aca="false">F239+F248</f>
        <v>4304</v>
      </c>
      <c r="G250" s="35" t="n">
        <f aca="false">G239+G248</f>
        <v>5390</v>
      </c>
      <c r="H250" s="35" t="n">
        <f aca="false">H239+H248</f>
        <v>4468</v>
      </c>
      <c r="J250" s="30" t="s">
        <v>346</v>
      </c>
    </row>
    <row r="252" customFormat="false" ht="15" hidden="false" customHeight="false" outlineLevel="0" collapsed="false">
      <c r="B252" s="37" t="s">
        <v>347</v>
      </c>
      <c r="C252" s="28" t="s">
        <v>348</v>
      </c>
      <c r="J252" s="30" t="s">
        <v>349</v>
      </c>
    </row>
    <row r="253" customFormat="false" ht="15" hidden="false" customHeight="false" outlineLevel="0" collapsed="false">
      <c r="B253" s="27" t="s">
        <v>350</v>
      </c>
      <c r="C253" s="28" t="s">
        <v>348</v>
      </c>
      <c r="E253" s="29" t="n">
        <f aca="false">'Reported Financials'!E131</f>
        <v>442</v>
      </c>
      <c r="F253" s="29" t="n">
        <f aca="false">'Reported Financials'!F131</f>
        <v>373</v>
      </c>
      <c r="G253" s="29" t="n">
        <f aca="false">'Reported Financials'!G131</f>
        <v>346</v>
      </c>
      <c r="H253" s="29" t="n">
        <f aca="false">'Reported Financials'!H131</f>
        <v>213</v>
      </c>
      <c r="J253" s="30" t="s">
        <v>351</v>
      </c>
    </row>
    <row r="254" customFormat="false" ht="15" hidden="false" customHeight="false" outlineLevel="0" collapsed="false">
      <c r="B254" s="27" t="s">
        <v>352</v>
      </c>
      <c r="C254" s="28" t="s">
        <v>348</v>
      </c>
      <c r="E254" s="29" t="n">
        <f aca="false">'Reported Financials'!E184</f>
        <v>0</v>
      </c>
      <c r="F254" s="29" t="n">
        <f aca="false">'Reported Financials'!F184</f>
        <v>28</v>
      </c>
      <c r="G254" s="29" t="n">
        <f aca="false">'Reported Financials'!G184</f>
        <v>0</v>
      </c>
      <c r="H254" s="29" t="n">
        <f aca="false">'Reported Financials'!H184</f>
        <v>0</v>
      </c>
      <c r="J254" s="30" t="s">
        <v>353</v>
      </c>
    </row>
    <row r="255" customFormat="false" ht="15" hidden="false" customHeight="false" outlineLevel="0" collapsed="false">
      <c r="B255" s="27" t="s">
        <v>354</v>
      </c>
      <c r="C255" s="28" t="s">
        <v>348</v>
      </c>
      <c r="E255" s="36" t="n">
        <f aca="false">-'Reported Financials'!E99</f>
        <v>-55</v>
      </c>
      <c r="F255" s="36" t="n">
        <f aca="false">-'Reported Financials'!F99</f>
        <v>-46</v>
      </c>
      <c r="G255" s="36" t="n">
        <f aca="false">-'Reported Financials'!G99</f>
        <v>-52</v>
      </c>
      <c r="H255" s="36" t="n">
        <f aca="false">-'Reported Financials'!H99</f>
        <v>-25</v>
      </c>
      <c r="J255" s="30" t="s">
        <v>355</v>
      </c>
    </row>
    <row r="256" customFormat="false" ht="15" hidden="false" customHeight="false" outlineLevel="0" collapsed="false">
      <c r="B256" s="27" t="s">
        <v>356</v>
      </c>
      <c r="C256" s="28" t="s">
        <v>348</v>
      </c>
      <c r="E256" s="36" t="n">
        <f aca="false">'Reported Financials'!E143-'Reported Financials'!E173</f>
        <v>129</v>
      </c>
      <c r="F256" s="36" t="n">
        <f aca="false">'Reported Financials'!F143-'Reported Financials'!F173</f>
        <v>35</v>
      </c>
      <c r="G256" s="36" t="n">
        <f aca="false">'Reported Financials'!G143-'Reported Financials'!G173</f>
        <v>0</v>
      </c>
      <c r="H256" s="36" t="n">
        <f aca="false">'Reported Financials'!H143-'Reported Financials'!H173</f>
        <v>562</v>
      </c>
      <c r="J256" s="30" t="s">
        <v>357</v>
      </c>
    </row>
    <row r="257" customFormat="false" ht="15" hidden="false" customHeight="false" outlineLevel="0" collapsed="false">
      <c r="B257" s="27" t="s">
        <v>358</v>
      </c>
      <c r="C257" s="28" t="s">
        <v>348</v>
      </c>
      <c r="E257" s="36" t="n">
        <f aca="false">SUM(E253:E256)</f>
        <v>516</v>
      </c>
      <c r="F257" s="36" t="n">
        <f aca="false">SUM(F253:F256)</f>
        <v>390</v>
      </c>
      <c r="G257" s="36" t="n">
        <f aca="false">SUM(G253:G256)</f>
        <v>294</v>
      </c>
      <c r="H257" s="36" t="n">
        <f aca="false">SUM(H253:H256)</f>
        <v>750</v>
      </c>
      <c r="J257" s="30" t="s">
        <v>359</v>
      </c>
    </row>
    <row r="258" customFormat="false" ht="15" hidden="false" customHeight="false" outlineLevel="0" collapsed="false">
      <c r="B258" s="27" t="s">
        <v>360</v>
      </c>
      <c r="C258" s="28" t="s">
        <v>348</v>
      </c>
      <c r="E258" s="29" t="n">
        <f aca="false">'Reported Financials'!E183</f>
        <v>11</v>
      </c>
      <c r="F258" s="29" t="n">
        <f aca="false">'Reported Financials'!F183</f>
        <v>11</v>
      </c>
      <c r="G258" s="29" t="n">
        <f aca="false">'Reported Financials'!G183</f>
        <v>19</v>
      </c>
      <c r="H258" s="29" t="n">
        <f aca="false">'Reported Financials'!H183</f>
        <v>26</v>
      </c>
      <c r="J258" s="30" t="s">
        <v>361</v>
      </c>
    </row>
    <row r="259" customFormat="false" ht="15" hidden="false" customHeight="false" outlineLevel="0" collapsed="false">
      <c r="B259" s="33" t="s">
        <v>362</v>
      </c>
      <c r="C259" s="34"/>
      <c r="D259" s="34"/>
      <c r="E259" s="35" t="n">
        <f aca="false">E257+E258</f>
        <v>527</v>
      </c>
      <c r="F259" s="35" t="n">
        <f aca="false">F257+F258</f>
        <v>401</v>
      </c>
      <c r="G259" s="35" t="n">
        <f aca="false">G257+G258</f>
        <v>313</v>
      </c>
      <c r="H259" s="35" t="n">
        <f aca="false">H257+H258</f>
        <v>776</v>
      </c>
    </row>
    <row r="261" customFormat="false" ht="15" hidden="false" customHeight="false" outlineLevel="0" collapsed="false">
      <c r="B261" s="27" t="s">
        <v>363</v>
      </c>
      <c r="C261" s="28" t="s">
        <v>364</v>
      </c>
      <c r="E261" s="36" t="n">
        <f aca="false">'Reported Financials'!E134+'Reported Financials'!E144+'Reported Financials'!E146</f>
        <v>1</v>
      </c>
      <c r="F261" s="36" t="n">
        <f aca="false">'Reported Financials'!F134+'Reported Financials'!F144+'Reported Financials'!F146</f>
        <v>0</v>
      </c>
      <c r="G261" s="36" t="n">
        <f aca="false">'Reported Financials'!G134+'Reported Financials'!G144+'Reported Financials'!G146</f>
        <v>1</v>
      </c>
      <c r="H261" s="36" t="n">
        <f aca="false">'Reported Financials'!H134+'Reported Financials'!H144+'Reported Financials'!H146</f>
        <v>2</v>
      </c>
      <c r="J261" s="30" t="s">
        <v>365</v>
      </c>
    </row>
    <row r="262" customFormat="false" ht="15" hidden="false" customHeight="false" outlineLevel="0" collapsed="false">
      <c r="B262" s="27" t="s">
        <v>366</v>
      </c>
      <c r="C262" s="28" t="s">
        <v>364</v>
      </c>
      <c r="E262" s="36" t="n">
        <f aca="false">-('Reported Financials'!E165+'Reported Financials'!E174+'Reported Financials'!E176)</f>
        <v>-0</v>
      </c>
      <c r="F262" s="36" t="n">
        <f aca="false">-('Reported Financials'!F165+'Reported Financials'!F174+'Reported Financials'!F176)</f>
        <v>1</v>
      </c>
      <c r="G262" s="36" t="n">
        <f aca="false">-('Reported Financials'!G165+'Reported Financials'!G174+'Reported Financials'!G176)</f>
        <v>-0</v>
      </c>
      <c r="H262" s="36" t="n">
        <f aca="false">-('Reported Financials'!H165+'Reported Financials'!H174+'Reported Financials'!H176)</f>
        <v>-1</v>
      </c>
      <c r="J262" s="30" t="s">
        <v>367</v>
      </c>
    </row>
    <row r="264" customFormat="false" ht="15" hidden="false" customHeight="false" outlineLevel="0" collapsed="false">
      <c r="B264" s="33" t="s">
        <v>368</v>
      </c>
      <c r="C264" s="34"/>
      <c r="D264" s="34"/>
      <c r="E264" s="35" t="n">
        <f aca="false">E250+E259+E261+E262</f>
        <v>3384</v>
      </c>
      <c r="F264" s="35" t="n">
        <f aca="false">F250+F259+F261+F262</f>
        <v>4706</v>
      </c>
      <c r="G264" s="35" t="n">
        <f aca="false">G250+G259+G261+G262</f>
        <v>5704</v>
      </c>
      <c r="H264" s="35" t="n">
        <f aca="false">H250+H259+H261+H262</f>
        <v>5245</v>
      </c>
      <c r="J264" s="30" t="s">
        <v>369</v>
      </c>
    </row>
    <row r="266" customFormat="false" ht="15" hidden="false" customHeight="false" outlineLevel="0" collapsed="false">
      <c r="B266" s="37" t="s">
        <v>370</v>
      </c>
      <c r="C266" s="28" t="s">
        <v>371</v>
      </c>
      <c r="J266" s="30" t="s">
        <v>372</v>
      </c>
    </row>
    <row r="267" customFormat="false" ht="15" hidden="false" customHeight="false" outlineLevel="0" collapsed="false">
      <c r="B267" s="27" t="s">
        <v>373</v>
      </c>
      <c r="C267" s="28" t="s">
        <v>371</v>
      </c>
      <c r="E267" s="29" t="n">
        <f aca="false">'Reported Financials'!E162</f>
        <v>517</v>
      </c>
      <c r="F267" s="29" t="n">
        <f aca="false">'Reported Financials'!F162</f>
        <v>1503</v>
      </c>
      <c r="G267" s="29" t="n">
        <f aca="false">'Reported Financials'!G162</f>
        <v>1871</v>
      </c>
      <c r="H267" s="29" t="n">
        <f aca="false">'Reported Financials'!H162</f>
        <v>1155</v>
      </c>
      <c r="J267" s="30" t="s">
        <v>374</v>
      </c>
    </row>
    <row r="268" customFormat="false" ht="15" hidden="false" customHeight="false" outlineLevel="0" collapsed="false">
      <c r="B268" s="27" t="s">
        <v>375</v>
      </c>
      <c r="C268" s="28" t="s">
        <v>371</v>
      </c>
      <c r="E268" s="29" t="n">
        <f aca="false">'Reported Financials'!E168</f>
        <v>454</v>
      </c>
      <c r="F268" s="29" t="n">
        <f aca="false">'Reported Financials'!F168</f>
        <v>410</v>
      </c>
      <c r="G268" s="29" t="n">
        <f aca="false">'Reported Financials'!G168</f>
        <v>552</v>
      </c>
      <c r="H268" s="29" t="n">
        <f aca="false">'Reported Financials'!H168</f>
        <v>126</v>
      </c>
      <c r="J268" s="30" t="s">
        <v>374</v>
      </c>
    </row>
    <row r="269" customFormat="false" ht="15" hidden="false" customHeight="false" outlineLevel="0" collapsed="false">
      <c r="B269" s="27" t="s">
        <v>376</v>
      </c>
      <c r="C269" s="28" t="s">
        <v>371</v>
      </c>
      <c r="E269" s="29" t="n">
        <f aca="false">'Reported Financials'!E198</f>
        <v>211</v>
      </c>
      <c r="F269" s="29" t="n">
        <f aca="false">'Reported Financials'!F198</f>
        <v>272</v>
      </c>
      <c r="G269" s="29" t="n">
        <f aca="false">'Reported Financials'!G198</f>
        <v>327</v>
      </c>
      <c r="H269" s="29" t="n">
        <f aca="false">'Reported Financials'!H198</f>
        <v>306</v>
      </c>
      <c r="J269" s="30" t="s">
        <v>377</v>
      </c>
    </row>
    <row r="270" customFormat="false" ht="15" hidden="false" customHeight="false" outlineLevel="0" collapsed="false">
      <c r="B270" s="27" t="s">
        <v>378</v>
      </c>
      <c r="C270" s="28" t="s">
        <v>371</v>
      </c>
      <c r="E270" s="36" t="n">
        <f aca="false">-'Reported Financials'!E142</f>
        <v>-545</v>
      </c>
      <c r="F270" s="36" t="n">
        <f aca="false">-'Reported Financials'!F142</f>
        <v>-850</v>
      </c>
      <c r="G270" s="36" t="n">
        <f aca="false">-'Reported Financials'!G142</f>
        <v>-1184</v>
      </c>
      <c r="H270" s="36" t="n">
        <f aca="false">-'Reported Financials'!H142</f>
        <v>-1650</v>
      </c>
      <c r="J270" s="30" t="s">
        <v>379</v>
      </c>
    </row>
    <row r="271" customFormat="false" ht="15" hidden="false" customHeight="false" outlineLevel="0" collapsed="false">
      <c r="B271" s="27" t="s">
        <v>380</v>
      </c>
      <c r="C271" s="28" t="s">
        <v>371</v>
      </c>
      <c r="E271" s="36" t="n">
        <f aca="false">-'Reported Financials'!E141</f>
        <v>-132</v>
      </c>
      <c r="F271" s="36" t="n">
        <f aca="false">-'Reported Financials'!F141</f>
        <v>-0</v>
      </c>
      <c r="G271" s="36" t="n">
        <f aca="false">-'Reported Financials'!G141</f>
        <v>-0</v>
      </c>
      <c r="H271" s="36" t="n">
        <f aca="false">-'Reported Financials'!H141</f>
        <v>-0</v>
      </c>
      <c r="J271" s="30" t="s">
        <v>381</v>
      </c>
    </row>
    <row r="272" customFormat="false" ht="15" hidden="false" customHeight="false" outlineLevel="0" collapsed="false">
      <c r="B272" s="33" t="s">
        <v>382</v>
      </c>
      <c r="C272" s="38" t="s">
        <v>371</v>
      </c>
      <c r="D272" s="34"/>
      <c r="E272" s="35" t="n">
        <f aca="false">E267+E268+E270+E271</f>
        <v>294</v>
      </c>
      <c r="F272" s="35" t="n">
        <f aca="false">F267+F268+F270+F271</f>
        <v>1063</v>
      </c>
      <c r="G272" s="35" t="n">
        <f aca="false">G267+G268+G270+G271</f>
        <v>1239</v>
      </c>
      <c r="H272" s="35" t="n">
        <f aca="false">H267+H268+H270+H271</f>
        <v>-369</v>
      </c>
      <c r="J272" s="30" t="s">
        <v>383</v>
      </c>
    </row>
    <row r="274" customFormat="false" ht="15" hidden="false" customHeight="false" outlineLevel="0" collapsed="false">
      <c r="B274" s="27" t="s">
        <v>384</v>
      </c>
      <c r="C274" s="28" t="s">
        <v>385</v>
      </c>
      <c r="E274" s="29" t="n">
        <f aca="false">'Reported Financials'!E156</f>
        <v>2819</v>
      </c>
      <c r="F274" s="29" t="n">
        <f aca="false">'Reported Financials'!F156</f>
        <v>3316</v>
      </c>
      <c r="G274" s="29" t="n">
        <f aca="false">'Reported Financials'!G156</f>
        <v>4050</v>
      </c>
      <c r="H274" s="29" t="n">
        <f aca="false">'Reported Financials'!H156</f>
        <v>5011</v>
      </c>
      <c r="J274" s="30" t="s">
        <v>386</v>
      </c>
    </row>
    <row r="275" customFormat="false" ht="15" hidden="false" customHeight="false" outlineLevel="0" collapsed="false">
      <c r="B275" s="27" t="s">
        <v>387</v>
      </c>
      <c r="C275" s="28" t="s">
        <v>385</v>
      </c>
      <c r="E275" s="29" t="n">
        <f aca="false">'Reported Financials'!E157</f>
        <v>271</v>
      </c>
      <c r="F275" s="29" t="n">
        <f aca="false">'Reported Financials'!F157</f>
        <v>327</v>
      </c>
      <c r="G275" s="29" t="n">
        <f aca="false">'Reported Financials'!G157</f>
        <v>414</v>
      </c>
      <c r="H275" s="29" t="n">
        <f aca="false">'Reported Financials'!H157</f>
        <v>604</v>
      </c>
      <c r="J275" s="30" t="s">
        <v>388</v>
      </c>
    </row>
    <row r="276" customFormat="false" ht="15" hidden="false" customHeight="false" outlineLevel="0" collapsed="false">
      <c r="B276" s="33" t="s">
        <v>389</v>
      </c>
      <c r="C276" s="34"/>
      <c r="D276" s="34"/>
      <c r="E276" s="35" t="n">
        <f aca="false">E274+E275+'Reported Financials'!E158</f>
        <v>3090</v>
      </c>
      <c r="F276" s="35" t="n">
        <f aca="false">F274+F275+'Reported Financials'!F158</f>
        <v>3643</v>
      </c>
      <c r="G276" s="35" t="n">
        <f aca="false">G274+G275+'Reported Financials'!G158</f>
        <v>4465</v>
      </c>
      <c r="H276" s="35" t="n">
        <f aca="false">H274+H275+'Reported Financials'!H158</f>
        <v>5614</v>
      </c>
    </row>
    <row r="278" customFormat="false" ht="15" hidden="false" customHeight="false" outlineLevel="0" collapsed="false">
      <c r="B278" s="33" t="s">
        <v>390</v>
      </c>
      <c r="C278" s="34"/>
      <c r="D278" s="34"/>
      <c r="E278" s="35" t="n">
        <f aca="false">E272+E276</f>
        <v>3384</v>
      </c>
      <c r="F278" s="35" t="n">
        <f aca="false">F272+F276</f>
        <v>4706</v>
      </c>
      <c r="G278" s="35" t="n">
        <f aca="false">G272+G276</f>
        <v>5704</v>
      </c>
      <c r="H278" s="35" t="n">
        <f aca="false">H272+H276</f>
        <v>5245</v>
      </c>
      <c r="J278" s="30" t="s">
        <v>391</v>
      </c>
    </row>
    <row r="280" customFormat="false" ht="15" hidden="false" customHeight="false" outlineLevel="0" collapsed="false">
      <c r="B280" s="37" t="s">
        <v>392</v>
      </c>
      <c r="C280" s="28" t="s">
        <v>393</v>
      </c>
    </row>
    <row r="281" customFormat="false" ht="15" hidden="false" customHeight="false" outlineLevel="0" collapsed="false">
      <c r="B281" s="27" t="s">
        <v>394</v>
      </c>
      <c r="C281" s="28" t="s">
        <v>393</v>
      </c>
      <c r="E281" s="36" t="n">
        <f aca="false">E227+E248</f>
        <v>6616</v>
      </c>
      <c r="F281" s="36" t="n">
        <f aca="false">F227+F248</f>
        <v>10249</v>
      </c>
      <c r="G281" s="36" t="n">
        <f aca="false">G227+G248</f>
        <v>12794</v>
      </c>
      <c r="H281" s="36" t="n">
        <f aca="false">H227+H248</f>
        <v>13611</v>
      </c>
      <c r="J281" s="30" t="s">
        <v>395</v>
      </c>
    </row>
    <row r="282" customFormat="false" ht="15" hidden="false" customHeight="false" outlineLevel="0" collapsed="false">
      <c r="B282" s="31" t="s">
        <v>396</v>
      </c>
      <c r="C282" s="28" t="s">
        <v>393</v>
      </c>
      <c r="E282" s="32" t="n">
        <f aca="false">E237/E281</f>
        <v>0.568319226118501</v>
      </c>
      <c r="F282" s="32" t="n">
        <f aca="false">F237/F281</f>
        <v>0.580056590886916</v>
      </c>
      <c r="G282" s="32" t="n">
        <f aca="false">G237/G281</f>
        <v>0.578708769735814</v>
      </c>
      <c r="H282" s="32" t="n">
        <f aca="false">H237/H281</f>
        <v>0.671736095804864</v>
      </c>
      <c r="J282" s="30" t="s">
        <v>397</v>
      </c>
    </row>
    <row r="283" customFormat="false" ht="15" hidden="false" customHeight="false" outlineLevel="0" collapsed="false">
      <c r="B283" s="27" t="s">
        <v>398</v>
      </c>
      <c r="C283" s="28" t="s">
        <v>393</v>
      </c>
      <c r="E283" s="36" t="n">
        <f aca="false">E272-E258</f>
        <v>283</v>
      </c>
      <c r="F283" s="36" t="n">
        <f aca="false">F272-F258</f>
        <v>1052</v>
      </c>
      <c r="G283" s="36" t="n">
        <f aca="false">G272-G258</f>
        <v>1220</v>
      </c>
      <c r="H283" s="36" t="n">
        <f aca="false">H272-H258</f>
        <v>-395</v>
      </c>
      <c r="J283" s="30" t="s">
        <v>399</v>
      </c>
    </row>
    <row r="284" customFormat="false" ht="15" hidden="false" customHeight="false" outlineLevel="0" collapsed="false">
      <c r="B284" s="27" t="s">
        <v>400</v>
      </c>
      <c r="C284" s="28" t="s">
        <v>393</v>
      </c>
      <c r="E284" s="36" t="n">
        <f aca="false">E250+E257</f>
        <v>3372</v>
      </c>
      <c r="F284" s="36" t="n">
        <f aca="false">F250+F257</f>
        <v>4694</v>
      </c>
      <c r="G284" s="36" t="n">
        <f aca="false">G250+G257</f>
        <v>5684</v>
      </c>
      <c r="H284" s="36" t="n">
        <f aca="false">H250+H257</f>
        <v>5218</v>
      </c>
      <c r="J284" s="30" t="s">
        <v>401</v>
      </c>
    </row>
    <row r="285" customFormat="false" ht="15" hidden="false" customHeight="false" outlineLevel="0" collapsed="false">
      <c r="B285" s="27" t="s">
        <v>402</v>
      </c>
      <c r="C285" s="28" t="s">
        <v>393</v>
      </c>
      <c r="E285" s="36" t="n">
        <f aca="false">E284+E261+E262-E283-E276</f>
        <v>0</v>
      </c>
      <c r="F285" s="36" t="n">
        <f aca="false">F284+F261+F262-F283-F276</f>
        <v>0</v>
      </c>
      <c r="G285" s="36" t="n">
        <f aca="false">G284+G261+G262-G283-G276</f>
        <v>0</v>
      </c>
      <c r="H285" s="36" t="n">
        <f aca="false">H284+H261+H262-H283-H276</f>
        <v>0</v>
      </c>
    </row>
    <row r="286" customFormat="false" ht="15" hidden="false" customHeight="false" outlineLevel="0" collapsed="false">
      <c r="B286" s="27" t="s">
        <v>403</v>
      </c>
      <c r="C286" s="28" t="s">
        <v>393</v>
      </c>
      <c r="E286" s="36" t="n">
        <f aca="false">E268+E270+E271</f>
        <v>-223</v>
      </c>
      <c r="F286" s="36" t="n">
        <f aca="false">F268+F270+F271</f>
        <v>-440</v>
      </c>
      <c r="G286" s="36" t="n">
        <f aca="false">G268+G270+G271</f>
        <v>-632</v>
      </c>
      <c r="H286" s="36" t="n">
        <f aca="false">H268+H270+H271</f>
        <v>-1524</v>
      </c>
      <c r="J286" s="30" t="s">
        <v>225</v>
      </c>
    </row>
    <row r="287" customFormat="false" ht="15" hidden="false" customHeight="false" outlineLevel="0" collapsed="false">
      <c r="B287" s="31" t="s">
        <v>404</v>
      </c>
      <c r="C287" s="28" t="s">
        <v>393</v>
      </c>
      <c r="F287" s="32" t="n">
        <f aca="false">F239/F12</f>
        <v>0.0328874024526198</v>
      </c>
      <c r="G287" s="32" t="n">
        <f aca="false">G239/G12</f>
        <v>-0.0239792611795204</v>
      </c>
      <c r="H287" s="32" t="n">
        <f aca="false">H239/H12</f>
        <v>-0.10045294413689</v>
      </c>
      <c r="J287" s="30" t="s">
        <v>405</v>
      </c>
    </row>
    <row r="288" customFormat="false" ht="15" hidden="false" customHeight="false" outlineLevel="0" collapsed="false">
      <c r="B288" s="31" t="s">
        <v>406</v>
      </c>
      <c r="C288" s="28" t="s">
        <v>393</v>
      </c>
      <c r="G288" s="32" t="n">
        <f aca="false">IFERROR((G239-F239)/(G12-F12),"n.a.")</f>
        <v>-0.781076066790353</v>
      </c>
      <c r="H288" s="32" t="n">
        <f aca="false">IFERROR((H239-G239)/(H12-G12),"n.a.")</f>
        <v>-0.366216216216216</v>
      </c>
      <c r="J288" s="30" t="s">
        <v>407</v>
      </c>
    </row>
    <row r="289" customFormat="false" ht="15" hidden="false" customHeight="false" outlineLevel="0" collapsed="false">
      <c r="B289" s="27" t="s">
        <v>408</v>
      </c>
      <c r="C289" s="28" t="s">
        <v>393</v>
      </c>
      <c r="E289" s="41" t="n">
        <f aca="false">(E237+E267+E268)/E276</f>
        <v>1.53106796116505</v>
      </c>
      <c r="F289" s="41" t="n">
        <f aca="false">(F237+F267+F268)/F276</f>
        <v>2.15701345045292</v>
      </c>
      <c r="G289" s="41" t="n">
        <f aca="false">(G237+G267+G268)/G276</f>
        <v>2.20089585666293</v>
      </c>
      <c r="H289" s="41" t="n">
        <f aca="false">(H237+H267+H268)/H276</f>
        <v>1.85678660491628</v>
      </c>
      <c r="J289" s="30" t="s">
        <v>409</v>
      </c>
    </row>
    <row r="290" customFormat="false" ht="15" hidden="false" customHeight="false" outlineLevel="0" collapsed="false">
      <c r="B290" s="27" t="s">
        <v>410</v>
      </c>
      <c r="C290" s="28" t="s">
        <v>393</v>
      </c>
      <c r="E290" s="41" t="n">
        <f aca="false">('Reported Financials'!E147-E276)/E276</f>
        <v>1.62006472491909</v>
      </c>
      <c r="F290" s="41" t="n">
        <f aca="false">('Reported Financials'!F147-F276)/F276</f>
        <v>2.21356025253912</v>
      </c>
      <c r="G290" s="41" t="n">
        <f aca="false">('Reported Financials'!G147-G276)/G276</f>
        <v>2.21254199328108</v>
      </c>
      <c r="H290" s="41" t="n">
        <f aca="false">('Reported Financials'!H147-H276)/H276</f>
        <v>1.98753117206983</v>
      </c>
      <c r="J290" s="30" t="s">
        <v>411</v>
      </c>
    </row>
    <row r="291" customFormat="false" ht="15" hidden="false" customHeight="false" outlineLevel="0" collapsed="false">
      <c r="B291" s="27" t="s">
        <v>412</v>
      </c>
      <c r="C291" s="28" t="s">
        <v>393</v>
      </c>
      <c r="E291" s="41" t="n">
        <f aca="false">(E267+E268)/E276</f>
        <v>0.314239482200647</v>
      </c>
      <c r="F291" s="41" t="n">
        <f aca="false">(F267+F268)/F276</f>
        <v>0.525116662091683</v>
      </c>
      <c r="G291" s="41" t="n">
        <f aca="false">(G267+G268)/G276</f>
        <v>0.542665173572228</v>
      </c>
      <c r="H291" s="41" t="n">
        <f aca="false">(H267+H268)/H276</f>
        <v>0.228179551122195</v>
      </c>
      <c r="J291" s="30" t="s">
        <v>413</v>
      </c>
    </row>
    <row r="292" customFormat="false" ht="15" hidden="false" customHeight="false" outlineLevel="0" collapsed="false">
      <c r="B292" s="31" t="s">
        <v>414</v>
      </c>
      <c r="C292" s="28" t="s">
        <v>393</v>
      </c>
      <c r="E292" s="32" t="n">
        <f aca="false">('Reported Financials'!E147-E276)/'Reported Financials'!E147</f>
        <v>0.618330039525692</v>
      </c>
      <c r="F292" s="32" t="n">
        <f aca="false">('Reported Financials'!F147-F276)/'Reported Financials'!F147</f>
        <v>0.688818655505253</v>
      </c>
      <c r="G292" s="32" t="n">
        <f aca="false">('Reported Financials'!G147-G276)/'Reported Financials'!G147</f>
        <v>0.688720022308979</v>
      </c>
      <c r="H292" s="32" t="n">
        <f aca="false">('Reported Financials'!H147-H276)/'Reported Financials'!H147</f>
        <v>0.665275459098498</v>
      </c>
      <c r="J292" s="30" t="s">
        <v>415</v>
      </c>
    </row>
    <row r="293" customFormat="false" ht="15" hidden="false" customHeight="false" outlineLevel="0" collapsed="false">
      <c r="B293" s="27" t="s">
        <v>416</v>
      </c>
      <c r="C293" s="28" t="s">
        <v>393</v>
      </c>
      <c r="E293" s="41" t="n">
        <f aca="false">E272/E276</f>
        <v>0.0951456310679612</v>
      </c>
      <c r="F293" s="41" t="n">
        <f aca="false">F272/F276</f>
        <v>0.291792478726324</v>
      </c>
      <c r="G293" s="41" t="n">
        <f aca="false">G272/G276</f>
        <v>0.277491601343785</v>
      </c>
      <c r="H293" s="41" t="n">
        <f aca="false">H272/H276</f>
        <v>-0.0657285358033488</v>
      </c>
      <c r="J293" s="30" t="s">
        <v>417</v>
      </c>
    </row>
    <row r="294" customFormat="false" ht="15" hidden="false" customHeight="false" outlineLevel="0" collapsed="false">
      <c r="B294" s="27" t="s">
        <v>418</v>
      </c>
      <c r="C294" s="28" t="s">
        <v>393</v>
      </c>
      <c r="E294" s="41" t="n">
        <f aca="false">E283/E276</f>
        <v>0.0915857605177994</v>
      </c>
      <c r="F294" s="41" t="n">
        <f aca="false">F283/F276</f>
        <v>0.288772989294538</v>
      </c>
      <c r="G294" s="41" t="n">
        <f aca="false">G283/G276</f>
        <v>0.273236282194849</v>
      </c>
      <c r="H294" s="41" t="n">
        <f aca="false">H283/H276</f>
        <v>-0.0703598147488422</v>
      </c>
      <c r="J294" s="30" t="s">
        <v>419</v>
      </c>
    </row>
    <row r="295" customFormat="false" ht="15" hidden="false" customHeight="false" outlineLevel="0" collapsed="false">
      <c r="B295" s="27" t="s">
        <v>420</v>
      </c>
      <c r="C295" s="28" t="s">
        <v>393</v>
      </c>
      <c r="F295" s="41" t="n">
        <f aca="false">F272/F30</f>
        <v>0.92194275802255</v>
      </c>
      <c r="G295" s="41" t="n">
        <f aca="false">G272/G30</f>
        <v>0.773408239700375</v>
      </c>
      <c r="H295" s="41" t="n">
        <f aca="false">H272/H30</f>
        <v>-0.188265306122449</v>
      </c>
      <c r="J295" s="30" t="s">
        <v>421</v>
      </c>
    </row>
    <row r="296" customFormat="false" ht="15" hidden="false" customHeight="false" outlineLevel="0" collapsed="false">
      <c r="B296" s="27" t="s">
        <v>422</v>
      </c>
      <c r="C296" s="28" t="s">
        <v>393</v>
      </c>
      <c r="E296" s="41" t="n">
        <f aca="false">(E267+E268)/E274</f>
        <v>0.344448385952465</v>
      </c>
      <c r="F296" s="41" t="n">
        <f aca="false">(F267+F268)/F274</f>
        <v>0.576899879372738</v>
      </c>
      <c r="G296" s="41" t="n">
        <f aca="false">(G267+G268)/G274</f>
        <v>0.598271604938272</v>
      </c>
      <c r="H296" s="41" t="n">
        <f aca="false">(H267+H268)/H274</f>
        <v>0.255637597285971</v>
      </c>
      <c r="J296" s="30" t="s">
        <v>423</v>
      </c>
    </row>
    <row r="297" customFormat="false" ht="15" hidden="false" customHeight="false" outlineLevel="0" collapsed="false">
      <c r="B297" s="31" t="s">
        <v>424</v>
      </c>
      <c r="C297" s="28" t="s">
        <v>393</v>
      </c>
      <c r="E297" s="32" t="n">
        <f aca="false">E275/E274</f>
        <v>0.0961333806314296</v>
      </c>
      <c r="F297" s="32" t="n">
        <f aca="false">F275/F274</f>
        <v>0.0986127864897467</v>
      </c>
      <c r="G297" s="32" t="n">
        <f aca="false">G275/G274</f>
        <v>0.102222222222222</v>
      </c>
      <c r="H297" s="32" t="n">
        <f aca="false">H275/H274</f>
        <v>0.120534823388545</v>
      </c>
      <c r="J297" s="30" t="s">
        <v>423</v>
      </c>
    </row>
    <row r="298" customFormat="false" ht="15" hidden="false" customHeight="false" outlineLevel="0" collapsed="false">
      <c r="B298" s="27" t="s">
        <v>425</v>
      </c>
      <c r="C298" s="28" t="s">
        <v>393</v>
      </c>
      <c r="E298" s="36" t="n">
        <f aca="false">'Reported Financials'!E147-E242</f>
        <v>7613</v>
      </c>
      <c r="F298" s="36" t="n">
        <f aca="false">'Reported Financials'!F147-F242</f>
        <v>10582</v>
      </c>
      <c r="G298" s="36" t="n">
        <f aca="false">'Reported Financials'!G147-G242</f>
        <v>12918</v>
      </c>
      <c r="H298" s="36" t="n">
        <f aca="false">'Reported Financials'!H147-H242</f>
        <v>15418</v>
      </c>
      <c r="J298" s="30" t="s">
        <v>426</v>
      </c>
    </row>
    <row r="299" customFormat="false" ht="15" hidden="false" customHeight="false" outlineLevel="0" collapsed="false">
      <c r="B299" s="27" t="s">
        <v>427</v>
      </c>
      <c r="C299" s="28" t="s">
        <v>393</v>
      </c>
      <c r="E299" s="36" t="n">
        <f aca="false">E276-E242</f>
        <v>2607</v>
      </c>
      <c r="F299" s="36" t="n">
        <f aca="false">F276-F242</f>
        <v>2518</v>
      </c>
      <c r="G299" s="36" t="n">
        <f aca="false">G276-G242</f>
        <v>3039</v>
      </c>
      <c r="H299" s="36" t="n">
        <f aca="false">H276-H242</f>
        <v>4260</v>
      </c>
      <c r="J299" s="30" t="s">
        <v>426</v>
      </c>
    </row>
    <row r="301" customFormat="false" ht="15" hidden="false" customHeight="false" outlineLevel="0" collapsed="false">
      <c r="A301" s="25" t="s">
        <v>11</v>
      </c>
      <c r="B301" s="26" t="s">
        <v>428</v>
      </c>
      <c r="C301" s="14"/>
      <c r="D301" s="14"/>
      <c r="E301" s="14"/>
      <c r="F301" s="14"/>
      <c r="G301" s="14"/>
      <c r="H301" s="14"/>
    </row>
    <row r="303" customFormat="false" ht="15" hidden="false" customHeight="false" outlineLevel="0" collapsed="false">
      <c r="B303" s="21" t="s">
        <v>429</v>
      </c>
      <c r="C303" s="28" t="s">
        <v>430</v>
      </c>
      <c r="H303" s="44" t="s">
        <v>431</v>
      </c>
      <c r="J303" s="30" t="s">
        <v>432</v>
      </c>
    </row>
    <row r="305" customFormat="false" ht="15" hidden="false" customHeight="false" outlineLevel="0" collapsed="false">
      <c r="B305" s="37" t="s">
        <v>433</v>
      </c>
      <c r="C305" s="28" t="s">
        <v>430</v>
      </c>
      <c r="J305" s="30" t="s">
        <v>434</v>
      </c>
    </row>
    <row r="306" customFormat="false" ht="15" hidden="false" customHeight="false" outlineLevel="0" collapsed="false">
      <c r="B306" s="27" t="s">
        <v>435</v>
      </c>
      <c r="C306" s="28" t="s">
        <v>430</v>
      </c>
      <c r="F306" s="36" t="n">
        <f aca="false">IF($H$303="AVG",(('Reported Financials'!F147)+('Reported Financials'!E147))/2,'Reported Financials'!F147)</f>
        <v>11707</v>
      </c>
      <c r="G306" s="36" t="n">
        <f aca="false">IF($H$303="AVG",(('Reported Financials'!G147)+('Reported Financials'!F147))/2,'Reported Financials'!G147)</f>
        <v>14344</v>
      </c>
      <c r="H306" s="36" t="n">
        <f aca="false">IF($H$303="AVG",(('Reported Financials'!H147)+('Reported Financials'!G147))/2,'Reported Financials'!H147)</f>
        <v>16772</v>
      </c>
      <c r="J306" s="30" t="s">
        <v>436</v>
      </c>
    </row>
    <row r="307" customFormat="false" ht="15" hidden="false" customHeight="false" outlineLevel="0" collapsed="false">
      <c r="B307" s="27" t="s">
        <v>437</v>
      </c>
      <c r="C307" s="28" t="s">
        <v>430</v>
      </c>
      <c r="F307" s="36" t="n">
        <f aca="false">IF($H$303="AVG",(('Reported Financials'!F147-F276)+('Reported Financials'!E147-E276))/2,'Reported Financials'!F147-F276)</f>
        <v>8064</v>
      </c>
      <c r="G307" s="36" t="n">
        <f aca="false">IF($H$303="AVG",(('Reported Financials'!G147-G276)+('Reported Financials'!F147-F276))/2,'Reported Financials'!G147-G276)</f>
        <v>9879</v>
      </c>
      <c r="H307" s="36" t="n">
        <f aca="false">IF($H$303="AVG",(('Reported Financials'!H147-H276)+('Reported Financials'!G147-G276))/2,'Reported Financials'!H147-H276)</f>
        <v>11158</v>
      </c>
      <c r="J307" s="30" t="s">
        <v>438</v>
      </c>
    </row>
    <row r="308" customFormat="false" ht="15" hidden="false" customHeight="false" outlineLevel="0" collapsed="false">
      <c r="B308" s="27" t="s">
        <v>439</v>
      </c>
      <c r="C308" s="28" t="s">
        <v>430</v>
      </c>
      <c r="F308" s="36" t="n">
        <f aca="false">IF($H$303="AVG",((F276)+(E276))/2,F276)</f>
        <v>3643</v>
      </c>
      <c r="G308" s="36" t="n">
        <f aca="false">IF($H$303="AVG",((G276)+(F276))/2,G276)</f>
        <v>4465</v>
      </c>
      <c r="H308" s="36" t="n">
        <f aca="false">IF($H$303="AVG",((H276)+(G276))/2,H276)</f>
        <v>5614</v>
      </c>
      <c r="J308" s="30" t="s">
        <v>385</v>
      </c>
    </row>
    <row r="309" customFormat="false" ht="15" hidden="false" customHeight="false" outlineLevel="0" collapsed="false">
      <c r="B309" s="27" t="s">
        <v>440</v>
      </c>
      <c r="C309" s="28" t="s">
        <v>430</v>
      </c>
      <c r="F309" s="36" t="n">
        <f aca="false">IF($H$303="AVG",((F281)+(E281))/2,F281)</f>
        <v>10249</v>
      </c>
      <c r="G309" s="36" t="n">
        <f aca="false">IF($H$303="AVG",((G281)+(F281))/2,G281)</f>
        <v>12794</v>
      </c>
      <c r="H309" s="36" t="n">
        <f aca="false">IF($H$303="AVG",((H281)+(G281))/2,H281)</f>
        <v>13611</v>
      </c>
      <c r="J309" s="30" t="s">
        <v>441</v>
      </c>
    </row>
    <row r="310" customFormat="false" ht="15" hidden="false" customHeight="false" outlineLevel="0" collapsed="false">
      <c r="B310" s="27" t="s">
        <v>442</v>
      </c>
      <c r="C310" s="28" t="s">
        <v>430</v>
      </c>
      <c r="F310" s="36" t="n">
        <f aca="false">IF($H$303="AVG",((F237)+(E237))/2,F237)</f>
        <v>5945</v>
      </c>
      <c r="G310" s="36" t="n">
        <f aca="false">IF($H$303="AVG",((G237)+(F237))/2,G237)</f>
        <v>7404</v>
      </c>
      <c r="H310" s="36" t="n">
        <f aca="false">IF($H$303="AVG",((H237)+(G237))/2,H237)</f>
        <v>9143</v>
      </c>
      <c r="J310" s="30" t="s">
        <v>314</v>
      </c>
    </row>
    <row r="311" customFormat="false" ht="15" hidden="false" customHeight="false" outlineLevel="0" collapsed="false">
      <c r="B311" s="27" t="s">
        <v>443</v>
      </c>
      <c r="C311" s="28" t="s">
        <v>430</v>
      </c>
      <c r="F311" s="36" t="n">
        <f aca="false">IF($H$303="AVG",((F250)+(E250))/2,F250)</f>
        <v>4304</v>
      </c>
      <c r="G311" s="36" t="n">
        <f aca="false">IF($H$303="AVG",((G250)+(F250))/2,G250)</f>
        <v>5390</v>
      </c>
      <c r="H311" s="36" t="n">
        <f aca="false">IF($H$303="AVG",((H250)+(G250))/2,H250)</f>
        <v>4468</v>
      </c>
      <c r="J311" s="30" t="s">
        <v>330</v>
      </c>
    </row>
    <row r="312" customFormat="false" ht="15" hidden="false" customHeight="false" outlineLevel="0" collapsed="false">
      <c r="B312" s="27" t="s">
        <v>444</v>
      </c>
      <c r="C312" s="28" t="s">
        <v>430</v>
      </c>
      <c r="F312" s="36" t="n">
        <f aca="false">IF($H$303="AVG",((F259)+(E259))/2,F259)</f>
        <v>401</v>
      </c>
      <c r="G312" s="36" t="n">
        <f aca="false">IF($H$303="AVG",((G259)+(F259))/2,G259)</f>
        <v>313</v>
      </c>
      <c r="H312" s="36" t="n">
        <f aca="false">IF($H$303="AVG",((H259)+(G259))/2,H259)</f>
        <v>776</v>
      </c>
      <c r="J312" s="30" t="s">
        <v>348</v>
      </c>
    </row>
    <row r="313" customFormat="false" ht="15" hidden="false" customHeight="false" outlineLevel="0" collapsed="false">
      <c r="B313" s="27" t="s">
        <v>445</v>
      </c>
      <c r="C313" s="28" t="s">
        <v>430</v>
      </c>
      <c r="F313" s="36" t="n">
        <f aca="false">IF($H$303="AVG",((F264)+(E264))/2,F264)</f>
        <v>4706</v>
      </c>
      <c r="G313" s="36" t="n">
        <f aca="false">IF($H$303="AVG",((G264)+(F264))/2,G264)</f>
        <v>5704</v>
      </c>
      <c r="H313" s="36" t="n">
        <f aca="false">IF($H$303="AVG",((H264)+(G264))/2,H264)</f>
        <v>5245</v>
      </c>
      <c r="J313" s="30" t="s">
        <v>446</v>
      </c>
    </row>
    <row r="314" customFormat="false" ht="15" hidden="false" customHeight="false" outlineLevel="0" collapsed="false">
      <c r="B314" s="27" t="s">
        <v>447</v>
      </c>
      <c r="C314" s="28" t="s">
        <v>430</v>
      </c>
      <c r="F314" s="36" t="n">
        <f aca="false">IF($H$303="AVG",((F253+F254+F258)+(E253+E254+E258))/2,F253+F254+F258)</f>
        <v>412</v>
      </c>
      <c r="G314" s="36" t="n">
        <f aca="false">IF($H$303="AVG",((G253+G254+G258)+(F253+F254+F258))/2,G253+G254+G258)</f>
        <v>365</v>
      </c>
      <c r="H314" s="36" t="n">
        <f aca="false">IF($H$303="AVG",((H253+H254+H258)+(G253+G254+G258))/2,H253+H254+H258)</f>
        <v>239</v>
      </c>
      <c r="J314" s="30" t="s">
        <v>448</v>
      </c>
    </row>
    <row r="315" customFormat="false" ht="15" hidden="false" customHeight="false" outlineLevel="0" collapsed="false">
      <c r="B315" s="27" t="s">
        <v>449</v>
      </c>
      <c r="C315" s="28" t="s">
        <v>430</v>
      </c>
      <c r="F315" s="36" t="n">
        <f aca="false">IF($H$303="AVG",((F267+F268)+(E267+E268))/2,F267+F268)</f>
        <v>1913</v>
      </c>
      <c r="G315" s="36" t="n">
        <f aca="false">IF($H$303="AVG",((G267+G268)+(F267+F268))/2,G267+G268)</f>
        <v>2423</v>
      </c>
      <c r="H315" s="36" t="n">
        <f aca="false">IF($H$303="AVG",((H267+H268)+(G267+G268))/2,H267+H268)</f>
        <v>1281</v>
      </c>
      <c r="J315" s="30" t="s">
        <v>450</v>
      </c>
    </row>
    <row r="316" customFormat="false" ht="15" hidden="false" customHeight="false" outlineLevel="0" collapsed="false">
      <c r="B316" s="27" t="s">
        <v>451</v>
      </c>
      <c r="C316" s="28" t="s">
        <v>430</v>
      </c>
      <c r="F316" s="36" t="n">
        <f aca="false">IF($H$303="AVG",((-F270-F271)+(-E270-E271))/2,-F270-F271)</f>
        <v>850</v>
      </c>
      <c r="G316" s="36" t="n">
        <f aca="false">IF($H$303="AVG",((-G270-G271)+(-F270-F271))/2,-G270-G271)</f>
        <v>1184</v>
      </c>
      <c r="H316" s="36" t="n">
        <f aca="false">IF($H$303="AVG",((-H270-H271)+(-G270-G271))/2,-H270-H271)</f>
        <v>1650</v>
      </c>
      <c r="J316" s="30" t="s">
        <v>371</v>
      </c>
    </row>
    <row r="317" customFormat="false" ht="15" hidden="false" customHeight="false" outlineLevel="0" collapsed="false">
      <c r="B317" s="27" t="s">
        <v>452</v>
      </c>
      <c r="C317" s="28" t="s">
        <v>430</v>
      </c>
      <c r="F317" s="36" t="n">
        <f aca="false">IF($H$303="AVG",((F272)+(E272))/2,F272)</f>
        <v>1063</v>
      </c>
      <c r="G317" s="36" t="n">
        <f aca="false">IF($H$303="AVG",((G272)+(F272))/2,G272)</f>
        <v>1239</v>
      </c>
      <c r="H317" s="36" t="n">
        <f aca="false">IF($H$303="AVG",((H272)+(G272))/2,H272)</f>
        <v>-369</v>
      </c>
      <c r="J317" s="30" t="s">
        <v>371</v>
      </c>
    </row>
    <row r="318" customFormat="false" ht="15" hidden="false" customHeight="false" outlineLevel="0" collapsed="false">
      <c r="B318" s="27" t="s">
        <v>453</v>
      </c>
      <c r="C318" s="28" t="s">
        <v>430</v>
      </c>
      <c r="F318" s="36" t="n">
        <f aca="false">IF($H$303="AVG",((F283)+(E283))/2,F283)</f>
        <v>1052</v>
      </c>
      <c r="G318" s="36" t="n">
        <f aca="false">IF($H$303="AVG",((G283)+(F283))/2,G283)</f>
        <v>1220</v>
      </c>
      <c r="H318" s="36" t="n">
        <f aca="false">IF($H$303="AVG",((H283)+(G283))/2,H283)</f>
        <v>-395</v>
      </c>
      <c r="J318" s="30" t="s">
        <v>454</v>
      </c>
    </row>
    <row r="319" customFormat="false" ht="15" hidden="false" customHeight="false" outlineLevel="0" collapsed="false">
      <c r="B319" s="27" t="s">
        <v>455</v>
      </c>
      <c r="C319" s="28" t="s">
        <v>430</v>
      </c>
      <c r="F319" s="36" t="n">
        <f aca="false">IF($H$303="AVG",((F257)+(E257))/2,F257)</f>
        <v>390</v>
      </c>
      <c r="G319" s="36" t="n">
        <f aca="false">IF($H$303="AVG",((G257)+(F257))/2,G257)</f>
        <v>294</v>
      </c>
      <c r="H319" s="36" t="n">
        <f aca="false">IF($H$303="AVG",((H257)+(G257))/2,H257)</f>
        <v>750</v>
      </c>
      <c r="J319" s="30" t="s">
        <v>456</v>
      </c>
    </row>
    <row r="320" customFormat="false" ht="15" hidden="false" customHeight="false" outlineLevel="0" collapsed="false">
      <c r="B320" s="27" t="s">
        <v>457</v>
      </c>
      <c r="C320" s="28" t="s">
        <v>430</v>
      </c>
      <c r="F320" s="36" t="n">
        <f aca="false">IF($H$303="AVG",((F284)+(E284))/2,F284)</f>
        <v>4694</v>
      </c>
      <c r="G320" s="36" t="n">
        <f aca="false">IF($H$303="AVG",((G284)+(F284))/2,G284)</f>
        <v>5684</v>
      </c>
      <c r="H320" s="36" t="n">
        <f aca="false">IF($H$303="AVG",((H284)+(G284))/2,H284)</f>
        <v>5218</v>
      </c>
      <c r="J320" s="30" t="s">
        <v>458</v>
      </c>
    </row>
    <row r="321" customFormat="false" ht="15" hidden="false" customHeight="false" outlineLevel="0" collapsed="false">
      <c r="B321" s="27" t="s">
        <v>459</v>
      </c>
      <c r="C321" s="28" t="s">
        <v>430</v>
      </c>
      <c r="F321" s="36" t="n">
        <f aca="false">IF($H$303="AVG",((F239)+(E239))/2,F239)</f>
        <v>236</v>
      </c>
      <c r="G321" s="36" t="n">
        <f aca="false">IF($H$303="AVG",((G239)+(F239))/2,G239)</f>
        <v>-185</v>
      </c>
      <c r="H321" s="36" t="n">
        <f aca="false">IF($H$303="AVG",((H239)+(G239))/2,H239)</f>
        <v>-998</v>
      </c>
      <c r="J321" s="30" t="s">
        <v>330</v>
      </c>
    </row>
    <row r="322" customFormat="false" ht="15" hidden="false" customHeight="false" outlineLevel="0" collapsed="false">
      <c r="B322" s="27" t="s">
        <v>304</v>
      </c>
      <c r="C322" s="28" t="s">
        <v>430</v>
      </c>
      <c r="F322" s="36" t="n">
        <f aca="false">IF($H$303="AVG",((F223)+(E223))/2,F223)</f>
        <v>2021</v>
      </c>
      <c r="G322" s="36" t="n">
        <f aca="false">IF($H$303="AVG",((G223)+(F223))/2,G223)</f>
        <v>1959</v>
      </c>
      <c r="H322" s="36" t="n">
        <f aca="false">IF($H$303="AVG",((H223)+(G223))/2,H223)</f>
        <v>1907</v>
      </c>
      <c r="J322" s="30" t="s">
        <v>298</v>
      </c>
    </row>
    <row r="323" customFormat="false" ht="15" hidden="false" customHeight="false" outlineLevel="0" collapsed="false">
      <c r="B323" s="27" t="s">
        <v>300</v>
      </c>
      <c r="C323" s="28" t="s">
        <v>430</v>
      </c>
      <c r="F323" s="36" t="n">
        <f aca="false">IF($H$303="AVG",((F221)+(E221))/2,F221)</f>
        <v>3244</v>
      </c>
      <c r="G323" s="36" t="n">
        <f aca="false">IF($H$303="AVG",((G221)+(F221))/2,G221)</f>
        <v>3989</v>
      </c>
      <c r="H323" s="36" t="n">
        <f aca="false">IF($H$303="AVG",((H221)+(G221))/2,H221)</f>
        <v>4721</v>
      </c>
      <c r="J323" s="30" t="s">
        <v>298</v>
      </c>
    </row>
    <row r="324" customFormat="false" ht="15" hidden="false" customHeight="false" outlineLevel="0" collapsed="false">
      <c r="B324" s="27" t="s">
        <v>316</v>
      </c>
      <c r="C324" s="28" t="s">
        <v>430</v>
      </c>
      <c r="F324" s="36" t="n">
        <f aca="false">IF($H$303="AVG",((F230)+(E230))/2,F230)</f>
        <v>1222</v>
      </c>
      <c r="G324" s="36" t="n">
        <f aca="false">IF($H$303="AVG",((G230)+(F230))/2,G230)</f>
        <v>1151</v>
      </c>
      <c r="H324" s="36" t="n">
        <f aca="false">IF($H$303="AVG",((H230)+(G230))/2,H230)</f>
        <v>1186</v>
      </c>
      <c r="J324" s="30" t="s">
        <v>314</v>
      </c>
    </row>
    <row r="325" customFormat="false" ht="15" hidden="false" customHeight="false" outlineLevel="0" collapsed="false">
      <c r="B325" s="27" t="s">
        <v>460</v>
      </c>
      <c r="C325" s="28" t="s">
        <v>430</v>
      </c>
      <c r="F325" s="36" t="n">
        <f aca="false">IF($H$303="AVG",((F245+F244)+(E245+E244))/2,F245+F244)</f>
        <v>1641</v>
      </c>
      <c r="G325" s="36" t="n">
        <f aca="false">IF($H$303="AVG",((G245+G244)+(F245+F244))/2,G245+G244)</f>
        <v>2187</v>
      </c>
      <c r="H325" s="36" t="n">
        <f aca="false">IF($H$303="AVG",((H245+H244)+(G245+G244))/2,H245+H244)</f>
        <v>2300</v>
      </c>
      <c r="J325" s="30" t="s">
        <v>461</v>
      </c>
    </row>
    <row r="326" customFormat="false" ht="15" hidden="false" customHeight="false" outlineLevel="0" collapsed="false">
      <c r="B326" s="27" t="s">
        <v>462</v>
      </c>
      <c r="C326" s="28" t="s">
        <v>430</v>
      </c>
      <c r="F326" s="36" t="n">
        <f aca="false">IF($H$303="AVG",((F245+F244+F242+F243)+(E245+E244+E242+E243))/2,F245+F244+F242+F243)</f>
        <v>3718</v>
      </c>
      <c r="G326" s="36" t="n">
        <f aca="false">IF($H$303="AVG",((G245+G244+G242+G243)+(F245+F244+F242+F243))/2,G245+G244+G242+G243)</f>
        <v>4989</v>
      </c>
      <c r="H326" s="36" t="n">
        <f aca="false">IF($H$303="AVG",((H245+H244+H242+H243)+(G245+G244+G242+G243))/2,H245+H244+H242+H243)</f>
        <v>4898</v>
      </c>
      <c r="J326" s="30" t="s">
        <v>463</v>
      </c>
    </row>
    <row r="327" customFormat="false" ht="15" hidden="false" customHeight="false" outlineLevel="0" collapsed="false">
      <c r="B327" s="27" t="s">
        <v>334</v>
      </c>
      <c r="C327" s="28" t="s">
        <v>430</v>
      </c>
      <c r="F327" s="36" t="n">
        <f aca="false">IF($H$303="AVG",((F242)+(E242))/2,F242)</f>
        <v>1125</v>
      </c>
      <c r="G327" s="36" t="n">
        <f aca="false">IF($H$303="AVG",((G242)+(F242))/2,G242)</f>
        <v>1426</v>
      </c>
      <c r="H327" s="36" t="n">
        <f aca="false">IF($H$303="AVG",((H242)+(G242))/2,H242)</f>
        <v>1354</v>
      </c>
      <c r="J327" s="30" t="s">
        <v>464</v>
      </c>
    </row>
    <row r="328" customFormat="false" ht="15" hidden="false" customHeight="false" outlineLevel="0" collapsed="false">
      <c r="B328" s="27" t="s">
        <v>465</v>
      </c>
      <c r="C328" s="28" t="s">
        <v>430</v>
      </c>
      <c r="F328" s="36" t="n">
        <f aca="false">IF($H$303="AVG",(('Reported Financials'!F211)+('Reported Financials'!E211))/2,'Reported Financials'!F211)</f>
        <v>3936</v>
      </c>
      <c r="G328" s="36" t="n">
        <f aca="false">IF($H$303="AVG",(('Reported Financials'!G211)+('Reported Financials'!F211))/2,'Reported Financials'!G211)</f>
        <v>4351</v>
      </c>
      <c r="H328" s="36" t="n">
        <f aca="false">IF($H$303="AVG",(('Reported Financials'!H211)+('Reported Financials'!G211))/2,'Reported Financials'!H211)</f>
        <v>3015</v>
      </c>
      <c r="J328" s="30" t="s">
        <v>466</v>
      </c>
    </row>
    <row r="329" customFormat="false" ht="15" hidden="false" customHeight="false" outlineLevel="0" collapsed="false">
      <c r="B329" s="27" t="s">
        <v>467</v>
      </c>
      <c r="C329" s="28" t="s">
        <v>430</v>
      </c>
      <c r="F329" s="36" t="n">
        <f aca="false">F309+F314</f>
        <v>10661</v>
      </c>
      <c r="G329" s="36" t="n">
        <f aca="false">G309+G314</f>
        <v>13159</v>
      </c>
      <c r="H329" s="36" t="n">
        <f aca="false">H309+H314</f>
        <v>13850</v>
      </c>
      <c r="J329" s="30" t="s">
        <v>468</v>
      </c>
    </row>
    <row r="330" customFormat="false" ht="15" hidden="false" customHeight="false" outlineLevel="0" collapsed="false">
      <c r="B330" s="27" t="s">
        <v>469</v>
      </c>
      <c r="C330" s="28" t="s">
        <v>430</v>
      </c>
      <c r="F330" s="36" t="n">
        <f aca="false">F311+F314</f>
        <v>4716</v>
      </c>
      <c r="G330" s="36" t="n">
        <f aca="false">G311+G314</f>
        <v>5755</v>
      </c>
      <c r="H330" s="36" t="n">
        <f aca="false">H311+H314</f>
        <v>4707</v>
      </c>
      <c r="J330" s="30" t="s">
        <v>470</v>
      </c>
    </row>
    <row r="332" customFormat="false" ht="15" hidden="false" customHeight="false" outlineLevel="0" collapsed="false">
      <c r="B332" s="37" t="s">
        <v>471</v>
      </c>
    </row>
    <row r="334" customFormat="false" ht="15" hidden="false" customHeight="false" outlineLevel="0" collapsed="false">
      <c r="B334" s="45" t="s">
        <v>472</v>
      </c>
      <c r="C334" s="38" t="s">
        <v>473</v>
      </c>
      <c r="D334" s="34"/>
      <c r="E334" s="34"/>
      <c r="F334" s="46" t="n">
        <f aca="false">'Reported Financials'!F78/F306</f>
        <v>0.0500555223370633</v>
      </c>
      <c r="G334" s="46" t="n">
        <f aca="false">'Reported Financials'!G78/G306</f>
        <v>0.0563301728945901</v>
      </c>
      <c r="H334" s="46" t="n">
        <f aca="false">'Reported Financials'!H78/H306</f>
        <v>0.0497853565466253</v>
      </c>
      <c r="J334" s="30" t="s">
        <v>474</v>
      </c>
    </row>
    <row r="336" customFormat="false" ht="15" hidden="false" customHeight="false" outlineLevel="0" collapsed="false">
      <c r="B336" s="37" t="s">
        <v>475</v>
      </c>
      <c r="C336" s="28" t="s">
        <v>476</v>
      </c>
      <c r="J336" s="30" t="s">
        <v>477</v>
      </c>
    </row>
    <row r="337" customFormat="false" ht="15" hidden="false" customHeight="false" outlineLevel="0" collapsed="false">
      <c r="B337" s="31" t="s">
        <v>478</v>
      </c>
      <c r="C337" s="28" t="s">
        <v>476</v>
      </c>
      <c r="F337" s="32" t="n">
        <f aca="false">F36/F309</f>
        <v>0.0820567860279052</v>
      </c>
      <c r="G337" s="32" t="n">
        <f aca="false">G36/G309</f>
        <v>0.102079099577927</v>
      </c>
      <c r="H337" s="32" t="n">
        <f aca="false">H36/H309</f>
        <v>0.11505400044082</v>
      </c>
      <c r="J337" s="30" t="s">
        <v>479</v>
      </c>
    </row>
    <row r="338" customFormat="false" ht="15" hidden="false" customHeight="false" outlineLevel="0" collapsed="false">
      <c r="B338" s="31" t="s">
        <v>480</v>
      </c>
      <c r="C338" s="28" t="s">
        <v>476</v>
      </c>
      <c r="F338" s="32" t="n">
        <f aca="false">F309/F329</f>
        <v>0.961354469561955</v>
      </c>
      <c r="G338" s="32" t="n">
        <f aca="false">G309/G329</f>
        <v>0.972262329964283</v>
      </c>
      <c r="H338" s="32" t="n">
        <f aca="false">H309/H329</f>
        <v>0.982743682310469</v>
      </c>
    </row>
    <row r="339" customFormat="false" ht="15" hidden="false" customHeight="false" outlineLevel="0" collapsed="false">
      <c r="B339" s="31" t="s">
        <v>481</v>
      </c>
      <c r="C339" s="28" t="s">
        <v>476</v>
      </c>
      <c r="F339" s="32" t="n">
        <f aca="false">F41/F314</f>
        <v>-0.0169902912621359</v>
      </c>
      <c r="G339" s="32" t="n">
        <f aca="false">G41/G314</f>
        <v>-0.115068493150685</v>
      </c>
      <c r="H339" s="32" t="n">
        <f aca="false">H41/H314</f>
        <v>-0.0878661087866109</v>
      </c>
      <c r="J339" s="30" t="s">
        <v>482</v>
      </c>
    </row>
    <row r="340" customFormat="false" ht="15" hidden="false" customHeight="false" outlineLevel="0" collapsed="false">
      <c r="B340" s="31" t="s">
        <v>483</v>
      </c>
      <c r="C340" s="28" t="s">
        <v>476</v>
      </c>
      <c r="F340" s="32" t="n">
        <f aca="false">F314/F329</f>
        <v>0.0386455304380452</v>
      </c>
      <c r="G340" s="32" t="n">
        <f aca="false">G314/G329</f>
        <v>0.027737670035717</v>
      </c>
      <c r="H340" s="32" t="n">
        <f aca="false">H314/H329</f>
        <v>0.0172563176895307</v>
      </c>
    </row>
    <row r="341" customFormat="false" ht="15" hidden="false" customHeight="false" outlineLevel="0" collapsed="false">
      <c r="B341" s="45" t="s">
        <v>484</v>
      </c>
      <c r="C341" s="38" t="s">
        <v>476</v>
      </c>
      <c r="D341" s="34"/>
      <c r="E341" s="34"/>
      <c r="F341" s="46" t="n">
        <f aca="false">F43/F329</f>
        <v>0.0782290591876935</v>
      </c>
      <c r="G341" s="46" t="n">
        <f aca="false">G43/G329</f>
        <v>0.0960559313017707</v>
      </c>
      <c r="H341" s="46" t="n">
        <f aca="false">H43/H329</f>
        <v>0.111552346570397</v>
      </c>
      <c r="J341" s="30" t="s">
        <v>485</v>
      </c>
    </row>
    <row r="342" customFormat="false" ht="15" hidden="false" customHeight="false" outlineLevel="0" collapsed="false">
      <c r="B342" s="31" t="s">
        <v>486</v>
      </c>
      <c r="C342" s="28" t="s">
        <v>476</v>
      </c>
      <c r="F342" s="32" t="n">
        <f aca="false">(F43+F46)/F306</f>
        <v>0.0737165798240369</v>
      </c>
      <c r="G342" s="32" t="n">
        <f aca="false">(G43+G46)/G306</f>
        <v>0.0890964863357501</v>
      </c>
      <c r="H342" s="32" t="n">
        <f aca="false">(H43+H46)/H306</f>
        <v>0.092356308132602</v>
      </c>
      <c r="J342" s="30" t="s">
        <v>487</v>
      </c>
    </row>
    <row r="343" customFormat="false" ht="52.5" hidden="false" customHeight="true" outlineLevel="0" collapsed="false">
      <c r="B343" s="47" t="s">
        <v>488</v>
      </c>
      <c r="C343" s="47"/>
      <c r="D343" s="47"/>
      <c r="E343" s="47"/>
      <c r="F343" s="47"/>
      <c r="G343" s="47"/>
      <c r="H343" s="47"/>
      <c r="I343" s="47"/>
      <c r="J343" s="47"/>
    </row>
    <row r="345" customFormat="false" ht="15" hidden="false" customHeight="false" outlineLevel="0" collapsed="false">
      <c r="B345" s="37" t="s">
        <v>489</v>
      </c>
      <c r="C345" s="28" t="s">
        <v>490</v>
      </c>
      <c r="J345" s="30" t="s">
        <v>491</v>
      </c>
    </row>
    <row r="346" customFormat="false" ht="15" hidden="false" customHeight="false" outlineLevel="0" collapsed="false">
      <c r="B346" s="31" t="s">
        <v>492</v>
      </c>
      <c r="C346" s="28" t="s">
        <v>490</v>
      </c>
      <c r="F346" s="32" t="n">
        <f aca="false">F36/F311</f>
        <v>0.195399628252788</v>
      </c>
      <c r="G346" s="32" t="n">
        <f aca="false">G36/G311</f>
        <v>0.242300556586271</v>
      </c>
      <c r="H346" s="32" t="n">
        <f aca="false">H36/H311</f>
        <v>0.350492390331244</v>
      </c>
      <c r="J346" s="30" t="s">
        <v>493</v>
      </c>
    </row>
    <row r="347" customFormat="false" ht="15" hidden="false" customHeight="false" outlineLevel="0" collapsed="false">
      <c r="B347" s="31" t="s">
        <v>494</v>
      </c>
      <c r="C347" s="28" t="s">
        <v>490</v>
      </c>
      <c r="F347" s="32" t="n">
        <f aca="false">F311/F330</f>
        <v>0.912637828668363</v>
      </c>
      <c r="G347" s="32" t="n">
        <f aca="false">G311/G330</f>
        <v>0.936576889661164</v>
      </c>
      <c r="H347" s="32" t="n">
        <f aca="false">H311/H330</f>
        <v>0.949224559167198</v>
      </c>
    </row>
    <row r="348" customFormat="false" ht="15" hidden="false" customHeight="false" outlineLevel="0" collapsed="false">
      <c r="B348" s="31" t="s">
        <v>481</v>
      </c>
      <c r="C348" s="28" t="s">
        <v>490</v>
      </c>
      <c r="F348" s="32" t="n">
        <f aca="false">F41/F314</f>
        <v>-0.0169902912621359</v>
      </c>
      <c r="G348" s="32" t="n">
        <f aca="false">G41/G314</f>
        <v>-0.115068493150685</v>
      </c>
      <c r="H348" s="32" t="n">
        <f aca="false">H41/H314</f>
        <v>-0.0878661087866109</v>
      </c>
      <c r="J348" s="30" t="s">
        <v>495</v>
      </c>
    </row>
    <row r="349" customFormat="false" ht="15" hidden="false" customHeight="false" outlineLevel="0" collapsed="false">
      <c r="B349" s="31" t="s">
        <v>496</v>
      </c>
      <c r="C349" s="28" t="s">
        <v>490</v>
      </c>
      <c r="F349" s="32" t="n">
        <f aca="false">F314/F330</f>
        <v>0.087362171331637</v>
      </c>
      <c r="G349" s="32" t="n">
        <f aca="false">G314/G330</f>
        <v>0.0634231103388358</v>
      </c>
      <c r="H349" s="32" t="n">
        <f aca="false">H314/H330</f>
        <v>0.0507754408328022</v>
      </c>
    </row>
    <row r="350" customFormat="false" ht="15" hidden="false" customHeight="false" outlineLevel="0" collapsed="false">
      <c r="B350" s="45" t="s">
        <v>497</v>
      </c>
      <c r="C350" s="38" t="s">
        <v>490</v>
      </c>
      <c r="D350" s="34"/>
      <c r="E350" s="34"/>
      <c r="F350" s="46" t="n">
        <f aca="false">F43/F330</f>
        <v>0.176844783715013</v>
      </c>
      <c r="G350" s="46" t="n">
        <f aca="false">G43/G330</f>
        <v>0.219635099913119</v>
      </c>
      <c r="H350" s="46" t="n">
        <f aca="false">H43/H330</f>
        <v>0.32823454429573</v>
      </c>
      <c r="J350" s="30" t="s">
        <v>498</v>
      </c>
    </row>
    <row r="351" customFormat="false" ht="40.5" hidden="false" customHeight="true" outlineLevel="0" collapsed="false">
      <c r="B351" s="47" t="s">
        <v>499</v>
      </c>
      <c r="C351" s="47"/>
      <c r="D351" s="47"/>
      <c r="E351" s="47"/>
      <c r="F351" s="47"/>
      <c r="G351" s="47"/>
      <c r="H351" s="47"/>
      <c r="I351" s="47"/>
      <c r="J351" s="47"/>
    </row>
    <row r="353" customFormat="false" ht="15" hidden="false" customHeight="false" outlineLevel="0" collapsed="false">
      <c r="B353" s="37" t="s">
        <v>500</v>
      </c>
      <c r="C353" s="28" t="s">
        <v>501</v>
      </c>
      <c r="J353" s="30" t="s">
        <v>502</v>
      </c>
    </row>
    <row r="354" customFormat="false" ht="15" hidden="false" customHeight="false" outlineLevel="0" collapsed="false">
      <c r="B354" s="31" t="s">
        <v>503</v>
      </c>
      <c r="C354" s="28" t="s">
        <v>501</v>
      </c>
      <c r="F354" s="32" t="n">
        <f aca="false">F36/F12</f>
        <v>0.117196209587514</v>
      </c>
      <c r="G354" s="32" t="n">
        <f aca="false">G36/G12</f>
        <v>0.169280622164614</v>
      </c>
      <c r="H354" s="32" t="n">
        <f aca="false">H36/H12</f>
        <v>0.157624559637645</v>
      </c>
      <c r="J354" s="30" t="s">
        <v>504</v>
      </c>
    </row>
    <row r="355" customFormat="false" ht="15" hidden="false" customHeight="false" outlineLevel="0" collapsed="false">
      <c r="B355" s="27" t="s">
        <v>505</v>
      </c>
      <c r="C355" s="28" t="s">
        <v>501</v>
      </c>
      <c r="F355" s="41" t="n">
        <f aca="false">F12/F309</f>
        <v>0.70016586984096</v>
      </c>
      <c r="G355" s="41" t="n">
        <f aca="false">G12/G309</f>
        <v>0.603017039237142</v>
      </c>
      <c r="H355" s="41" t="n">
        <f aca="false">H12/H309</f>
        <v>0.729924325912865</v>
      </c>
      <c r="J355" s="30" t="s">
        <v>506</v>
      </c>
    </row>
    <row r="356" customFormat="false" ht="15" hidden="false" customHeight="false" outlineLevel="0" collapsed="false">
      <c r="B356" s="27" t="s">
        <v>507</v>
      </c>
      <c r="C356" s="28" t="s">
        <v>501</v>
      </c>
      <c r="F356" s="41" t="n">
        <f aca="false">F309/F311</f>
        <v>2.38127323420074</v>
      </c>
      <c r="G356" s="41" t="n">
        <f aca="false">G309/G311</f>
        <v>2.37365491651206</v>
      </c>
      <c r="H356" s="41" t="n">
        <f aca="false">H309/H311</f>
        <v>3.04632945389436</v>
      </c>
      <c r="J356" s="30" t="s">
        <v>508</v>
      </c>
    </row>
    <row r="357" customFormat="false" ht="15" hidden="false" customHeight="false" outlineLevel="0" collapsed="false">
      <c r="B357" s="31" t="s">
        <v>509</v>
      </c>
      <c r="C357" s="28" t="s">
        <v>501</v>
      </c>
      <c r="F357" s="32" t="n">
        <f aca="false">F310/F309</f>
        <v>0.580056590886916</v>
      </c>
      <c r="G357" s="32" t="n">
        <f aca="false">G310/G309</f>
        <v>0.578708769735814</v>
      </c>
      <c r="H357" s="32" t="n">
        <f aca="false">H310/H309</f>
        <v>0.671736095804864</v>
      </c>
      <c r="J357" s="30" t="s">
        <v>510</v>
      </c>
    </row>
    <row r="358" customFormat="false" ht="15" hidden="false" customHeight="false" outlineLevel="0" collapsed="false">
      <c r="B358" s="27" t="s">
        <v>511</v>
      </c>
      <c r="C358" s="28" t="s">
        <v>501</v>
      </c>
      <c r="F358" s="41" t="n">
        <f aca="false">1/(1-F357)</f>
        <v>2.38127323420074</v>
      </c>
      <c r="G358" s="41" t="n">
        <f aca="false">1/(1-G357)</f>
        <v>2.37365491651206</v>
      </c>
      <c r="H358" s="41" t="n">
        <f aca="false">1/(1-H357)</f>
        <v>3.04632945389436</v>
      </c>
      <c r="J358" s="30" t="s">
        <v>512</v>
      </c>
    </row>
    <row r="359" customFormat="false" ht="15" hidden="false" customHeight="false" outlineLevel="0" collapsed="false">
      <c r="B359" s="45" t="s">
        <v>513</v>
      </c>
      <c r="C359" s="38" t="s">
        <v>501</v>
      </c>
      <c r="D359" s="34"/>
      <c r="E359" s="34"/>
      <c r="F359" s="46" t="n">
        <f aca="false">F354*F355*F356</f>
        <v>0.195399628252788</v>
      </c>
      <c r="G359" s="46" t="n">
        <f aca="false">G354*G355*G356</f>
        <v>0.242300556586271</v>
      </c>
      <c r="H359" s="46" t="n">
        <f aca="false">H354*H355*H356</f>
        <v>0.350492390331244</v>
      </c>
      <c r="J359" s="30" t="s">
        <v>514</v>
      </c>
    </row>
    <row r="360" customFormat="false" ht="15" hidden="false" customHeight="false" outlineLevel="0" collapsed="false">
      <c r="B360" s="31" t="s">
        <v>515</v>
      </c>
      <c r="C360" s="28" t="s">
        <v>501</v>
      </c>
      <c r="F360" s="32" t="n">
        <f aca="false">F354*F355</f>
        <v>0.0820567860279052</v>
      </c>
      <c r="G360" s="32" t="n">
        <f aca="false">G354*G355</f>
        <v>0.102079099577927</v>
      </c>
      <c r="H360" s="32" t="n">
        <f aca="false">H354*H355</f>
        <v>0.11505400044082</v>
      </c>
      <c r="J360" s="30" t="s">
        <v>516</v>
      </c>
    </row>
    <row r="362" customFormat="false" ht="15" hidden="false" customHeight="false" outlineLevel="0" collapsed="false">
      <c r="B362" s="31" t="s">
        <v>517</v>
      </c>
      <c r="C362" s="28" t="s">
        <v>501</v>
      </c>
      <c r="G362" s="32" t="n">
        <f aca="false">(G36+'Reported Financials'!G95)/G311</f>
        <v>0.256215213358071</v>
      </c>
      <c r="J362" s="30" t="s">
        <v>518</v>
      </c>
    </row>
    <row r="363" customFormat="false" ht="15" hidden="false" customHeight="false" outlineLevel="0" collapsed="false">
      <c r="B363" s="27" t="s">
        <v>519</v>
      </c>
      <c r="C363" s="28" t="s">
        <v>501</v>
      </c>
      <c r="G363" s="41" t="n">
        <f aca="false">(G12+'Reported Financials'!G94)/G309</f>
        <v>0.761841488197593</v>
      </c>
      <c r="J363" s="30" t="s">
        <v>520</v>
      </c>
    </row>
    <row r="364" customFormat="false" ht="15" hidden="false" customHeight="false" outlineLevel="0" collapsed="false">
      <c r="B364" s="31" t="s">
        <v>521</v>
      </c>
      <c r="C364" s="28" t="s">
        <v>501</v>
      </c>
      <c r="G364" s="32" t="n">
        <f aca="false">(G43+'Reported Financials'!G95)/G329</f>
        <v>0.101755452541986</v>
      </c>
      <c r="J364" s="30" t="s">
        <v>522</v>
      </c>
    </row>
    <row r="365" customFormat="false" ht="15" hidden="false" customHeight="false" outlineLevel="0" collapsed="false">
      <c r="B365" s="31" t="s">
        <v>523</v>
      </c>
      <c r="C365" s="28" t="s">
        <v>501</v>
      </c>
      <c r="G365" s="32" t="n">
        <f aca="false">(G43+'Reported Financials'!G95)/G330</f>
        <v>0.232667245873154</v>
      </c>
      <c r="J365" s="30" t="s">
        <v>522</v>
      </c>
    </row>
    <row r="366" customFormat="false" ht="52.5" hidden="false" customHeight="true" outlineLevel="0" collapsed="false">
      <c r="B366" s="47" t="s">
        <v>524</v>
      </c>
      <c r="C366" s="47"/>
      <c r="D366" s="47"/>
      <c r="E366" s="47"/>
      <c r="F366" s="47"/>
      <c r="G366" s="47"/>
      <c r="H366" s="47"/>
      <c r="I366" s="47"/>
      <c r="J366" s="47"/>
    </row>
    <row r="367" customFormat="false" ht="27.75" hidden="false" customHeight="true" outlineLevel="0" collapsed="false">
      <c r="B367" s="47" t="str">
        <f aca="false">"Reading (RONA): operating liabilities fund "&amp;TEXT(H357,"0%")&amp;" of gross operating assets in 2025, and customer advances alone are "&amp;TEXT('Reported Financials'!H169,"#,##0")&amp;". Treating them as operating liabilities is the course rule (Session 4 slide 8), but the RONA jump ("&amp;TEXT(G359,"0.0%")&amp;" → "&amp;TEXT(H359,"0.0%")&amp;") comes from customers pre-financing Rheinmetall (gross/net "&amp;TEXT(G356,"0.00x")&amp;" → "&amp;TEXT(H356,"0.00x")&amp;"), not from higher margins: ROS "&amp;TEXT(G354,"0.0%")&amp;" → "&amp;TEXT(H354,"0.0%")&amp;"."</f>
        <v>Reading (RONA): operating liabilities fund 67% of gross operating assets in 2025, and customer advances alone are 5,642. Treating them as operating liabilities is the course rule (Session 4 slide 8), but the RONA jump (24.2% → 35.0%) comes from customers pre-financing Rheinmetall (gross/net 2.37x → 3.05x), not from higher margins: ROS 16.9% → 15.8%.</v>
      </c>
      <c r="C367" s="47"/>
      <c r="D367" s="47"/>
      <c r="E367" s="47"/>
      <c r="F367" s="47"/>
      <c r="G367" s="47"/>
      <c r="H367" s="47"/>
      <c r="I367" s="47"/>
      <c r="J367" s="47"/>
    </row>
    <row r="368" customFormat="false" ht="27.75" hidden="false" customHeight="true" outlineLevel="0" collapsed="false">
      <c r="B368" s="47" t="s">
        <v>525</v>
      </c>
      <c r="C368" s="47"/>
      <c r="D368" s="47"/>
      <c r="E368" s="47"/>
      <c r="F368" s="47"/>
      <c r="G368" s="47"/>
      <c r="H368" s="47"/>
      <c r="I368" s="47"/>
      <c r="J368" s="47"/>
    </row>
    <row r="369" customFormat="false" ht="15" hidden="false" customHeight="false" outlineLevel="0" collapsed="false">
      <c r="B369" s="37" t="s">
        <v>526</v>
      </c>
      <c r="C369" s="28" t="s">
        <v>527</v>
      </c>
    </row>
    <row r="370" customFormat="false" ht="15" hidden="false" customHeight="false" outlineLevel="0" collapsed="false">
      <c r="B370" s="31" t="s">
        <v>404</v>
      </c>
      <c r="C370" s="28" t="s">
        <v>527</v>
      </c>
      <c r="F370" s="32" t="n">
        <f aca="false">F321/F12</f>
        <v>0.0328874024526198</v>
      </c>
      <c r="G370" s="32" t="n">
        <f aca="false">G321/G12</f>
        <v>-0.0239792611795204</v>
      </c>
      <c r="H370" s="32" t="n">
        <f aca="false">H321/H12</f>
        <v>-0.10045294413689</v>
      </c>
      <c r="J370" s="30" t="s">
        <v>528</v>
      </c>
    </row>
    <row r="371" customFormat="false" ht="15" hidden="false" customHeight="false" outlineLevel="0" collapsed="false">
      <c r="B371" s="27" t="s">
        <v>529</v>
      </c>
      <c r="C371" s="28" t="s">
        <v>527</v>
      </c>
      <c r="F371" s="48" t="n">
        <f aca="false">F322/(F12/360)</f>
        <v>101.387959866221</v>
      </c>
      <c r="G371" s="48" t="n">
        <f aca="false">G322/(G12/360)</f>
        <v>91.4115359688918</v>
      </c>
      <c r="H371" s="48" t="n">
        <f aca="false">H322/(H12/360)</f>
        <v>69.1011575239054</v>
      </c>
      <c r="J371" s="30" t="s">
        <v>530</v>
      </c>
    </row>
    <row r="372" customFormat="false" ht="15" hidden="false" customHeight="false" outlineLevel="0" collapsed="false">
      <c r="B372" s="27" t="s">
        <v>531</v>
      </c>
      <c r="C372" s="28" t="s">
        <v>527</v>
      </c>
      <c r="F372" s="48" t="n">
        <f aca="false">F323/((-F18-F19-F14)/360)</f>
        <v>350.808050465605</v>
      </c>
      <c r="G372" s="48" t="n">
        <f aca="false">G323/((-G18-G19-G14)/360)</f>
        <v>389.487388120423</v>
      </c>
      <c r="H372" s="48" t="n">
        <f aca="false">H323/((-H18-H19-H14)/360)</f>
        <v>350.713990920347</v>
      </c>
      <c r="J372" s="30" t="s">
        <v>532</v>
      </c>
    </row>
    <row r="373" customFormat="false" ht="15" hidden="false" customHeight="false" outlineLevel="0" collapsed="false">
      <c r="B373" s="27" t="s">
        <v>533</v>
      </c>
      <c r="C373" s="28" t="s">
        <v>527</v>
      </c>
      <c r="F373" s="48" t="n">
        <f aca="false">F324/((-F18-F19)/360)</f>
        <v>111.768292682927</v>
      </c>
      <c r="G373" s="48" t="n">
        <f aca="false">G324/((-G18-G19)/360)</f>
        <v>112.201462225833</v>
      </c>
      <c r="H373" s="48" t="n">
        <f aca="false">H324/((-H18-H19)/360)</f>
        <v>81.2792689891491</v>
      </c>
      <c r="J373" s="30" t="s">
        <v>534</v>
      </c>
    </row>
    <row r="374" customFormat="false" ht="15" hidden="false" customHeight="false" outlineLevel="0" collapsed="false">
      <c r="B374" s="33" t="s">
        <v>535</v>
      </c>
      <c r="C374" s="38" t="s">
        <v>527</v>
      </c>
      <c r="D374" s="34"/>
      <c r="E374" s="34"/>
      <c r="F374" s="49" t="n">
        <f aca="false">F371+F372-F373</f>
        <v>340.427717648899</v>
      </c>
      <c r="G374" s="49" t="n">
        <f aca="false">G371+G372-G373</f>
        <v>368.697461863482</v>
      </c>
      <c r="H374" s="49" t="n">
        <f aca="false">H371+H372-H373</f>
        <v>338.535879455103</v>
      </c>
      <c r="J374" s="30" t="s">
        <v>536</v>
      </c>
    </row>
    <row r="375" customFormat="false" ht="52.5" hidden="false" customHeight="true" outlineLevel="0" collapsed="false">
      <c r="B375" s="47" t="s">
        <v>537</v>
      </c>
      <c r="C375" s="47"/>
      <c r="D375" s="47"/>
      <c r="E375" s="47"/>
      <c r="F375" s="47"/>
      <c r="G375" s="47"/>
      <c r="H375" s="47"/>
      <c r="I375" s="47"/>
      <c r="J375" s="47"/>
    </row>
    <row r="376" customFormat="false" ht="15" hidden="false" customHeight="false" outlineLevel="0" collapsed="false">
      <c r="B376" s="27" t="s">
        <v>538</v>
      </c>
      <c r="C376" s="28" t="s">
        <v>527</v>
      </c>
      <c r="F376" s="41" t="n">
        <f aca="false">F12/F325</f>
        <v>4.37294332723949</v>
      </c>
      <c r="G376" s="41" t="n">
        <f aca="false">G12/G325</f>
        <v>3.52766346593507</v>
      </c>
      <c r="H376" s="41" t="n">
        <f aca="false">H12/H325</f>
        <v>4.3195652173913</v>
      </c>
      <c r="J376" s="30" t="s">
        <v>539</v>
      </c>
    </row>
    <row r="377" customFormat="false" ht="15" hidden="false" customHeight="false" outlineLevel="0" collapsed="false">
      <c r="B377" s="27" t="s">
        <v>540</v>
      </c>
      <c r="C377" s="28" t="s">
        <v>527</v>
      </c>
      <c r="F377" s="41" t="n">
        <f aca="false">F12/F326</f>
        <v>1.93006993006993</v>
      </c>
      <c r="G377" s="41" t="n">
        <f aca="false">G12/G326</f>
        <v>1.54640208458609</v>
      </c>
      <c r="H377" s="41" t="n">
        <f aca="false">H12/H326</f>
        <v>2.02837893017558</v>
      </c>
      <c r="J377" s="30" t="s">
        <v>541</v>
      </c>
    </row>
    <row r="378" customFormat="false" ht="15" hidden="false" customHeight="false" outlineLevel="0" collapsed="false">
      <c r="B378" s="27" t="s">
        <v>542</v>
      </c>
      <c r="C378" s="28" t="s">
        <v>527</v>
      </c>
      <c r="F378" s="36" t="n">
        <f aca="false">-('Reported Financials'!F221+'Reported Financials'!F222)</f>
        <v>396</v>
      </c>
      <c r="G378" s="36" t="n">
        <f aca="false">-('Reported Financials'!G221+'Reported Financials'!G222)</f>
        <v>722</v>
      </c>
      <c r="H378" s="36" t="n">
        <f aca="false">-('Reported Financials'!H221+'Reported Financials'!H222)</f>
        <v>862</v>
      </c>
      <c r="J378" s="30" t="s">
        <v>543</v>
      </c>
    </row>
    <row r="379" customFormat="false" ht="15" hidden="false" customHeight="false" outlineLevel="0" collapsed="false">
      <c r="B379" s="31" t="s">
        <v>544</v>
      </c>
      <c r="C379" s="28" t="s">
        <v>527</v>
      </c>
      <c r="F379" s="32" t="n">
        <f aca="false">F378/F12</f>
        <v>0.0551839464882943</v>
      </c>
      <c r="G379" s="32" t="n">
        <f aca="false">G378/G12</f>
        <v>0.0935839274141283</v>
      </c>
      <c r="H379" s="32" t="n">
        <f aca="false">H378/H12</f>
        <v>0.0867639657775541</v>
      </c>
      <c r="J379" s="30" t="s">
        <v>545</v>
      </c>
    </row>
    <row r="380" customFormat="false" ht="15" hidden="false" customHeight="false" outlineLevel="0" collapsed="false">
      <c r="B380" s="27" t="s">
        <v>546</v>
      </c>
      <c r="C380" s="28" t="s">
        <v>527</v>
      </c>
      <c r="F380" s="41" t="n">
        <f aca="false">F378/'Reported Financials'!F220</f>
        <v>1.28571428571429</v>
      </c>
      <c r="G380" s="41" t="n">
        <f aca="false">G378/'Reported Financials'!G220</f>
        <v>1.79156327543424</v>
      </c>
      <c r="H380" s="41" t="n">
        <f aca="false">H378/'Reported Financials'!H220</f>
        <v>1.72055888223553</v>
      </c>
      <c r="J380" s="30" t="s">
        <v>547</v>
      </c>
    </row>
    <row r="381" customFormat="false" ht="15" hidden="false" customHeight="false" outlineLevel="0" collapsed="false">
      <c r="B381" s="27" t="s">
        <v>548</v>
      </c>
      <c r="C381" s="28" t="s">
        <v>527</v>
      </c>
      <c r="F381" s="41" t="n">
        <f aca="false">F378/-F34</f>
        <v>1.3112582781457</v>
      </c>
      <c r="G381" s="41" t="n">
        <f aca="false">G378/-G34</f>
        <v>2.54225352112676</v>
      </c>
      <c r="H381" s="41" t="n">
        <f aca="false">H378/-H34</f>
        <v>2.2159383033419</v>
      </c>
      <c r="J381" s="30" t="s">
        <v>549</v>
      </c>
    </row>
    <row r="383" customFormat="false" ht="15" hidden="false" customHeight="false" outlineLevel="0" collapsed="false">
      <c r="B383" s="37" t="s">
        <v>550</v>
      </c>
    </row>
    <row r="384" customFormat="false" ht="15" hidden="false" customHeight="false" outlineLevel="0" collapsed="false">
      <c r="B384" s="27" t="s">
        <v>551</v>
      </c>
      <c r="C384" s="28" t="s">
        <v>552</v>
      </c>
      <c r="F384" s="36" t="n">
        <f aca="false">F311-F327</f>
        <v>3179</v>
      </c>
      <c r="G384" s="36" t="n">
        <f aca="false">G311-G327</f>
        <v>3964</v>
      </c>
      <c r="H384" s="36" t="n">
        <f aca="false">H311-H327</f>
        <v>3114</v>
      </c>
      <c r="J384" s="30" t="s">
        <v>553</v>
      </c>
    </row>
    <row r="385" customFormat="false" ht="15" hidden="false" customHeight="false" outlineLevel="0" collapsed="false">
      <c r="B385" s="45" t="s">
        <v>554</v>
      </c>
      <c r="C385" s="38" t="s">
        <v>552</v>
      </c>
      <c r="D385" s="34"/>
      <c r="E385" s="34"/>
      <c r="F385" s="46" t="n">
        <f aca="false">F36/F384</f>
        <v>0.264548600188739</v>
      </c>
      <c r="G385" s="46" t="n">
        <f aca="false">G36/G384</f>
        <v>0.329465186680121</v>
      </c>
      <c r="H385" s="46" t="n">
        <f aca="false">H36/H384</f>
        <v>0.502890173410405</v>
      </c>
      <c r="J385" s="30" t="s">
        <v>555</v>
      </c>
    </row>
    <row r="386" customFormat="false" ht="15" hidden="false" customHeight="false" outlineLevel="0" collapsed="false">
      <c r="B386" s="27" t="s">
        <v>556</v>
      </c>
      <c r="C386" s="28" t="s">
        <v>557</v>
      </c>
      <c r="F386" s="36" t="n">
        <f aca="false">F309+F328</f>
        <v>14185</v>
      </c>
      <c r="G386" s="36" t="n">
        <f aca="false">G309+G328</f>
        <v>17145</v>
      </c>
      <c r="H386" s="36" t="n">
        <f aca="false">H309+H328</f>
        <v>16626</v>
      </c>
      <c r="J386" s="30" t="s">
        <v>558</v>
      </c>
    </row>
    <row r="387" customFormat="false" ht="15" hidden="false" customHeight="false" outlineLevel="0" collapsed="false">
      <c r="B387" s="45" t="s">
        <v>559</v>
      </c>
      <c r="C387" s="38" t="s">
        <v>557</v>
      </c>
      <c r="D387" s="34"/>
      <c r="E387" s="34"/>
      <c r="F387" s="46" t="n">
        <f aca="false">F36/F386</f>
        <v>0.0592879802608389</v>
      </c>
      <c r="G387" s="46" t="n">
        <f aca="false">G36/G386</f>
        <v>0.0761738116068825</v>
      </c>
      <c r="H387" s="46" t="n">
        <f aca="false">H36/H386</f>
        <v>0.0941898231685312</v>
      </c>
      <c r="J387" s="30" t="s">
        <v>560</v>
      </c>
    </row>
    <row r="388" customFormat="false" ht="15" hidden="false" customHeight="false" outlineLevel="0" collapsed="false">
      <c r="B388" s="27" t="s">
        <v>561</v>
      </c>
      <c r="C388" s="28" t="s">
        <v>562</v>
      </c>
      <c r="F388" s="40" t="s">
        <v>563</v>
      </c>
      <c r="G388" s="40" t="s">
        <v>563</v>
      </c>
      <c r="H388" s="40" t="s">
        <v>563</v>
      </c>
      <c r="J388" s="30" t="s">
        <v>564</v>
      </c>
    </row>
    <row r="390" customFormat="false" ht="15" hidden="false" customHeight="false" outlineLevel="0" collapsed="false">
      <c r="B390" s="37" t="s">
        <v>565</v>
      </c>
    </row>
    <row r="392" customFormat="false" ht="15" hidden="false" customHeight="false" outlineLevel="0" collapsed="false">
      <c r="B392" s="45" t="s">
        <v>566</v>
      </c>
      <c r="C392" s="38" t="s">
        <v>567</v>
      </c>
      <c r="D392" s="34"/>
      <c r="E392" s="34"/>
      <c r="F392" s="46" t="n">
        <f aca="false">F81/F308</f>
        <v>0.163875926434257</v>
      </c>
      <c r="G392" s="46" t="n">
        <f aca="false">G81/G308</f>
        <v>0.223740201567749</v>
      </c>
      <c r="H392" s="46" t="n">
        <f aca="false">H81/H308</f>
        <v>0.140007125044532</v>
      </c>
      <c r="J392" s="30" t="s">
        <v>568</v>
      </c>
    </row>
    <row r="393" customFormat="false" ht="15" hidden="false" customHeight="false" outlineLevel="0" collapsed="false">
      <c r="B393" s="31" t="s">
        <v>569</v>
      </c>
      <c r="C393" s="28" t="s">
        <v>567</v>
      </c>
      <c r="F393" s="32" t="n">
        <f aca="false">'Reported Financials'!F78/F308</f>
        <v>0.160856437002471</v>
      </c>
      <c r="G393" s="32" t="n">
        <f aca="false">'Reported Financials'!G78/G308</f>
        <v>0.180963045912654</v>
      </c>
      <c r="H393" s="32" t="n">
        <f aca="false">'Reported Financials'!H78/H308</f>
        <v>0.148735304595654</v>
      </c>
      <c r="J393" s="30" t="s">
        <v>570</v>
      </c>
    </row>
    <row r="394" customFormat="false" ht="15" hidden="false" customHeight="false" outlineLevel="0" collapsed="false">
      <c r="B394" s="31" t="s">
        <v>571</v>
      </c>
      <c r="C394" s="28" t="s">
        <v>567</v>
      </c>
      <c r="F394" s="32" t="n">
        <f aca="false">'Reported Financials'!F119/F308</f>
        <v>0.00301948943178699</v>
      </c>
      <c r="G394" s="32" t="n">
        <f aca="false">'Reported Financials'!G119/G308</f>
        <v>0.0427771556550952</v>
      </c>
      <c r="H394" s="32" t="n">
        <f aca="false">'Reported Financials'!H119/H308</f>
        <v>-0.00872817955112219</v>
      </c>
      <c r="J394" s="30" t="s">
        <v>572</v>
      </c>
    </row>
    <row r="395" customFormat="false" ht="52.5" hidden="false" customHeight="true" outlineLevel="0" collapsed="false">
      <c r="B395" s="47" t="s">
        <v>573</v>
      </c>
      <c r="C395" s="47"/>
      <c r="D395" s="47"/>
      <c r="E395" s="47"/>
      <c r="F395" s="47"/>
      <c r="G395" s="47"/>
      <c r="H395" s="47"/>
      <c r="I395" s="47"/>
      <c r="J395" s="47"/>
    </row>
    <row r="397" customFormat="false" ht="15" hidden="false" customHeight="false" outlineLevel="0" collapsed="false">
      <c r="B397" s="37" t="s">
        <v>574</v>
      </c>
      <c r="C397" s="28" t="s">
        <v>575</v>
      </c>
      <c r="J397" s="30" t="s">
        <v>576</v>
      </c>
    </row>
    <row r="398" customFormat="false" ht="15" hidden="false" customHeight="false" outlineLevel="0" collapsed="false">
      <c r="B398" s="31" t="s">
        <v>577</v>
      </c>
      <c r="C398" s="28" t="s">
        <v>575</v>
      </c>
      <c r="F398" s="32" t="n">
        <f aca="false">'Reported Financials'!F78/F12</f>
        <v>0.0816610925306577</v>
      </c>
      <c r="G398" s="32" t="n">
        <f aca="false">'Reported Financials'!G78/G12</f>
        <v>0.104731043421905</v>
      </c>
      <c r="H398" s="32" t="n">
        <f aca="false">'Reported Financials'!H78/H12</f>
        <v>0.0840463009562154</v>
      </c>
    </row>
    <row r="399" customFormat="false" ht="15" hidden="false" customHeight="false" outlineLevel="0" collapsed="false">
      <c r="B399" s="27" t="s">
        <v>578</v>
      </c>
      <c r="C399" s="28" t="s">
        <v>575</v>
      </c>
      <c r="F399" s="41" t="n">
        <f aca="false">F12/F306</f>
        <v>0.612966601178782</v>
      </c>
      <c r="G399" s="41" t="n">
        <f aca="false">G12/G306</f>
        <v>0.537855549358617</v>
      </c>
      <c r="H399" s="41" t="n">
        <f aca="false">H12/H306</f>
        <v>0.592356308132602</v>
      </c>
    </row>
    <row r="400" customFormat="false" ht="15" hidden="false" customHeight="false" outlineLevel="0" collapsed="false">
      <c r="B400" s="27" t="s">
        <v>579</v>
      </c>
      <c r="C400" s="28" t="s">
        <v>575</v>
      </c>
      <c r="F400" s="41" t="n">
        <f aca="false">F306/F308</f>
        <v>3.21356025253912</v>
      </c>
      <c r="G400" s="41" t="n">
        <f aca="false">G306/G308</f>
        <v>3.21254199328108</v>
      </c>
      <c r="H400" s="41" t="n">
        <f aca="false">H306/H308</f>
        <v>2.98753117206983</v>
      </c>
    </row>
    <row r="401" customFormat="false" ht="15" hidden="false" customHeight="false" outlineLevel="0" collapsed="false">
      <c r="B401" s="27" t="s">
        <v>580</v>
      </c>
      <c r="C401" s="28" t="s">
        <v>575</v>
      </c>
      <c r="F401" s="41" t="n">
        <f aca="false">1+F307/F308</f>
        <v>3.21356025253912</v>
      </c>
      <c r="G401" s="41" t="n">
        <f aca="false">1+G307/G308</f>
        <v>3.21254199328108</v>
      </c>
      <c r="H401" s="41" t="n">
        <f aca="false">1+H307/H308</f>
        <v>2.98753117206983</v>
      </c>
      <c r="J401" s="30" t="s">
        <v>581</v>
      </c>
    </row>
    <row r="402" customFormat="false" ht="15" hidden="false" customHeight="false" outlineLevel="0" collapsed="false">
      <c r="B402" s="45" t="s">
        <v>582</v>
      </c>
      <c r="C402" s="38" t="s">
        <v>575</v>
      </c>
      <c r="D402" s="34"/>
      <c r="E402" s="34"/>
      <c r="F402" s="46" t="n">
        <f aca="false">F398*F399*F400</f>
        <v>0.160856437002471</v>
      </c>
      <c r="G402" s="46" t="n">
        <f aca="false">G398*G399*G400</f>
        <v>0.180963045912654</v>
      </c>
      <c r="H402" s="46" t="n">
        <f aca="false">H398*H399*H400</f>
        <v>0.148735304595654</v>
      </c>
      <c r="J402" s="30" t="s">
        <v>583</v>
      </c>
    </row>
    <row r="404" customFormat="false" ht="15" hidden="false" customHeight="false" outlineLevel="0" collapsed="false">
      <c r="B404" s="37" t="s">
        <v>584</v>
      </c>
      <c r="C404" s="28" t="s">
        <v>585</v>
      </c>
      <c r="J404" s="30" t="s">
        <v>586</v>
      </c>
    </row>
    <row r="405" customFormat="false" ht="15" hidden="false" customHeight="false" outlineLevel="0" collapsed="false">
      <c r="B405" s="27" t="s">
        <v>587</v>
      </c>
      <c r="C405" s="28" t="s">
        <v>585</v>
      </c>
      <c r="F405" s="41" t="n">
        <f aca="false">'Reported Financials'!F78/'Reported Financials'!F73</f>
        <v>0.719018404907975</v>
      </c>
      <c r="G405" s="41" t="n">
        <f aca="false">'Reported Financials'!G78/'Reported Financials'!G73</f>
        <v>0.691780821917808</v>
      </c>
      <c r="H405" s="41" t="n">
        <f aca="false">'Reported Financials'!H78/'Reported Financials'!H73</f>
        <v>0.53117048346056</v>
      </c>
      <c r="J405" s="30" t="s">
        <v>588</v>
      </c>
    </row>
    <row r="406" customFormat="false" ht="15" hidden="false" customHeight="false" outlineLevel="0" collapsed="false">
      <c r="B406" s="27" t="s">
        <v>589</v>
      </c>
      <c r="C406" s="28" t="s">
        <v>585</v>
      </c>
      <c r="F406" s="41" t="n">
        <f aca="false">'Reported Financials'!F73/'Reported Financials'!F69</f>
        <v>0.908584169453735</v>
      </c>
      <c r="G406" s="41" t="n">
        <f aca="false">'Reported Financials'!G73/'Reported Financials'!G69</f>
        <v>0.919685039370079</v>
      </c>
      <c r="H406" s="41" t="n">
        <f aca="false">'Reported Financials'!H73/'Reported Financials'!H69</f>
        <v>0.933491686460808</v>
      </c>
      <c r="J406" s="30" t="s">
        <v>590</v>
      </c>
    </row>
    <row r="407" customFormat="false" ht="15" hidden="false" customHeight="false" outlineLevel="0" collapsed="false">
      <c r="B407" s="31" t="s">
        <v>591</v>
      </c>
      <c r="C407" s="28" t="s">
        <v>585</v>
      </c>
      <c r="F407" s="32" t="n">
        <f aca="false">'Reported Financials'!F69/F12</f>
        <v>0.125</v>
      </c>
      <c r="G407" s="32" t="n">
        <f aca="false">'Reported Financials'!G69/G12</f>
        <v>0.164614387556708</v>
      </c>
      <c r="H407" s="32" t="n">
        <f aca="false">'Reported Financials'!H69/H12</f>
        <v>0.169501761449421</v>
      </c>
      <c r="J407" s="30" t="s">
        <v>592</v>
      </c>
    </row>
    <row r="408" customFormat="false" ht="15" hidden="false" customHeight="false" outlineLevel="0" collapsed="false">
      <c r="B408" s="27" t="s">
        <v>593</v>
      </c>
      <c r="C408" s="28" t="s">
        <v>585</v>
      </c>
      <c r="F408" s="41" t="n">
        <f aca="false">F12/F306</f>
        <v>0.612966601178782</v>
      </c>
      <c r="G408" s="41" t="n">
        <f aca="false">G12/G306</f>
        <v>0.537855549358617</v>
      </c>
      <c r="H408" s="41" t="n">
        <f aca="false">H12/H306</f>
        <v>0.592356308132602</v>
      </c>
      <c r="J408" s="30" t="s">
        <v>594</v>
      </c>
    </row>
    <row r="409" customFormat="false" ht="15" hidden="false" customHeight="false" outlineLevel="0" collapsed="false">
      <c r="B409" s="27" t="s">
        <v>595</v>
      </c>
      <c r="C409" s="28" t="s">
        <v>585</v>
      </c>
      <c r="F409" s="41" t="n">
        <f aca="false">F306/F308</f>
        <v>3.21356025253912</v>
      </c>
      <c r="G409" s="41" t="n">
        <f aca="false">G306/G308</f>
        <v>3.21254199328108</v>
      </c>
      <c r="H409" s="41" t="n">
        <f aca="false">H306/H308</f>
        <v>2.98753117206983</v>
      </c>
      <c r="J409" s="30" t="s">
        <v>596</v>
      </c>
    </row>
    <row r="410" customFormat="false" ht="27.75" hidden="false" customHeight="true" outlineLevel="0" collapsed="false">
      <c r="B410" s="47" t="s">
        <v>597</v>
      </c>
      <c r="C410" s="47"/>
      <c r="D410" s="47"/>
      <c r="E410" s="47"/>
      <c r="F410" s="47"/>
      <c r="G410" s="47"/>
      <c r="H410" s="47"/>
      <c r="I410" s="47"/>
      <c r="J410" s="47"/>
    </row>
    <row r="411" customFormat="false" ht="15" hidden="false" customHeight="false" outlineLevel="0" collapsed="false">
      <c r="B411" s="45" t="s">
        <v>598</v>
      </c>
      <c r="C411" s="38" t="s">
        <v>585</v>
      </c>
      <c r="D411" s="34"/>
      <c r="E411" s="34"/>
      <c r="F411" s="46" t="n">
        <f aca="false">F405*F406*F407*F408*F409</f>
        <v>0.160856437002471</v>
      </c>
      <c r="G411" s="46" t="n">
        <f aca="false">G405*G406*G407*G408*G409</f>
        <v>0.180963045912654</v>
      </c>
      <c r="H411" s="46" t="n">
        <f aca="false">H405*H406*H407*H408*H409</f>
        <v>0.148735304595654</v>
      </c>
      <c r="J411" s="30" t="s">
        <v>583</v>
      </c>
    </row>
    <row r="413" customFormat="false" ht="15" hidden="false" customHeight="false" outlineLevel="0" collapsed="false">
      <c r="B413" s="37" t="s">
        <v>599</v>
      </c>
      <c r="C413" s="28" t="s">
        <v>600</v>
      </c>
      <c r="J413" s="30" t="s">
        <v>601</v>
      </c>
    </row>
    <row r="414" customFormat="false" ht="15" hidden="false" customHeight="false" outlineLevel="0" collapsed="false">
      <c r="B414" s="27" t="s">
        <v>602</v>
      </c>
      <c r="C414" s="28" t="s">
        <v>600</v>
      </c>
      <c r="F414" s="36" t="n">
        <f aca="false">F43+F46</f>
        <v>863</v>
      </c>
      <c r="G414" s="36" t="n">
        <f aca="false">G43+G46</f>
        <v>1278</v>
      </c>
      <c r="H414" s="36" t="n">
        <f aca="false">H43+H46</f>
        <v>1549</v>
      </c>
      <c r="J414" s="30" t="s">
        <v>603</v>
      </c>
    </row>
    <row r="415" customFormat="false" ht="15" hidden="false" customHeight="false" outlineLevel="0" collapsed="false">
      <c r="B415" s="27" t="s">
        <v>604</v>
      </c>
      <c r="C415" s="28" t="s">
        <v>600</v>
      </c>
      <c r="F415" s="36" t="n">
        <f aca="false">-F47</f>
        <v>101</v>
      </c>
      <c r="G415" s="36" t="n">
        <f aca="false">-G47</f>
        <v>104</v>
      </c>
      <c r="H415" s="36" t="n">
        <f aca="false">-H47</f>
        <v>111</v>
      </c>
      <c r="J415" s="30" t="s">
        <v>605</v>
      </c>
    </row>
    <row r="416" customFormat="false" ht="15" hidden="false" customHeight="false" outlineLevel="0" collapsed="false">
      <c r="B416" s="31" t="s">
        <v>606</v>
      </c>
      <c r="C416" s="28" t="s">
        <v>600</v>
      </c>
      <c r="F416" s="32" t="n">
        <f aca="false">F414/F306</f>
        <v>0.0737165798240369</v>
      </c>
      <c r="G416" s="32" t="n">
        <f aca="false">G414/G306</f>
        <v>0.0890964863357501</v>
      </c>
      <c r="H416" s="32" t="n">
        <f aca="false">H414/H306</f>
        <v>0.092356308132602</v>
      </c>
      <c r="J416" s="30" t="s">
        <v>607</v>
      </c>
    </row>
    <row r="417" customFormat="false" ht="15" hidden="false" customHeight="false" outlineLevel="0" collapsed="false">
      <c r="B417" s="31" t="s">
        <v>608</v>
      </c>
      <c r="C417" s="28" t="s">
        <v>600</v>
      </c>
      <c r="F417" s="32" t="n">
        <f aca="false">F415/F307</f>
        <v>0.0125248015873016</v>
      </c>
      <c r="G417" s="32" t="n">
        <f aca="false">G415/G307</f>
        <v>0.0105273813138982</v>
      </c>
      <c r="H417" s="32" t="n">
        <f aca="false">H415/H307</f>
        <v>0.00994801935830794</v>
      </c>
      <c r="J417" s="30" t="s">
        <v>609</v>
      </c>
    </row>
    <row r="418" customFormat="false" ht="15" hidden="false" customHeight="false" outlineLevel="0" collapsed="false">
      <c r="B418" s="31" t="s">
        <v>610</v>
      </c>
      <c r="C418" s="28" t="s">
        <v>600</v>
      </c>
      <c r="F418" s="32" t="n">
        <f aca="false">F416-F417</f>
        <v>0.0611917782367353</v>
      </c>
      <c r="G418" s="32" t="n">
        <f aca="false">G416-G417</f>
        <v>0.078569105021852</v>
      </c>
      <c r="H418" s="32" t="n">
        <f aca="false">H416-H417</f>
        <v>0.082408288774294</v>
      </c>
      <c r="J418" s="30" t="s">
        <v>611</v>
      </c>
    </row>
    <row r="419" customFormat="false" ht="15" hidden="false" customHeight="false" outlineLevel="0" collapsed="false">
      <c r="B419" s="27" t="s">
        <v>612</v>
      </c>
      <c r="C419" s="28" t="s">
        <v>600</v>
      </c>
      <c r="F419" s="41" t="n">
        <f aca="false">F307/F308</f>
        <v>2.21356025253912</v>
      </c>
      <c r="G419" s="41" t="n">
        <f aca="false">G307/G308</f>
        <v>2.21254199328108</v>
      </c>
      <c r="H419" s="41" t="n">
        <f aca="false">H307/H308</f>
        <v>1.98753117206983</v>
      </c>
      <c r="J419" s="30" t="s">
        <v>613</v>
      </c>
    </row>
    <row r="420" customFormat="false" ht="15" hidden="false" customHeight="false" outlineLevel="0" collapsed="false">
      <c r="B420" s="27" t="s">
        <v>614</v>
      </c>
      <c r="C420" s="28" t="s">
        <v>600</v>
      </c>
      <c r="F420" s="41" t="n">
        <f aca="false">F81/F50</f>
        <v>0.783464566929134</v>
      </c>
      <c r="G420" s="41" t="n">
        <f aca="false">G81/G50</f>
        <v>0.850936967632027</v>
      </c>
      <c r="H420" s="41" t="n">
        <f aca="false">H81/H50</f>
        <v>0.546592489568846</v>
      </c>
      <c r="J420" s="30" t="s">
        <v>615</v>
      </c>
    </row>
    <row r="421" customFormat="false" ht="15" hidden="false" customHeight="false" outlineLevel="0" collapsed="false">
      <c r="B421" s="45" t="s">
        <v>616</v>
      </c>
      <c r="C421" s="38" t="s">
        <v>600</v>
      </c>
      <c r="D421" s="34"/>
      <c r="E421" s="34"/>
      <c r="F421" s="46" t="n">
        <f aca="false">(F416+F418*F419)*F420</f>
        <v>0.163875926434257</v>
      </c>
      <c r="G421" s="46" t="n">
        <f aca="false">(G416+G418*G419)*G420</f>
        <v>0.223740201567749</v>
      </c>
      <c r="H421" s="46" t="n">
        <f aca="false">(H416+H418*H419)*H420</f>
        <v>0.140007125044532</v>
      </c>
      <c r="J421" s="30" t="s">
        <v>617</v>
      </c>
    </row>
    <row r="423" customFormat="false" ht="15" hidden="false" customHeight="false" outlineLevel="0" collapsed="false">
      <c r="B423" s="37" t="s">
        <v>618</v>
      </c>
      <c r="C423" s="28" t="s">
        <v>619</v>
      </c>
      <c r="J423" s="30" t="s">
        <v>620</v>
      </c>
    </row>
    <row r="424" customFormat="false" ht="15" hidden="false" customHeight="false" outlineLevel="0" collapsed="false">
      <c r="B424" s="27" t="s">
        <v>621</v>
      </c>
      <c r="C424" s="28" t="s">
        <v>619</v>
      </c>
      <c r="F424" s="36" t="n">
        <f aca="false">F315+F308</f>
        <v>5556</v>
      </c>
      <c r="G424" s="36" t="n">
        <f aca="false">G315+G308</f>
        <v>6888</v>
      </c>
      <c r="H424" s="36" t="n">
        <f aca="false">H315+H308</f>
        <v>6895</v>
      </c>
      <c r="J424" s="30" t="s">
        <v>622</v>
      </c>
    </row>
    <row r="425" customFormat="false" ht="15" hidden="false" customHeight="false" outlineLevel="0" collapsed="false">
      <c r="B425" s="31" t="s">
        <v>623</v>
      </c>
      <c r="C425" s="28" t="s">
        <v>619</v>
      </c>
      <c r="F425" s="32" t="n">
        <f aca="false">F414/F424</f>
        <v>0.155327573794096</v>
      </c>
      <c r="G425" s="32" t="n">
        <f aca="false">G414/G424</f>
        <v>0.185540069686411</v>
      </c>
      <c r="H425" s="32" t="n">
        <f aca="false">H414/H424</f>
        <v>0.224655547498187</v>
      </c>
      <c r="J425" s="30" t="s">
        <v>624</v>
      </c>
    </row>
    <row r="426" customFormat="false" ht="15" hidden="false" customHeight="false" outlineLevel="0" collapsed="false">
      <c r="B426" s="31" t="s">
        <v>625</v>
      </c>
      <c r="C426" s="28" t="s">
        <v>619</v>
      </c>
      <c r="F426" s="32" t="n">
        <f aca="false">F36/F311</f>
        <v>0.195399628252788</v>
      </c>
      <c r="G426" s="32" t="n">
        <f aca="false">G36/G311</f>
        <v>0.242300556586271</v>
      </c>
      <c r="H426" s="32" t="n">
        <f aca="false">H36/H311</f>
        <v>0.350492390331244</v>
      </c>
      <c r="J426" s="30" t="s">
        <v>626</v>
      </c>
    </row>
    <row r="427" customFormat="false" ht="15" hidden="false" customHeight="false" outlineLevel="0" collapsed="false">
      <c r="B427" s="31" t="s">
        <v>627</v>
      </c>
      <c r="C427" s="28" t="s">
        <v>619</v>
      </c>
      <c r="F427" s="32" t="n">
        <f aca="false">F311/F424</f>
        <v>0.774658027357811</v>
      </c>
      <c r="G427" s="32" t="n">
        <f aca="false">G311/G424</f>
        <v>0.782520325203252</v>
      </c>
      <c r="H427" s="32" t="n">
        <f aca="false">H311/H424</f>
        <v>0.648005801305294</v>
      </c>
    </row>
    <row r="428" customFormat="false" ht="15" hidden="false" customHeight="false" outlineLevel="0" collapsed="false">
      <c r="B428" s="31" t="s">
        <v>628</v>
      </c>
      <c r="C428" s="28" t="s">
        <v>619</v>
      </c>
      <c r="F428" s="32" t="n">
        <f aca="false">F41/F312</f>
        <v>-0.0174563591022444</v>
      </c>
      <c r="G428" s="32" t="n">
        <f aca="false">G41/G312</f>
        <v>-0.134185303514377</v>
      </c>
      <c r="H428" s="32" t="n">
        <f aca="false">H41/H312</f>
        <v>-0.0270618556701031</v>
      </c>
    </row>
    <row r="429" customFormat="false" ht="15" hidden="false" customHeight="false" outlineLevel="0" collapsed="false">
      <c r="B429" s="31" t="s">
        <v>629</v>
      </c>
      <c r="C429" s="28" t="s">
        <v>619</v>
      </c>
      <c r="F429" s="32" t="n">
        <f aca="false">F312/F424</f>
        <v>0.0721742260619151</v>
      </c>
      <c r="G429" s="32" t="n">
        <f aca="false">G312/G424</f>
        <v>0.0454413472706156</v>
      </c>
      <c r="H429" s="32" t="n">
        <f aca="false">H312/H424</f>
        <v>0.112545322697607</v>
      </c>
    </row>
    <row r="430" customFormat="false" ht="15" hidden="false" customHeight="false" outlineLevel="0" collapsed="false">
      <c r="B430" s="31" t="s">
        <v>630</v>
      </c>
      <c r="C430" s="28" t="s">
        <v>619</v>
      </c>
      <c r="F430" s="32" t="n">
        <f aca="false">F46/F316</f>
        <v>0.0341176470588235</v>
      </c>
      <c r="G430" s="32" t="n">
        <f aca="false">G46/G316</f>
        <v>0.0118243243243243</v>
      </c>
      <c r="H430" s="32" t="n">
        <f aca="false">H46/H316</f>
        <v>0.00242424242424242</v>
      </c>
      <c r="J430" s="30" t="s">
        <v>631</v>
      </c>
    </row>
    <row r="431" customFormat="false" ht="15" hidden="false" customHeight="false" outlineLevel="0" collapsed="false">
      <c r="B431" s="31" t="s">
        <v>632</v>
      </c>
      <c r="C431" s="28" t="s">
        <v>619</v>
      </c>
      <c r="F431" s="32" t="n">
        <f aca="false">F316/F424</f>
        <v>0.152987760979122</v>
      </c>
      <c r="G431" s="32" t="n">
        <f aca="false">G316/G424</f>
        <v>0.171893147502904</v>
      </c>
      <c r="H431" s="32" t="n">
        <f aca="false">H316/H424</f>
        <v>0.239303843364757</v>
      </c>
    </row>
    <row r="432" customFormat="false" ht="15" hidden="false" customHeight="false" outlineLevel="0" collapsed="false">
      <c r="B432" s="31" t="s">
        <v>633</v>
      </c>
      <c r="C432" s="28" t="s">
        <v>619</v>
      </c>
      <c r="F432" s="32" t="n">
        <f aca="false">F415/F315</f>
        <v>0.0527966544694198</v>
      </c>
      <c r="G432" s="32" t="n">
        <f aca="false">G415/G315</f>
        <v>0.0429219975237309</v>
      </c>
      <c r="H432" s="32" t="n">
        <f aca="false">H415/H315</f>
        <v>0.0866510538641686</v>
      </c>
      <c r="J432" s="30" t="s">
        <v>634</v>
      </c>
    </row>
    <row r="433" customFormat="false" ht="15" hidden="false" customHeight="false" outlineLevel="0" collapsed="false">
      <c r="B433" s="31" t="s">
        <v>635</v>
      </c>
      <c r="C433" s="28" t="s">
        <v>619</v>
      </c>
      <c r="F433" s="32" t="n">
        <f aca="false">F425-F432</f>
        <v>0.102530919324677</v>
      </c>
      <c r="G433" s="32" t="n">
        <f aca="false">G425-G432</f>
        <v>0.14261807216268</v>
      </c>
      <c r="H433" s="32" t="n">
        <f aca="false">H425-H432</f>
        <v>0.138004493634018</v>
      </c>
    </row>
    <row r="434" customFormat="false" ht="15" hidden="false" customHeight="false" outlineLevel="0" collapsed="false">
      <c r="B434" s="27" t="s">
        <v>636</v>
      </c>
      <c r="C434" s="28" t="s">
        <v>619</v>
      </c>
      <c r="F434" s="41" t="n">
        <f aca="false">F315/F308</f>
        <v>0.525116662091683</v>
      </c>
      <c r="G434" s="41" t="n">
        <f aca="false">G315/G308</f>
        <v>0.542665173572228</v>
      </c>
      <c r="H434" s="41" t="n">
        <f aca="false">H315/H308</f>
        <v>0.228179551122195</v>
      </c>
      <c r="J434" s="30" t="s">
        <v>637</v>
      </c>
    </row>
    <row r="435" customFormat="false" ht="15" hidden="false" customHeight="false" outlineLevel="0" collapsed="false">
      <c r="B435" s="27" t="s">
        <v>614</v>
      </c>
      <c r="C435" s="28" t="s">
        <v>619</v>
      </c>
      <c r="F435" s="41" t="n">
        <f aca="false">F81/F50</f>
        <v>0.783464566929134</v>
      </c>
      <c r="G435" s="41" t="n">
        <f aca="false">G81/G50</f>
        <v>0.850936967632027</v>
      </c>
      <c r="H435" s="41" t="n">
        <f aca="false">H81/H50</f>
        <v>0.546592489568846</v>
      </c>
    </row>
    <row r="436" customFormat="false" ht="15" hidden="false" customHeight="false" outlineLevel="0" collapsed="false">
      <c r="B436" s="27" t="s">
        <v>638</v>
      </c>
      <c r="C436" s="28" t="s">
        <v>619</v>
      </c>
      <c r="F436" s="41" t="n">
        <f aca="false">F81/F73</f>
        <v>0.77734375</v>
      </c>
      <c r="G436" s="41" t="n">
        <f aca="false">G81/G73</f>
        <v>0.720259552992069</v>
      </c>
      <c r="H436" s="41" t="n">
        <f aca="false">H81/H73</f>
        <v>0.635922330097087</v>
      </c>
      <c r="J436" s="30" t="s">
        <v>639</v>
      </c>
    </row>
    <row r="437" customFormat="false" ht="15" hidden="false" customHeight="false" outlineLevel="0" collapsed="false">
      <c r="B437" s="27" t="s">
        <v>640</v>
      </c>
      <c r="C437" s="28" t="s">
        <v>619</v>
      </c>
      <c r="F437" s="41" t="n">
        <f aca="false">F73/F50</f>
        <v>1.00787401574803</v>
      </c>
      <c r="G437" s="41" t="n">
        <f aca="false">G73/G50</f>
        <v>1.18143100511073</v>
      </c>
      <c r="H437" s="41" t="n">
        <f aca="false">H73/H50</f>
        <v>0.859527121001391</v>
      </c>
      <c r="J437" s="30" t="s">
        <v>641</v>
      </c>
    </row>
    <row r="438" customFormat="false" ht="15" hidden="false" customHeight="false" outlineLevel="0" collapsed="false">
      <c r="B438" s="45" t="s">
        <v>616</v>
      </c>
      <c r="C438" s="38" t="s">
        <v>619</v>
      </c>
      <c r="D438" s="34"/>
      <c r="E438" s="34"/>
      <c r="F438" s="46" t="n">
        <f aca="false">(F425+F433*F434)*F435</f>
        <v>0.163875926434258</v>
      </c>
      <c r="G438" s="46" t="n">
        <f aca="false">(G425+G433*G434)*G435</f>
        <v>0.223740201567749</v>
      </c>
      <c r="H438" s="46" t="n">
        <f aca="false">(H425+H433*H434)*H435</f>
        <v>0.140007125044532</v>
      </c>
      <c r="J438" s="30" t="s">
        <v>617</v>
      </c>
    </row>
    <row r="439" customFormat="false" ht="52.5" hidden="false" customHeight="true" outlineLevel="0" collapsed="false">
      <c r="B439" s="47" t="s">
        <v>642</v>
      </c>
      <c r="C439" s="47"/>
      <c r="D439" s="47"/>
      <c r="E439" s="47"/>
      <c r="F439" s="47"/>
      <c r="G439" s="47"/>
      <c r="H439" s="47"/>
      <c r="I439" s="47"/>
      <c r="J439" s="47"/>
    </row>
    <row r="440" customFormat="false" ht="15" hidden="false" customHeight="false" outlineLevel="0" collapsed="false">
      <c r="B440" s="31" t="s">
        <v>643</v>
      </c>
      <c r="C440" s="28" t="s">
        <v>619</v>
      </c>
      <c r="F440" s="32" t="n">
        <f aca="false">F50/F308</f>
        <v>0.209168267911062</v>
      </c>
      <c r="G440" s="32" t="n">
        <f aca="false">G50/G308</f>
        <v>0.262933930571109</v>
      </c>
      <c r="H440" s="32" t="n">
        <f aca="false">H50/H308</f>
        <v>0.256145350908443</v>
      </c>
      <c r="J440" s="30" t="s">
        <v>644</v>
      </c>
    </row>
    <row r="442" customFormat="false" ht="15" hidden="false" customHeight="false" outlineLevel="0" collapsed="false">
      <c r="B442" s="37" t="s">
        <v>645</v>
      </c>
      <c r="C442" s="28" t="s">
        <v>646</v>
      </c>
      <c r="J442" s="30" t="s">
        <v>647</v>
      </c>
    </row>
    <row r="443" customFormat="false" ht="15" hidden="false" customHeight="false" outlineLevel="0" collapsed="false">
      <c r="B443" s="27" t="s">
        <v>648</v>
      </c>
      <c r="C443" s="28" t="s">
        <v>646</v>
      </c>
      <c r="F443" s="36" t="n">
        <f aca="false">-(F40+F48)</f>
        <v>83</v>
      </c>
      <c r="G443" s="36" t="n">
        <f aca="false">-(G40+G48)</f>
        <v>99</v>
      </c>
      <c r="H443" s="36" t="n">
        <f aca="false">-(H40+H48)</f>
        <v>129</v>
      </c>
      <c r="J443" s="30" t="s">
        <v>649</v>
      </c>
    </row>
    <row r="444" customFormat="false" ht="15" hidden="false" customHeight="false" outlineLevel="0" collapsed="false">
      <c r="B444" s="31" t="s">
        <v>650</v>
      </c>
      <c r="C444" s="28" t="s">
        <v>646</v>
      </c>
      <c r="F444" s="32" t="n">
        <f aca="false">(F36+F39)/F320</f>
        <v>0.18001704303366</v>
      </c>
      <c r="G444" s="32" t="n">
        <f aca="false">(G36+G39)/G320</f>
        <v>0.22396199859254</v>
      </c>
      <c r="H444" s="32" t="n">
        <f aca="false">(H36+H39)/H320</f>
        <v>0.300306630893063</v>
      </c>
      <c r="J444" s="30" t="s">
        <v>651</v>
      </c>
    </row>
    <row r="445" customFormat="false" ht="15" hidden="false" customHeight="false" outlineLevel="0" collapsed="false">
      <c r="B445" s="31" t="s">
        <v>652</v>
      </c>
      <c r="C445" s="28" t="s">
        <v>646</v>
      </c>
      <c r="F445" s="32" t="n">
        <f aca="false">F359</f>
        <v>0.195399628252788</v>
      </c>
      <c r="G445" s="32" t="n">
        <f aca="false">G359</f>
        <v>0.242300556586271</v>
      </c>
      <c r="H445" s="32" t="n">
        <f aca="false">H359</f>
        <v>0.350492390331244</v>
      </c>
      <c r="J445" s="30" t="s">
        <v>653</v>
      </c>
    </row>
    <row r="446" customFormat="false" ht="15" hidden="false" customHeight="false" outlineLevel="0" collapsed="false">
      <c r="B446" s="31" t="s">
        <v>654</v>
      </c>
      <c r="C446" s="28" t="s">
        <v>646</v>
      </c>
      <c r="F446" s="32" t="n">
        <f aca="false">F311/F320</f>
        <v>0.916915210907542</v>
      </c>
      <c r="G446" s="32" t="n">
        <f aca="false">G311/G320</f>
        <v>0.948275862068966</v>
      </c>
      <c r="H446" s="32" t="n">
        <f aca="false">H311/H320</f>
        <v>0.856266768876964</v>
      </c>
    </row>
    <row r="447" customFormat="false" ht="15" hidden="false" customHeight="false" outlineLevel="0" collapsed="false">
      <c r="B447" s="31" t="s">
        <v>655</v>
      </c>
      <c r="C447" s="28" t="s">
        <v>646</v>
      </c>
      <c r="F447" s="32" t="n">
        <f aca="false">F39/F319</f>
        <v>0.0102564102564103</v>
      </c>
      <c r="G447" s="32" t="n">
        <f aca="false">G39/G319</f>
        <v>-0.112244897959184</v>
      </c>
      <c r="H447" s="32" t="n">
        <f aca="false">H39/H319</f>
        <v>0.00133333333333333</v>
      </c>
      <c r="J447" s="30" t="s">
        <v>656</v>
      </c>
    </row>
    <row r="448" customFormat="false" ht="15" hidden="false" customHeight="false" outlineLevel="0" collapsed="false">
      <c r="B448" s="31" t="s">
        <v>657</v>
      </c>
      <c r="C448" s="28" t="s">
        <v>646</v>
      </c>
      <c r="F448" s="32" t="n">
        <f aca="false">F319/F320</f>
        <v>0.0830847890924585</v>
      </c>
      <c r="G448" s="32" t="n">
        <f aca="false">G319/G320</f>
        <v>0.0517241379310345</v>
      </c>
      <c r="H448" s="32" t="n">
        <f aca="false">H319/H320</f>
        <v>0.143733231123036</v>
      </c>
    </row>
    <row r="449" customFormat="false" ht="15" hidden="false" customHeight="false" outlineLevel="0" collapsed="false">
      <c r="B449" s="31" t="s">
        <v>658</v>
      </c>
      <c r="C449" s="28" t="s">
        <v>646</v>
      </c>
      <c r="F449" s="32" t="n">
        <f aca="false">F443/F318</f>
        <v>0.0788973384030418</v>
      </c>
      <c r="G449" s="32" t="n">
        <f aca="false">G443/G318</f>
        <v>0.0811475409836066</v>
      </c>
      <c r="H449" s="32" t="n">
        <f aca="false">H443/H318</f>
        <v>-0.326582278481013</v>
      </c>
      <c r="J449" s="30" t="s">
        <v>659</v>
      </c>
    </row>
    <row r="450" customFormat="false" ht="15" hidden="false" customHeight="false" outlineLevel="0" collapsed="false">
      <c r="B450" s="31" t="s">
        <v>660</v>
      </c>
      <c r="C450" s="28" t="s">
        <v>646</v>
      </c>
      <c r="F450" s="32" t="n">
        <f aca="false">F444-F449</f>
        <v>0.101119704630618</v>
      </c>
      <c r="G450" s="32" t="n">
        <f aca="false">G444-G449</f>
        <v>0.142814457608934</v>
      </c>
      <c r="H450" s="32" t="n">
        <f aca="false">H444-H449</f>
        <v>0.626888909374075</v>
      </c>
    </row>
    <row r="451" customFormat="false" ht="15" hidden="false" customHeight="false" outlineLevel="0" collapsed="false">
      <c r="B451" s="27" t="s">
        <v>661</v>
      </c>
      <c r="C451" s="28" t="s">
        <v>646</v>
      </c>
      <c r="F451" s="41" t="n">
        <f aca="false">F318/F308</f>
        <v>0.288772989294538</v>
      </c>
      <c r="G451" s="41" t="n">
        <f aca="false">G318/G308</f>
        <v>0.273236282194849</v>
      </c>
      <c r="H451" s="41" t="n">
        <f aca="false">H318/H308</f>
        <v>-0.0703598147488422</v>
      </c>
      <c r="J451" s="30" t="s">
        <v>662</v>
      </c>
    </row>
    <row r="452" customFormat="false" ht="15" hidden="false" customHeight="false" outlineLevel="0" collapsed="false">
      <c r="B452" s="27" t="s">
        <v>614</v>
      </c>
      <c r="C452" s="28" t="s">
        <v>646</v>
      </c>
      <c r="F452" s="41" t="n">
        <f aca="false">F81/F50</f>
        <v>0.783464566929134</v>
      </c>
      <c r="G452" s="41" t="n">
        <f aca="false">G81/G50</f>
        <v>0.850936967632027</v>
      </c>
      <c r="H452" s="41" t="n">
        <f aca="false">H81/H50</f>
        <v>0.546592489568846</v>
      </c>
    </row>
    <row r="453" customFormat="false" ht="15" hidden="false" customHeight="false" outlineLevel="0" collapsed="false">
      <c r="B453" s="45" t="s">
        <v>663</v>
      </c>
      <c r="C453" s="38" t="s">
        <v>646</v>
      </c>
      <c r="D453" s="34"/>
      <c r="E453" s="34"/>
      <c r="F453" s="46" t="n">
        <f aca="false">(F444+F450*F451)*F452</f>
        <v>0.163914640948301</v>
      </c>
      <c r="G453" s="46" t="n">
        <f aca="false">(G444+G450*G451)*G452</f>
        <v>0.223782884108387</v>
      </c>
      <c r="H453" s="46" t="n">
        <f aca="false">(H444+H450*H451)*H452</f>
        <v>0.140036363617566</v>
      </c>
      <c r="J453" s="30" t="s">
        <v>617</v>
      </c>
    </row>
    <row r="454" customFormat="false" ht="15" hidden="false" customHeight="false" outlineLevel="0" collapsed="false">
      <c r="B454" s="37" t="s">
        <v>664</v>
      </c>
      <c r="C454" s="28" t="s">
        <v>646</v>
      </c>
      <c r="J454" s="30" t="s">
        <v>665</v>
      </c>
    </row>
    <row r="455" customFormat="false" ht="15" hidden="false" customHeight="false" outlineLevel="0" collapsed="false">
      <c r="B455" s="27" t="s">
        <v>666</v>
      </c>
      <c r="C455" s="28" t="s">
        <v>646</v>
      </c>
      <c r="F455" s="36" t="str">
        <f aca="false">IF(F318&lt;0,-F318,"n.a.")</f>
        <v>n.a.</v>
      </c>
      <c r="G455" s="36" t="str">
        <f aca="false">IF(G318&lt;0,-G318,"n.a.")</f>
        <v>n.a.</v>
      </c>
      <c r="H455" s="36" t="n">
        <f aca="false">IF(H318&lt;0,-H318,"n.a.")</f>
        <v>395</v>
      </c>
    </row>
    <row r="456" customFormat="false" ht="15" hidden="false" customHeight="false" outlineLevel="0" collapsed="false">
      <c r="B456" s="31" t="s">
        <v>667</v>
      </c>
      <c r="C456" s="28" t="s">
        <v>646</v>
      </c>
      <c r="F456" s="32" t="str">
        <f aca="false">IF(F318&lt;0,-F443/F455,"n.a.")</f>
        <v>n.a.</v>
      </c>
      <c r="G456" s="32" t="str">
        <f aca="false">IF(G318&lt;0,-G443/G455,"n.a.")</f>
        <v>n.a.</v>
      </c>
      <c r="H456" s="32" t="n">
        <f aca="false">IF(H318&lt;0,-H443/H455,"n.a.")</f>
        <v>-0.326582278481013</v>
      </c>
      <c r="J456" s="30" t="s">
        <v>668</v>
      </c>
    </row>
    <row r="457" customFormat="false" ht="15" hidden="false" customHeight="false" outlineLevel="0" collapsed="false">
      <c r="B457" s="27" t="s">
        <v>669</v>
      </c>
      <c r="C457" s="28" t="s">
        <v>646</v>
      </c>
      <c r="F457" s="41" t="str">
        <f aca="false">IF(F318&lt;0,F455/F308,"n.a.")</f>
        <v>n.a.</v>
      </c>
      <c r="G457" s="41" t="str">
        <f aca="false">IF(G318&lt;0,G455/G308,"n.a.")</f>
        <v>n.a.</v>
      </c>
      <c r="H457" s="41" t="n">
        <f aca="false">IF(H318&lt;0,H455/H308,"n.a.")</f>
        <v>0.0703598147488422</v>
      </c>
    </row>
    <row r="458" customFormat="false" ht="15" hidden="false" customHeight="false" outlineLevel="0" collapsed="false">
      <c r="B458" s="45" t="s">
        <v>670</v>
      </c>
      <c r="C458" s="38" t="s">
        <v>646</v>
      </c>
      <c r="D458" s="34"/>
      <c r="E458" s="34"/>
      <c r="F458" s="46" t="str">
        <f aca="false">IF(F318&lt;0,(F444-(F444-F456)*F457)*F452,"n.a.")</f>
        <v>n.a.</v>
      </c>
      <c r="G458" s="46" t="str">
        <f aca="false">IF(G318&lt;0,(G444-(G444-G456)*G457)*G452,"n.a.")</f>
        <v>n.a.</v>
      </c>
      <c r="H458" s="46" t="n">
        <f aca="false">IF(H318&lt;0,(H444-(H444-H456)*H457)*H452,"n.a.")</f>
        <v>0.140036363617566</v>
      </c>
      <c r="J458" s="30" t="s">
        <v>671</v>
      </c>
    </row>
    <row r="459" customFormat="false" ht="40.5" hidden="false" customHeight="true" outlineLevel="0" collapsed="false">
      <c r="B459" s="47" t="s">
        <v>672</v>
      </c>
      <c r="C459" s="47"/>
      <c r="D459" s="47"/>
      <c r="E459" s="47"/>
      <c r="F459" s="47"/>
      <c r="G459" s="47"/>
      <c r="H459" s="47"/>
      <c r="I459" s="47"/>
      <c r="J459" s="47"/>
    </row>
    <row r="460" customFormat="false" ht="15" hidden="false" customHeight="false" outlineLevel="0" collapsed="false">
      <c r="B460" s="27" t="s">
        <v>673</v>
      </c>
      <c r="C460" s="28" t="s">
        <v>646</v>
      </c>
      <c r="F460" s="50" t="str">
        <f aca="false">IF(F311&lt;0,"NEGATIVE: RONA not meaningful (slide 21)","positive: formulas apply")</f>
        <v>positive: formulas apply</v>
      </c>
      <c r="G460" s="50" t="str">
        <f aca="false">IF(G311&lt;0,"NEGATIVE: RONA not meaningful (slide 21)","positive: formulas apply")</f>
        <v>positive: formulas apply</v>
      </c>
      <c r="H460" s="50" t="str">
        <f aca="false">IF(H311&lt;0,"NEGATIVE: RONA not meaningful (slide 21)","positive: formulas apply")</f>
        <v>positive: formulas apply</v>
      </c>
    </row>
    <row r="462" customFormat="false" ht="15" hidden="false" customHeight="false" outlineLevel="0" collapsed="false">
      <c r="B462" s="37" t="s">
        <v>674</v>
      </c>
      <c r="C462" s="28" t="s">
        <v>675</v>
      </c>
      <c r="J462" s="30" t="s">
        <v>676</v>
      </c>
    </row>
    <row r="463" customFormat="false" ht="15" hidden="false" customHeight="false" outlineLevel="0" collapsed="false">
      <c r="B463" s="31" t="s">
        <v>677</v>
      </c>
      <c r="C463" s="28" t="s">
        <v>675</v>
      </c>
      <c r="F463" s="32" t="n">
        <f aca="false">-F75/'Reported Financials'!F73</f>
        <v>0.230674846625767</v>
      </c>
      <c r="G463" s="32" t="n">
        <f aca="false">-G75/'Reported Financials'!G73</f>
        <v>0.279965753424658</v>
      </c>
      <c r="H463" s="32" t="n">
        <f aca="false">-H75/'Reported Financials'!H73</f>
        <v>0.244910941475827</v>
      </c>
      <c r="J463" s="30" t="s">
        <v>678</v>
      </c>
    </row>
    <row r="464" customFormat="false" ht="15" hidden="false" customHeight="false" outlineLevel="0" collapsed="false">
      <c r="B464" s="27" t="s">
        <v>679</v>
      </c>
      <c r="C464" s="28" t="s">
        <v>675</v>
      </c>
      <c r="F464" s="36" t="n">
        <f aca="false">(F36+F39)*(1-F463)</f>
        <v>650.079754601227</v>
      </c>
      <c r="G464" s="36" t="n">
        <f aca="false">(G36+G39)*(1-G463)</f>
        <v>916.603595890411</v>
      </c>
      <c r="H464" s="36" t="n">
        <f aca="false">(H36+H39)*(1-H463)</f>
        <v>1183.22455470738</v>
      </c>
      <c r="J464" s="30" t="s">
        <v>680</v>
      </c>
    </row>
    <row r="465" customFormat="false" ht="15" hidden="false" customHeight="false" outlineLevel="0" collapsed="false">
      <c r="B465" s="27" t="s">
        <v>681</v>
      </c>
      <c r="C465" s="28" t="s">
        <v>675</v>
      </c>
      <c r="F465" s="36" t="n">
        <f aca="false">F443*(1-F463)</f>
        <v>63.8539877300614</v>
      </c>
      <c r="G465" s="36" t="n">
        <f aca="false">G443*(1-G463)</f>
        <v>71.2833904109589</v>
      </c>
      <c r="H465" s="36" t="n">
        <f aca="false">H443*(1-H463)</f>
        <v>97.4064885496183</v>
      </c>
      <c r="J465" s="30" t="s">
        <v>249</v>
      </c>
    </row>
    <row r="466" customFormat="false" ht="15" hidden="false" customHeight="false" outlineLevel="0" collapsed="false">
      <c r="B466" s="27" t="s">
        <v>682</v>
      </c>
      <c r="C466" s="28" t="s">
        <v>675</v>
      </c>
      <c r="F466" s="36" t="n">
        <f aca="false">F464-F465</f>
        <v>586.225766871166</v>
      </c>
      <c r="G466" s="36" t="n">
        <f aca="false">G464-G465</f>
        <v>845.320205479452</v>
      </c>
      <c r="H466" s="36" t="n">
        <f aca="false">H464-H465</f>
        <v>1085.81806615776</v>
      </c>
      <c r="J466" s="30" t="s">
        <v>506</v>
      </c>
    </row>
    <row r="467" customFormat="false" ht="15" hidden="false" customHeight="false" outlineLevel="0" collapsed="false">
      <c r="B467" s="31" t="s">
        <v>683</v>
      </c>
      <c r="C467" s="28" t="s">
        <v>675</v>
      </c>
      <c r="F467" s="32" t="n">
        <f aca="false">F464/F320</f>
        <v>0.138491639241846</v>
      </c>
      <c r="G467" s="32" t="n">
        <f aca="false">G464/G320</f>
        <v>0.161260308918088</v>
      </c>
      <c r="H467" s="32" t="n">
        <f aca="false">H464/H320</f>
        <v>0.226758251189609</v>
      </c>
      <c r="J467" s="30" t="s">
        <v>684</v>
      </c>
    </row>
    <row r="468" customFormat="false" ht="15" hidden="false" customHeight="false" outlineLevel="0" collapsed="false">
      <c r="B468" s="31" t="s">
        <v>685</v>
      </c>
      <c r="C468" s="28" t="s">
        <v>675</v>
      </c>
      <c r="F468" s="32" t="n">
        <f aca="false">F465/F318</f>
        <v>0.0606977069677389</v>
      </c>
      <c r="G468" s="32" t="n">
        <f aca="false">G465/G318</f>
        <v>0.0584290085335729</v>
      </c>
      <c r="H468" s="32" t="n">
        <f aca="false">H465/H318</f>
        <v>-0.246598705188907</v>
      </c>
    </row>
    <row r="469" customFormat="false" ht="15" hidden="false" customHeight="false" outlineLevel="0" collapsed="false">
      <c r="B469" s="27" t="s">
        <v>661</v>
      </c>
      <c r="C469" s="28" t="s">
        <v>675</v>
      </c>
      <c r="F469" s="41" t="n">
        <f aca="false">F318/F308</f>
        <v>0.288772989294538</v>
      </c>
      <c r="G469" s="41" t="n">
        <f aca="false">G318/G308</f>
        <v>0.273236282194849</v>
      </c>
      <c r="H469" s="41" t="n">
        <f aca="false">H318/H308</f>
        <v>-0.0703598147488422</v>
      </c>
    </row>
    <row r="470" customFormat="false" ht="15" hidden="false" customHeight="false" outlineLevel="0" collapsed="false">
      <c r="B470" s="27" t="s">
        <v>686</v>
      </c>
      <c r="C470" s="28" t="s">
        <v>675</v>
      </c>
      <c r="F470" s="41" t="n">
        <f aca="false">F81/F466</f>
        <v>1.01837898253149</v>
      </c>
      <c r="G470" s="41" t="n">
        <f aca="false">G81/G466</f>
        <v>1.18180068750798</v>
      </c>
      <c r="H470" s="41" t="n">
        <f aca="false">H81/H466</f>
        <v>0.723878174896568</v>
      </c>
      <c r="J470" s="30" t="s">
        <v>506</v>
      </c>
    </row>
    <row r="471" customFormat="false" ht="15" hidden="false" customHeight="false" outlineLevel="0" collapsed="false">
      <c r="B471" s="45" t="s">
        <v>687</v>
      </c>
      <c r="C471" s="38" t="s">
        <v>675</v>
      </c>
      <c r="D471" s="34"/>
      <c r="E471" s="34"/>
      <c r="F471" s="46" t="n">
        <f aca="false">(F467+(F467-F468)*F469)*F470</f>
        <v>0.163914640948301</v>
      </c>
      <c r="G471" s="46" t="n">
        <f aca="false">(G467+(G467-G468)*G469)*G470</f>
        <v>0.223782884108387</v>
      </c>
      <c r="H471" s="46" t="n">
        <f aca="false">(H467+(H467-H468)*H469)*H470</f>
        <v>0.140036363617566</v>
      </c>
      <c r="J471" s="30" t="s">
        <v>688</v>
      </c>
    </row>
    <row r="472" customFormat="false" ht="15" hidden="false" customHeight="false" outlineLevel="0" collapsed="false">
      <c r="B472" s="31" t="s">
        <v>689</v>
      </c>
      <c r="C472" s="28" t="s">
        <v>675</v>
      </c>
      <c r="F472" s="32" t="n">
        <f aca="false">F415/F315*(1-F463)</f>
        <v>0.0406177942973328</v>
      </c>
      <c r="G472" s="32" t="n">
        <f aca="false">G415/G315*(1-G463)</f>
        <v>0.0309053081485083</v>
      </c>
      <c r="H472" s="32" t="n">
        <f aca="false">H415/H315*(1-H463)</f>
        <v>0.0654292626824225</v>
      </c>
      <c r="J472" s="30" t="s">
        <v>690</v>
      </c>
    </row>
    <row r="473" customFormat="false" ht="15" hidden="false" customHeight="false" outlineLevel="0" collapsed="false">
      <c r="B473" s="27" t="s">
        <v>691</v>
      </c>
      <c r="C473" s="28" t="s">
        <v>675</v>
      </c>
      <c r="F473" s="51"/>
      <c r="G473" s="51"/>
      <c r="H473" s="51"/>
      <c r="J473" s="30" t="s">
        <v>692</v>
      </c>
    </row>
    <row r="474" customFormat="false" ht="15" hidden="false" customHeight="false" outlineLevel="0" collapsed="false">
      <c r="B474" s="31" t="s">
        <v>693</v>
      </c>
      <c r="C474" s="28" t="s">
        <v>675</v>
      </c>
      <c r="F474" s="32" t="n">
        <f aca="false">IF(ISNUMBER(F473),F473,F472)</f>
        <v>0.0406177942973328</v>
      </c>
      <c r="G474" s="32" t="n">
        <f aca="false">IF(ISNUMBER(G473),G473,G472)</f>
        <v>0.0309053081485083</v>
      </c>
      <c r="H474" s="32" t="n">
        <f aca="false">IF(ISNUMBER(H473),H473,H472)</f>
        <v>0.0654292626824225</v>
      </c>
    </row>
    <row r="475" customFormat="false" ht="15" hidden="false" customHeight="false" outlineLevel="0" collapsed="false">
      <c r="B475" s="27" t="s">
        <v>694</v>
      </c>
      <c r="C475" s="28" t="s">
        <v>675</v>
      </c>
      <c r="F475" s="36" t="n">
        <f aca="false">F310*F474</f>
        <v>241.472787097643</v>
      </c>
      <c r="G475" s="36" t="n">
        <f aca="false">G310*G474</f>
        <v>228.822901531555</v>
      </c>
      <c r="H475" s="36" t="n">
        <f aca="false">H310*H474</f>
        <v>598.219748705389</v>
      </c>
      <c r="J475" s="30" t="s">
        <v>225</v>
      </c>
    </row>
    <row r="476" customFormat="false" ht="15" hidden="false" customHeight="false" outlineLevel="0" collapsed="false">
      <c r="B476" s="31" t="s">
        <v>695</v>
      </c>
      <c r="C476" s="28" t="s">
        <v>675</v>
      </c>
      <c r="F476" s="32" t="n">
        <f aca="false">(F464+F475)/(F320+F310)</f>
        <v>0.0838004080927597</v>
      </c>
      <c r="G476" s="32" t="n">
        <f aca="false">(G464+G475)/(G320+G310)</f>
        <v>0.0875173057321185</v>
      </c>
      <c r="H476" s="32" t="n">
        <f aca="false">(H464+H475)/(H320+H310)</f>
        <v>0.124047371590611</v>
      </c>
      <c r="J476" s="30" t="s">
        <v>696</v>
      </c>
    </row>
    <row r="477" customFormat="false" ht="15" hidden="false" customHeight="false" outlineLevel="0" collapsed="false">
      <c r="B477" s="27" t="s">
        <v>697</v>
      </c>
      <c r="C477" s="28" t="s">
        <v>675</v>
      </c>
      <c r="F477" s="41" t="n">
        <f aca="false">F310/F320</f>
        <v>1.26651043885812</v>
      </c>
      <c r="G477" s="41" t="n">
        <f aca="false">G310/G320</f>
        <v>1.30260380014075</v>
      </c>
      <c r="H477" s="41" t="n">
        <f aca="false">H310/H320</f>
        <v>1.75220390954389</v>
      </c>
      <c r="J477" s="30" t="s">
        <v>698</v>
      </c>
    </row>
    <row r="478" customFormat="false" ht="15" hidden="false" customHeight="false" outlineLevel="0" collapsed="false">
      <c r="B478" s="45" t="s">
        <v>699</v>
      </c>
      <c r="C478" s="38" t="s">
        <v>675</v>
      </c>
      <c r="D478" s="34"/>
      <c r="E478" s="34"/>
      <c r="F478" s="46" t="n">
        <f aca="false">F476+(F476-F474)*F477</f>
        <v>0.138491639241846</v>
      </c>
      <c r="G478" s="46" t="n">
        <f aca="false">G476+(G476-G474)*G477</f>
        <v>0.161260308918088</v>
      </c>
      <c r="H478" s="46" t="n">
        <f aca="false">H476+(H476-H474)*H477</f>
        <v>0.226758251189609</v>
      </c>
      <c r="J478" s="30" t="s">
        <v>700</v>
      </c>
    </row>
    <row r="479" customFormat="false" ht="40.5" hidden="false" customHeight="true" outlineLevel="0" collapsed="false">
      <c r="B479" s="47" t="s">
        <v>701</v>
      </c>
      <c r="C479" s="47"/>
      <c r="D479" s="47"/>
      <c r="E479" s="47"/>
      <c r="F479" s="47"/>
      <c r="G479" s="47"/>
      <c r="H479" s="47"/>
      <c r="I479" s="47"/>
      <c r="J479" s="47"/>
    </row>
    <row r="481" customFormat="false" ht="15" hidden="false" customHeight="false" outlineLevel="0" collapsed="false">
      <c r="A481" s="25" t="s">
        <v>11</v>
      </c>
      <c r="B481" s="26" t="s">
        <v>702</v>
      </c>
      <c r="C481" s="14"/>
      <c r="D481" s="14"/>
      <c r="E481" s="14"/>
      <c r="F481" s="14"/>
      <c r="G481" s="14"/>
      <c r="H481" s="14"/>
    </row>
    <row r="483" customFormat="false" ht="15" hidden="false" customHeight="false" outlineLevel="0" collapsed="false">
      <c r="B483" s="21" t="s">
        <v>703</v>
      </c>
      <c r="C483" s="28" t="s">
        <v>704</v>
      </c>
      <c r="H483" s="52" t="n">
        <v>2</v>
      </c>
      <c r="J483" s="30" t="s">
        <v>705</v>
      </c>
    </row>
    <row r="485" customFormat="false" ht="15" hidden="false" customHeight="false" outlineLevel="0" collapsed="false">
      <c r="B485" s="37" t="s">
        <v>706</v>
      </c>
      <c r="C485" s="28" t="s">
        <v>707</v>
      </c>
    </row>
    <row r="486" customFormat="false" ht="15" hidden="false" customHeight="false" outlineLevel="0" collapsed="false">
      <c r="B486" s="31" t="s">
        <v>708</v>
      </c>
      <c r="C486" s="28" t="s">
        <v>707</v>
      </c>
      <c r="G486" s="32" t="n">
        <f aca="false">G13</f>
        <v>0.0751114827201784</v>
      </c>
      <c r="H486" s="32" t="n">
        <f aca="false">H13</f>
        <v>0.287751134154245</v>
      </c>
      <c r="J486" s="53" t="str">
        <f aca="false">"Δ T "&amp;TEXT((H486-G486)*100,"+0.0;-0.0")&amp;" pp"&amp;" (only one prior year: no screen)"</f>
        <v>Δ T +21.3 pp (only one prior year: no screen)</v>
      </c>
    </row>
    <row r="487" customFormat="false" ht="15" hidden="false" customHeight="false" outlineLevel="0" collapsed="false">
      <c r="B487" s="31" t="s">
        <v>49</v>
      </c>
      <c r="C487" s="28" t="s">
        <v>707</v>
      </c>
      <c r="F487" s="32" t="n">
        <f aca="false">F31</f>
        <v>0.160674470457079</v>
      </c>
      <c r="G487" s="32" t="n">
        <f aca="false">G31</f>
        <v>0.207647440051847</v>
      </c>
      <c r="H487" s="32" t="n">
        <f aca="false">H31</f>
        <v>0.197282335178661</v>
      </c>
      <c r="J487" s="53" t="str">
        <f aca="false">IF(ABS(H487-G487)&gt;$H$483*ABS(G487-F487),"MATERIAL CHANGE in T: Δ "&amp;TEXT((H487-G487)*100,"+0.0;-0.0")&amp;" pp"&amp;" vs Δ "&amp;TEXT((G487-F487)*100,"+0.0;-0.0")&amp;" pp"&amp;" in T−1","Δ T "&amp;TEXT((H487-G487)*100,"+0.0;-0.0")&amp;" pp"&amp;" vs Δ T−1 "&amp;TEXT((G487-F487)*100,"+0.0;-0.0")&amp;" pp")</f>
        <v>Δ T -1.0 pp vs Δ T−1 +4.7 pp</v>
      </c>
    </row>
    <row r="488" customFormat="false" ht="15" hidden="false" customHeight="false" outlineLevel="0" collapsed="false">
      <c r="B488" s="31" t="s">
        <v>709</v>
      </c>
      <c r="C488" s="28" t="s">
        <v>707</v>
      </c>
      <c r="F488" s="32" t="n">
        <f aca="false">F37</f>
        <v>0.117196209587514</v>
      </c>
      <c r="G488" s="32" t="n">
        <f aca="false">G37</f>
        <v>0.169280622164614</v>
      </c>
      <c r="H488" s="32" t="n">
        <f aca="false">H37</f>
        <v>0.157624559637645</v>
      </c>
      <c r="J488" s="53" t="str">
        <f aca="false">IF(ABS(H488-G488)&gt;$H$483*ABS(G488-F488),"MATERIAL CHANGE in T: Δ "&amp;TEXT((H488-G488)*100,"+0.0;-0.0")&amp;" pp"&amp;" vs Δ "&amp;TEXT((G488-F488)*100,"+0.0;-0.0")&amp;" pp"&amp;" in T−1","Δ T "&amp;TEXT((H488-G488)*100,"+0.0;-0.0")&amp;" pp"&amp;" vs Δ T−1 "&amp;TEXT((G488-F488)*100,"+0.0;-0.0")&amp;" pp")</f>
        <v>Δ T -1.2 pp vs Δ T−1 +5.2 pp</v>
      </c>
    </row>
    <row r="489" customFormat="false" ht="15" hidden="false" customHeight="false" outlineLevel="0" collapsed="false">
      <c r="B489" s="31" t="s">
        <v>710</v>
      </c>
      <c r="C489" s="28" t="s">
        <v>707</v>
      </c>
      <c r="F489" s="32" t="n">
        <f aca="false">F44</f>
        <v>0.116220735785953</v>
      </c>
      <c r="G489" s="32" t="n">
        <f aca="false">G44</f>
        <v>0.163836681788723</v>
      </c>
      <c r="H489" s="32" t="n">
        <f aca="false">H44</f>
        <v>0.155510820332159</v>
      </c>
      <c r="J489" s="53" t="str">
        <f aca="false">IF(ABS(H489-G489)&gt;$H$483*ABS(G489-F489),"MATERIAL CHANGE in T: Δ "&amp;TEXT((H489-G489)*100,"+0.0;-0.0")&amp;" pp"&amp;" vs Δ "&amp;TEXT((G489-F489)*100,"+0.0;-0.0")&amp;" pp"&amp;" in T−1","Δ T "&amp;TEXT((H489-G489)*100,"+0.0;-0.0")&amp;" pp"&amp;" vs Δ T−1 "&amp;TEXT((G489-F489)*100,"+0.0;-0.0")&amp;" pp")</f>
        <v>Δ T -0.8 pp vs Δ T−1 +4.8 pp</v>
      </c>
    </row>
    <row r="490" customFormat="false" ht="15" hidden="false" customHeight="false" outlineLevel="0" collapsed="false">
      <c r="B490" s="31" t="s">
        <v>114</v>
      </c>
      <c r="C490" s="28" t="s">
        <v>707</v>
      </c>
      <c r="F490" s="32" t="n">
        <f aca="false">F71</f>
        <v>0.000836120401337793</v>
      </c>
      <c r="G490" s="32" t="n">
        <f aca="false">G71</f>
        <v>0.0276085547634478</v>
      </c>
      <c r="H490" s="32" t="n">
        <f aca="false">H71</f>
        <v>-0.0203321590337192</v>
      </c>
      <c r="J490" s="53" t="str">
        <f aca="false">IF(ABS(H490-G490)&gt;$H$483*ABS(G490-F490),"MATERIAL CHANGE in T: Δ "&amp;TEXT((H490-G490)*100,"+0.0;-0.0")&amp;" pp"&amp;" vs Δ "&amp;TEXT((G490-F490)*100,"+0.0;-0.0")&amp;" pp"&amp;" in T−1","Δ T "&amp;TEXT((H490-G490)*100,"+0.0;-0.0")&amp;" pp"&amp;" vs Δ T−1 "&amp;TEXT((G490-F490)*100,"+0.0;-0.0")&amp;" pp")</f>
        <v>Δ T -4.8 pp vs Δ T−1 +2.7 pp</v>
      </c>
    </row>
    <row r="491" customFormat="false" ht="15" hidden="false" customHeight="false" outlineLevel="0" collapsed="false">
      <c r="B491" s="31" t="s">
        <v>711</v>
      </c>
      <c r="C491" s="28" t="s">
        <v>707</v>
      </c>
      <c r="F491" s="32" t="n">
        <f aca="false">F79</f>
        <v>0.22265625</v>
      </c>
      <c r="G491" s="32" t="n">
        <f aca="false">G79</f>
        <v>0.279740447007931</v>
      </c>
      <c r="H491" s="32" t="n">
        <f aca="false">H79</f>
        <v>0.364077669902913</v>
      </c>
      <c r="J491" s="53" t="str">
        <f aca="false">IF(ABS(H491-G491)&gt;$H$483*ABS(G491-F491),"MATERIAL CHANGE in T: Δ "&amp;TEXT((H491-G491)*100,"+0.0;-0.0")&amp;" pp"&amp;" vs Δ "&amp;TEXT((G491-F491)*100,"+0.0;-0.0")&amp;" pp"&amp;" in T−1","Δ T "&amp;TEXT((H491-G491)*100,"+0.0;-0.0")&amp;" pp"&amp;" vs Δ T−1 "&amp;TEXT((G491-F491)*100,"+0.0;-0.0")&amp;" pp")</f>
        <v>Δ T +8.4 pp vs Δ T−1 +5.7 pp</v>
      </c>
    </row>
    <row r="492" customFormat="false" ht="15" hidden="false" customHeight="false" outlineLevel="0" collapsed="false">
      <c r="B492" s="27" t="s">
        <v>712</v>
      </c>
      <c r="C492" s="28" t="s">
        <v>707</v>
      </c>
      <c r="F492" s="41" t="n">
        <f aca="false">F172</f>
        <v>3.82401902497027</v>
      </c>
      <c r="G492" s="41" t="n">
        <f aca="false">G172</f>
        <v>3.05742725880551</v>
      </c>
      <c r="H492" s="41" t="n">
        <f aca="false">H172</f>
        <v>2.97062579821201</v>
      </c>
      <c r="J492" s="53" t="str">
        <f aca="false">IF(ABS(H492-G492)&gt;$H$483*ABS(G492-F492),"MATERIAL CHANGE in T: Δ "&amp;TEXT(H492-G492,"+0.00;-0.00")&amp;"x"&amp;" vs Δ "&amp;TEXT(G492-F492,"+0.00;-0.00")&amp;"x"&amp;" in T−1","Δ T "&amp;TEXT(H492-G492,"+0.00;-0.00")&amp;"x"&amp;" vs Δ T−1 "&amp;TEXT(G492-F492,"+0.00;-0.00")&amp;"x")</f>
        <v>Δ T -0.09x vs Δ T−1 -0.77x</v>
      </c>
    </row>
    <row r="494" customFormat="false" ht="15" hidden="false" customHeight="false" outlineLevel="0" collapsed="false">
      <c r="B494" s="37" t="s">
        <v>713</v>
      </c>
      <c r="C494" s="28" t="s">
        <v>707</v>
      </c>
    </row>
    <row r="495" customFormat="false" ht="15" hidden="false" customHeight="false" outlineLevel="0" collapsed="false">
      <c r="B495" s="31" t="s">
        <v>404</v>
      </c>
      <c r="C495" s="28" t="s">
        <v>707</v>
      </c>
      <c r="F495" s="32" t="n">
        <f aca="false">F287</f>
        <v>0.0328874024526198</v>
      </c>
      <c r="G495" s="32" t="n">
        <f aca="false">G287</f>
        <v>-0.0239792611795204</v>
      </c>
      <c r="H495" s="32" t="n">
        <f aca="false">H287</f>
        <v>-0.10045294413689</v>
      </c>
      <c r="J495" s="53" t="str">
        <f aca="false">IF(ABS(H495-G495)&gt;$H$483*ABS(G495-F495),"MATERIAL CHANGE in T: Δ "&amp;TEXT((H495-G495)*100,"+0.0;-0.0")&amp;" pp"&amp;" vs Δ "&amp;TEXT((G495-F495)*100,"+0.0;-0.0")&amp;" pp"&amp;" in T−1","Δ T "&amp;TEXT((H495-G495)*100,"+0.0;-0.0")&amp;" pp"&amp;" vs Δ T−1 "&amp;TEXT((G495-F495)*100,"+0.0;-0.0")&amp;" pp")</f>
        <v>Δ T -7.6 pp vs Δ T−1 -5.7 pp</v>
      </c>
    </row>
    <row r="496" customFormat="false" ht="15" hidden="false" customHeight="false" outlineLevel="0" collapsed="false">
      <c r="B496" s="31" t="s">
        <v>714</v>
      </c>
      <c r="C496" s="28" t="s">
        <v>707</v>
      </c>
      <c r="F496" s="32" t="n">
        <f aca="false">F282</f>
        <v>0.580056590886916</v>
      </c>
      <c r="G496" s="32" t="n">
        <f aca="false">G282</f>
        <v>0.578708769735814</v>
      </c>
      <c r="H496" s="32" t="n">
        <f aca="false">H282</f>
        <v>0.671736095804864</v>
      </c>
      <c r="J496" s="53" t="str">
        <f aca="false">IF(ABS(H496-G496)&gt;$H$483*ABS(G496-F496),"MATERIAL CHANGE in T: Δ "&amp;TEXT((H496-G496)*100,"+0.0;-0.0")&amp;" pp"&amp;" vs Δ "&amp;TEXT((G496-F496)*100,"+0.0;-0.0")&amp;" pp"&amp;" in T−1","Δ T "&amp;TEXT((H496-G496)*100,"+0.0;-0.0")&amp;" pp"&amp;" vs Δ T−1 "&amp;TEXT((G496-F496)*100,"+0.0;-0.0")&amp;" pp")</f>
        <v>MATERIAL CHANGE in T: Δ +9.3 pp vs Δ -0.1 pp in T−1</v>
      </c>
    </row>
    <row r="497" customFormat="false" ht="15" hidden="false" customHeight="false" outlineLevel="0" collapsed="false">
      <c r="B497" s="27" t="s">
        <v>416</v>
      </c>
      <c r="C497" s="28" t="s">
        <v>707</v>
      </c>
      <c r="F497" s="41" t="n">
        <f aca="false">F293</f>
        <v>0.291792478726324</v>
      </c>
      <c r="G497" s="41" t="n">
        <f aca="false">G293</f>
        <v>0.277491601343785</v>
      </c>
      <c r="H497" s="41" t="n">
        <f aca="false">H293</f>
        <v>-0.0657285358033488</v>
      </c>
      <c r="J497" s="53" t="str">
        <f aca="false">IF(H497&lt;=3,"T within slide benchmark NFP/NE ≤ 3.00x (S4 sl.12)","T OUTSIDE slide benchmark NFP/NE ≤ 3.00x (S4 sl.12)")&amp;" | "&amp;IF(ABS(H497-G497)&gt;$H$483*ABS(G497-F497),"MATERIAL CHANGE in T: Δ "&amp;TEXT(H497-G497,"+0.00;-0.00")&amp;"x"&amp;" vs Δ "&amp;TEXT(G497-F497,"+0.00;-0.00")&amp;"x"&amp;" in T−1","Δ T "&amp;TEXT(H497-G497,"+0.00;-0.00")&amp;"x"&amp;" vs Δ T−1 "&amp;TEXT(G497-F497,"+0.00;-0.00")&amp;"x")</f>
        <v>T within slide benchmark NFP/NE ≤ 3.00x (S4 sl.12) | MATERIAL CHANGE in T: Δ -0.34x vs Δ -0.01x in T−1</v>
      </c>
    </row>
    <row r="498" customFormat="false" ht="15" hidden="false" customHeight="false" outlineLevel="0" collapsed="false">
      <c r="B498" s="27" t="s">
        <v>420</v>
      </c>
      <c r="C498" s="28" t="s">
        <v>707</v>
      </c>
      <c r="F498" s="41" t="n">
        <f aca="false">F295</f>
        <v>0.92194275802255</v>
      </c>
      <c r="G498" s="41" t="n">
        <f aca="false">G295</f>
        <v>0.773408239700375</v>
      </c>
      <c r="H498" s="41" t="n">
        <f aca="false">H295</f>
        <v>-0.188265306122449</v>
      </c>
      <c r="J498" s="53" t="str">
        <f aca="false">IF(H498&lt;=4,"T within slide benchmark NFP/EBITDA ≤ 4.00x (S4 sl.12)","T OUTSIDE slide benchmark NFP/EBITDA ≤ 4.00x (S4 sl.12)")&amp;" | "&amp;IF(ABS(H498-G498)&gt;$H$483*ABS(G498-F498),"MATERIAL CHANGE in T: Δ "&amp;TEXT(H498-G498,"+0.00;-0.00")&amp;"x"&amp;" vs Δ "&amp;TEXT(G498-F498,"+0.00;-0.00")&amp;"x"&amp;" in T−1","Δ T "&amp;TEXT(H498-G498,"+0.00;-0.00")&amp;"x"&amp;" vs Δ T−1 "&amp;TEXT(G498-F498,"+0.00;-0.00")&amp;"x")</f>
        <v>T within slide benchmark NFP/EBITDA ≤ 4.00x (S4 sl.12) | MATERIAL CHANGE in T: Δ -0.96x vs Δ -0.15x in T−1</v>
      </c>
    </row>
    <row r="499" customFormat="false" ht="15" hidden="false" customHeight="false" outlineLevel="0" collapsed="false">
      <c r="B499" s="27" t="s">
        <v>418</v>
      </c>
      <c r="C499" s="28" t="s">
        <v>707</v>
      </c>
      <c r="F499" s="41" t="n">
        <f aca="false">F294</f>
        <v>0.288772989294538</v>
      </c>
      <c r="G499" s="41" t="n">
        <f aca="false">G294</f>
        <v>0.273236282194849</v>
      </c>
      <c r="H499" s="41" t="n">
        <f aca="false">H294</f>
        <v>-0.0703598147488422</v>
      </c>
      <c r="J499" s="53" t="str">
        <f aca="false">IF(ABS(H499-G499)&gt;$H$483*ABS(G499-F499),"MATERIAL CHANGE in T: Δ "&amp;TEXT(H499-G499,"+0.00;-0.00")&amp;"x"&amp;" vs Δ "&amp;TEXT(G499-F499,"+0.00;-0.00")&amp;"x"&amp;" in T−1","Δ T "&amp;TEXT(H499-G499,"+0.00;-0.00")&amp;"x"&amp;" vs Δ T−1 "&amp;TEXT(G499-F499,"+0.00;-0.00")&amp;"x")</f>
        <v>MATERIAL CHANGE in T: Δ -0.34x vs Δ -0.02x in T−1</v>
      </c>
    </row>
    <row r="500" customFormat="false" ht="15" hidden="false" customHeight="false" outlineLevel="0" collapsed="false">
      <c r="B500" s="27" t="s">
        <v>715</v>
      </c>
      <c r="C500" s="28" t="s">
        <v>707</v>
      </c>
      <c r="F500" s="41" t="n">
        <f aca="false">F289</f>
        <v>2.15701345045292</v>
      </c>
      <c r="G500" s="41" t="n">
        <f aca="false">G289</f>
        <v>2.20089585666293</v>
      </c>
      <c r="H500" s="41" t="n">
        <f aca="false">H289</f>
        <v>1.85678660491628</v>
      </c>
      <c r="J500" s="53" t="str">
        <f aca="false">IF(ABS(H500-G500)&gt;$H$483*ABS(G500-F500),"MATERIAL CHANGE in T: Δ "&amp;TEXT(H500-G500,"+0.00;-0.00")&amp;"x"&amp;" vs Δ "&amp;TEXT(G500-F500,"+0.00;-0.00")&amp;"x"&amp;" in T−1","Δ T "&amp;TEXT(H500-G500,"+0.00;-0.00")&amp;"x"&amp;" vs Δ T−1 "&amp;TEXT(G500-F500,"+0.00;-0.00")&amp;"x")</f>
        <v>MATERIAL CHANGE in T: Δ -0.34x vs Δ +0.04x in T−1</v>
      </c>
    </row>
    <row r="502" customFormat="false" ht="15" hidden="false" customHeight="false" outlineLevel="0" collapsed="false">
      <c r="B502" s="37" t="s">
        <v>716</v>
      </c>
      <c r="C502" s="28" t="s">
        <v>707</v>
      </c>
    </row>
    <row r="503" customFormat="false" ht="15" hidden="false" customHeight="false" outlineLevel="0" collapsed="false">
      <c r="B503" s="31" t="s">
        <v>717</v>
      </c>
      <c r="C503" s="28" t="s">
        <v>707</v>
      </c>
      <c r="F503" s="32" t="n">
        <f aca="false">F334</f>
        <v>0.0500555223370633</v>
      </c>
      <c r="G503" s="32" t="n">
        <f aca="false">G334</f>
        <v>0.0563301728945901</v>
      </c>
      <c r="H503" s="32" t="n">
        <f aca="false">H334</f>
        <v>0.0497853565466253</v>
      </c>
      <c r="J503" s="53" t="str">
        <f aca="false">IF(ABS(H503-G503)&gt;$H$483*ABS(G503-F503),"MATERIAL CHANGE in T: Δ "&amp;TEXT((H503-G503)*100,"+0.0;-0.0")&amp;" pp"&amp;" vs Δ "&amp;TEXT((G503-F503)*100,"+0.0;-0.0")&amp;" pp"&amp;" in T−1","Δ T "&amp;TEXT((H503-G503)*100,"+0.0;-0.0")&amp;" pp"&amp;" vs Δ T−1 "&amp;TEXT((G503-F503)*100,"+0.0;-0.0")&amp;" pp")</f>
        <v>Δ T -0.7 pp vs Δ T−1 +0.6 pp</v>
      </c>
    </row>
    <row r="504" customFormat="false" ht="15" hidden="false" customHeight="false" outlineLevel="0" collapsed="false">
      <c r="B504" s="31" t="s">
        <v>718</v>
      </c>
      <c r="C504" s="28" t="s">
        <v>707</v>
      </c>
      <c r="F504" s="32" t="n">
        <f aca="false">F341</f>
        <v>0.0782290591876935</v>
      </c>
      <c r="G504" s="32" t="n">
        <f aca="false">G341</f>
        <v>0.0960559313017707</v>
      </c>
      <c r="H504" s="32" t="n">
        <f aca="false">H341</f>
        <v>0.111552346570397</v>
      </c>
      <c r="J504" s="53" t="str">
        <f aca="false">IF(ABS(H504-G504)&gt;$H$483*ABS(G504-F504),"MATERIAL CHANGE in T: Δ "&amp;TEXT((H504-G504)*100,"+0.0;-0.0")&amp;" pp"&amp;" vs Δ "&amp;TEXT((G504-F504)*100,"+0.0;-0.0")&amp;" pp"&amp;" in T−1","Δ T "&amp;TEXT((H504-G504)*100,"+0.0;-0.0")&amp;" pp"&amp;" vs Δ T−1 "&amp;TEXT((G504-F504)*100,"+0.0;-0.0")&amp;" pp")</f>
        <v>Δ T +1.5 pp vs Δ T−1 +1.8 pp</v>
      </c>
    </row>
    <row r="505" customFormat="false" ht="15" hidden="false" customHeight="false" outlineLevel="0" collapsed="false">
      <c r="B505" s="31" t="s">
        <v>719</v>
      </c>
      <c r="C505" s="28" t="s">
        <v>707</v>
      </c>
      <c r="F505" s="32" t="n">
        <f aca="false">F350</f>
        <v>0.176844783715013</v>
      </c>
      <c r="G505" s="32" t="n">
        <f aca="false">G350</f>
        <v>0.219635099913119</v>
      </c>
      <c r="H505" s="32" t="n">
        <f aca="false">H350</f>
        <v>0.32823454429573</v>
      </c>
      <c r="J505" s="53" t="str">
        <f aca="false">IF(ABS(H505-G505)&gt;$H$483*ABS(G505-F505),"MATERIAL CHANGE in T: Δ "&amp;TEXT((H505-G505)*100,"+0.0;-0.0")&amp;" pp"&amp;" vs Δ "&amp;TEXT((G505-F505)*100,"+0.0;-0.0")&amp;" pp"&amp;" in T−1","Δ T "&amp;TEXT((H505-G505)*100,"+0.0;-0.0")&amp;" pp"&amp;" vs Δ T−1 "&amp;TEXT((G505-F505)*100,"+0.0;-0.0")&amp;" pp")</f>
        <v>MATERIAL CHANGE in T: Δ +10.9 pp vs Δ +4.3 pp in T−1</v>
      </c>
    </row>
    <row r="506" customFormat="false" ht="15" hidden="false" customHeight="false" outlineLevel="0" collapsed="false">
      <c r="B506" s="31" t="s">
        <v>720</v>
      </c>
      <c r="C506" s="28" t="s">
        <v>707</v>
      </c>
      <c r="F506" s="32" t="n">
        <f aca="false">F359</f>
        <v>0.195399628252788</v>
      </c>
      <c r="G506" s="32" t="n">
        <f aca="false">G359</f>
        <v>0.242300556586271</v>
      </c>
      <c r="H506" s="32" t="n">
        <f aca="false">H359</f>
        <v>0.350492390331244</v>
      </c>
      <c r="J506" s="53" t="str">
        <f aca="false">IF(ABS(H506-G506)&gt;$H$483*ABS(G506-F506),"MATERIAL CHANGE in T: Δ "&amp;TEXT((H506-G506)*100,"+0.0;-0.0")&amp;" pp"&amp;" vs Δ "&amp;TEXT((G506-F506)*100,"+0.0;-0.0")&amp;" pp"&amp;" in T−1","Δ T "&amp;TEXT((H506-G506)*100,"+0.0;-0.0")&amp;" pp"&amp;" vs Δ T−1 "&amp;TEXT((G506-F506)*100,"+0.0;-0.0")&amp;" pp")</f>
        <v>MATERIAL CHANGE in T: Δ +10.8 pp vs Δ +4.7 pp in T−1</v>
      </c>
    </row>
    <row r="507" customFormat="false" ht="15" hidden="false" customHeight="false" outlineLevel="0" collapsed="false">
      <c r="B507" s="27" t="s">
        <v>721</v>
      </c>
      <c r="C507" s="28" t="s">
        <v>707</v>
      </c>
      <c r="F507" s="41" t="n">
        <f aca="false">F355</f>
        <v>0.70016586984096</v>
      </c>
      <c r="G507" s="41" t="n">
        <f aca="false">G355</f>
        <v>0.603017039237142</v>
      </c>
      <c r="H507" s="41" t="n">
        <f aca="false">H355</f>
        <v>0.729924325912865</v>
      </c>
      <c r="J507" s="53" t="str">
        <f aca="false">IF(ABS(H507-G507)&gt;$H$483*ABS(G507-F507),"MATERIAL CHANGE in T: Δ "&amp;TEXT(H507-G507,"+0.00;-0.00")&amp;"x"&amp;" vs Δ "&amp;TEXT(G507-F507,"+0.00;-0.00")&amp;"x"&amp;" in T−1","Δ T "&amp;TEXT(H507-G507,"+0.00;-0.00")&amp;"x"&amp;" vs Δ T−1 "&amp;TEXT(G507-F507,"+0.00;-0.00")&amp;"x")</f>
        <v>Δ T +0.13x vs Δ T−1 -0.10x</v>
      </c>
    </row>
    <row r="508" customFormat="false" ht="15" hidden="false" customHeight="false" outlineLevel="0" collapsed="false">
      <c r="B508" s="27" t="s">
        <v>722</v>
      </c>
      <c r="C508" s="28" t="s">
        <v>707</v>
      </c>
      <c r="F508" s="48" t="n">
        <f aca="false">F371</f>
        <v>101.387959866221</v>
      </c>
      <c r="G508" s="48" t="n">
        <f aca="false">G371</f>
        <v>91.4115359688918</v>
      </c>
      <c r="H508" s="48" t="n">
        <f aca="false">H371</f>
        <v>69.1011575239054</v>
      </c>
      <c r="J508" s="53" t="str">
        <f aca="false">IF(ABS(H508-G508)&gt;$H$483*ABS(G508-F508),"MATERIAL CHANGE in T: Δ "&amp;TEXT(H508-G508,"+0.0;-0.0")&amp;" days"&amp;" vs Δ "&amp;TEXT(G508-F508,"+0.0;-0.0")&amp;" days"&amp;" in T−1","Δ T "&amp;TEXT(H508-G508,"+0.0;-0.0")&amp;" days"&amp;" vs Δ T−1 "&amp;TEXT(G508-F508,"+0.0;-0.0")&amp;" days")</f>
        <v>MATERIAL CHANGE in T: Δ -22.3 days vs Δ -10.0 days in T−1</v>
      </c>
    </row>
    <row r="509" customFormat="false" ht="15" hidden="false" customHeight="false" outlineLevel="0" collapsed="false">
      <c r="B509" s="27" t="s">
        <v>723</v>
      </c>
      <c r="C509" s="28" t="s">
        <v>707</v>
      </c>
      <c r="F509" s="48" t="n">
        <f aca="false">F372</f>
        <v>350.808050465605</v>
      </c>
      <c r="G509" s="48" t="n">
        <f aca="false">G372</f>
        <v>389.487388120423</v>
      </c>
      <c r="H509" s="48" t="n">
        <f aca="false">H372</f>
        <v>350.713990920347</v>
      </c>
      <c r="J509" s="53" t="str">
        <f aca="false">IF(ABS(H509-G509)&gt;$H$483*ABS(G509-F509),"MATERIAL CHANGE in T: Δ "&amp;TEXT(H509-G509,"+0.0;-0.0")&amp;" days"&amp;" vs Δ "&amp;TEXT(G509-F509,"+0.0;-0.0")&amp;" days"&amp;" in T−1","Δ T "&amp;TEXT(H509-G509,"+0.0;-0.0")&amp;" days"&amp;" vs Δ T−1 "&amp;TEXT(G509-F509,"+0.0;-0.0")&amp;" days")</f>
        <v>Δ T -38.8 days vs Δ T−1 +38.7 days</v>
      </c>
    </row>
    <row r="510" customFormat="false" ht="15" hidden="false" customHeight="false" outlineLevel="0" collapsed="false">
      <c r="B510" s="27" t="s">
        <v>724</v>
      </c>
      <c r="C510" s="28" t="s">
        <v>707</v>
      </c>
      <c r="F510" s="48" t="n">
        <f aca="false">F373</f>
        <v>111.768292682927</v>
      </c>
      <c r="G510" s="48" t="n">
        <f aca="false">G373</f>
        <v>112.201462225833</v>
      </c>
      <c r="H510" s="48" t="n">
        <f aca="false">H373</f>
        <v>81.2792689891491</v>
      </c>
      <c r="J510" s="53" t="str">
        <f aca="false">IF(ABS(H510-G510)&gt;$H$483*ABS(G510-F510),"MATERIAL CHANGE in T: Δ "&amp;TEXT(H510-G510,"+0.0;-0.0")&amp;" days"&amp;" vs Δ "&amp;TEXT(G510-F510,"+0.0;-0.0")&amp;" days"&amp;" in T−1","Δ T "&amp;TEXT(H510-G510,"+0.0;-0.0")&amp;" days"&amp;" vs Δ T−1 "&amp;TEXT(G510-F510,"+0.0;-0.0")&amp;" days")</f>
        <v>MATERIAL CHANGE in T: Δ -30.9 days vs Δ +0.4 days in T−1</v>
      </c>
    </row>
    <row r="511" customFormat="false" ht="15" hidden="false" customHeight="false" outlineLevel="0" collapsed="false">
      <c r="B511" s="27" t="s">
        <v>725</v>
      </c>
      <c r="C511" s="28" t="s">
        <v>707</v>
      </c>
      <c r="F511" s="48" t="n">
        <f aca="false">F374</f>
        <v>340.427717648899</v>
      </c>
      <c r="G511" s="48" t="n">
        <f aca="false">G374</f>
        <v>368.697461863482</v>
      </c>
      <c r="H511" s="48" t="n">
        <f aca="false">H374</f>
        <v>338.535879455103</v>
      </c>
      <c r="J511" s="53" t="str">
        <f aca="false">IF(ABS(H511-G511)&gt;$H$483*ABS(G511-F511),"MATERIAL CHANGE in T: Δ "&amp;TEXT(H511-G511,"+0.0;-0.0")&amp;" days"&amp;" vs Δ "&amp;TEXT(G511-F511,"+0.0;-0.0")&amp;" days"&amp;" in T−1","Δ T "&amp;TEXT(H511-G511,"+0.0;-0.0")&amp;" days"&amp;" vs Δ T−1 "&amp;TEXT(G511-F511,"+0.0;-0.0")&amp;" days")</f>
        <v>Δ T -30.2 days vs Δ T−1 +28.3 days</v>
      </c>
    </row>
    <row r="512" customFormat="false" ht="15" hidden="false" customHeight="false" outlineLevel="0" collapsed="false">
      <c r="B512" s="31" t="s">
        <v>726</v>
      </c>
      <c r="C512" s="28" t="s">
        <v>707</v>
      </c>
      <c r="F512" s="32" t="n">
        <f aca="false">F379</f>
        <v>0.0551839464882943</v>
      </c>
      <c r="G512" s="32" t="n">
        <f aca="false">G379</f>
        <v>0.0935839274141283</v>
      </c>
      <c r="H512" s="32" t="n">
        <f aca="false">H379</f>
        <v>0.0867639657775541</v>
      </c>
      <c r="J512" s="53" t="str">
        <f aca="false">IF(ABS(H512-G512)&gt;$H$483*ABS(G512-F512),"MATERIAL CHANGE in T: Δ "&amp;TEXT((H512-G512)*100,"+0.0;-0.0")&amp;" pp"&amp;" vs Δ "&amp;TEXT((G512-F512)*100,"+0.0;-0.0")&amp;" pp"&amp;" in T−1","Δ T "&amp;TEXT((H512-G512)*100,"+0.0;-0.0")&amp;" pp"&amp;" vs Δ T−1 "&amp;TEXT((G512-F512)*100,"+0.0;-0.0")&amp;" pp")</f>
        <v>Δ T -0.7 pp vs Δ T−1 +3.8 pp</v>
      </c>
    </row>
    <row r="513" customFormat="false" ht="15" hidden="false" customHeight="false" outlineLevel="0" collapsed="false">
      <c r="B513" s="27" t="s">
        <v>727</v>
      </c>
      <c r="C513" s="28" t="s">
        <v>707</v>
      </c>
      <c r="F513" s="41" t="n">
        <f aca="false">F380</f>
        <v>1.28571428571429</v>
      </c>
      <c r="G513" s="41" t="n">
        <f aca="false">G380</f>
        <v>1.79156327543424</v>
      </c>
      <c r="H513" s="41" t="n">
        <f aca="false">H380</f>
        <v>1.72055888223553</v>
      </c>
      <c r="J513" s="53" t="str">
        <f aca="false">IF(H513&gt;1,"T &gt; 1: investment exceeds consumption = development (S5 sl.12)","T ≤ 1: maintenance investment (S5 sl.12)")&amp;" | "&amp;IF(ABS(H513-G513)&gt;$H$483*ABS(G513-F513),"MATERIAL CHANGE in T: Δ "&amp;TEXT(H513-G513,"+0.00;-0.00")&amp;"x"&amp;" vs Δ "&amp;TEXT(G513-F513,"+0.00;-0.00")&amp;"x"&amp;" in T−1","Δ T "&amp;TEXT(H513-G513,"+0.00;-0.00")&amp;"x"&amp;" vs Δ T−1 "&amp;TEXT(G513-F513,"+0.00;-0.00")&amp;"x")</f>
        <v>T &gt; 1: investment exceeds consumption = development (S5 sl.12) | Δ T -0.07x vs Δ T−1 +0.51x</v>
      </c>
    </row>
    <row r="514" customFormat="false" ht="15" hidden="false" customHeight="false" outlineLevel="0" collapsed="false">
      <c r="B514" s="31" t="s">
        <v>728</v>
      </c>
      <c r="C514" s="28" t="s">
        <v>707</v>
      </c>
      <c r="F514" s="32" t="n">
        <f aca="false">F385</f>
        <v>0.264548600188739</v>
      </c>
      <c r="G514" s="32" t="n">
        <f aca="false">G385</f>
        <v>0.329465186680121</v>
      </c>
      <c r="H514" s="32" t="n">
        <f aca="false">H385</f>
        <v>0.502890173410405</v>
      </c>
      <c r="J514" s="53" t="str">
        <f aca="false">IF(ABS(H514-G514)&gt;$H$483*ABS(G514-F514),"MATERIAL CHANGE in T: Δ "&amp;TEXT((H514-G514)*100,"+0.0;-0.0")&amp;" pp"&amp;" vs Δ "&amp;TEXT((G514-F514)*100,"+0.0;-0.0")&amp;" pp"&amp;" in T−1","Δ T "&amp;TEXT((H514-G514)*100,"+0.0;-0.0")&amp;" pp"&amp;" vs Δ T−1 "&amp;TEXT((G514-F514)*100,"+0.0;-0.0")&amp;" pp")</f>
        <v>MATERIAL CHANGE in T: Δ +17.3 pp vs Δ +6.5 pp in T−1</v>
      </c>
    </row>
    <row r="515" customFormat="false" ht="15" hidden="false" customHeight="false" outlineLevel="0" collapsed="false">
      <c r="B515" s="31" t="s">
        <v>729</v>
      </c>
      <c r="C515" s="28" t="s">
        <v>707</v>
      </c>
      <c r="F515" s="32" t="n">
        <f aca="false">F387</f>
        <v>0.0592879802608389</v>
      </c>
      <c r="G515" s="32" t="n">
        <f aca="false">G387</f>
        <v>0.0761738116068825</v>
      </c>
      <c r="H515" s="32" t="n">
        <f aca="false">H387</f>
        <v>0.0941898231685312</v>
      </c>
      <c r="J515" s="53" t="str">
        <f aca="false">IF(ABS(H515-G515)&gt;$H$483*ABS(G515-F515),"MATERIAL CHANGE in T: Δ "&amp;TEXT((H515-G515)*100,"+0.0;-0.0")&amp;" pp"&amp;" vs Δ "&amp;TEXT((G515-F515)*100,"+0.0;-0.0")&amp;" pp"&amp;" in T−1","Δ T "&amp;TEXT((H515-G515)*100,"+0.0;-0.0")&amp;" pp"&amp;" vs Δ T−1 "&amp;TEXT((G515-F515)*100,"+0.0;-0.0")&amp;" pp")</f>
        <v>Δ T +1.8 pp vs Δ T−1 +1.7 pp</v>
      </c>
    </row>
    <row r="517" customFormat="false" ht="15" hidden="false" customHeight="false" outlineLevel="0" collapsed="false">
      <c r="B517" s="37" t="s">
        <v>730</v>
      </c>
      <c r="C517" s="28" t="s">
        <v>707</v>
      </c>
    </row>
    <row r="518" customFormat="false" ht="15" hidden="false" customHeight="false" outlineLevel="0" collapsed="false">
      <c r="B518" s="31" t="s">
        <v>731</v>
      </c>
      <c r="C518" s="28" t="s">
        <v>707</v>
      </c>
      <c r="F518" s="32" t="n">
        <f aca="false">F392</f>
        <v>0.163875926434257</v>
      </c>
      <c r="G518" s="32" t="n">
        <f aca="false">G392</f>
        <v>0.223740201567749</v>
      </c>
      <c r="H518" s="32" t="n">
        <f aca="false">H392</f>
        <v>0.140007125044532</v>
      </c>
      <c r="J518" s="53" t="str">
        <f aca="false">IF(ABS(H518-G518)&gt;$H$483*ABS(G518-F518),"MATERIAL CHANGE in T: Δ "&amp;TEXT((H518-G518)*100,"+0.0;-0.0")&amp;" pp"&amp;" vs Δ "&amp;TEXT((G518-F518)*100,"+0.0;-0.0")&amp;" pp"&amp;" in T−1","Δ T "&amp;TEXT((H518-G518)*100,"+0.0;-0.0")&amp;" pp"&amp;" vs Δ T−1 "&amp;TEXT((G518-F518)*100,"+0.0;-0.0")&amp;" pp")</f>
        <v>Δ T -8.4 pp vs Δ T−1 +6.0 pp</v>
      </c>
    </row>
    <row r="519" customFormat="false" ht="15" hidden="false" customHeight="false" outlineLevel="0" collapsed="false">
      <c r="B519" s="31" t="s">
        <v>569</v>
      </c>
      <c r="C519" s="28" t="s">
        <v>707</v>
      </c>
      <c r="F519" s="32" t="n">
        <f aca="false">F393</f>
        <v>0.160856437002471</v>
      </c>
      <c r="G519" s="32" t="n">
        <f aca="false">G393</f>
        <v>0.180963045912654</v>
      </c>
      <c r="H519" s="32" t="n">
        <f aca="false">H393</f>
        <v>0.148735304595654</v>
      </c>
      <c r="J519" s="53" t="str">
        <f aca="false">IF(ABS(H519-G519)&gt;$H$483*ABS(G519-F519),"MATERIAL CHANGE in T: Δ "&amp;TEXT((H519-G519)*100,"+0.0;-0.0")&amp;" pp"&amp;" vs Δ "&amp;TEXT((G519-F519)*100,"+0.0;-0.0")&amp;" pp"&amp;" in T−1","Δ T "&amp;TEXT((H519-G519)*100,"+0.0;-0.0")&amp;" pp"&amp;" vs Δ T−1 "&amp;TEXT((G519-F519)*100,"+0.0;-0.0")&amp;" pp")</f>
        <v>Δ T -3.2 pp vs Δ T−1 +2.0 pp</v>
      </c>
    </row>
    <row r="520" customFormat="false" ht="15" hidden="false" customHeight="false" outlineLevel="0" collapsed="false">
      <c r="B520" s="31" t="s">
        <v>732</v>
      </c>
      <c r="C520" s="28" t="s">
        <v>707</v>
      </c>
      <c r="F520" s="32" t="n">
        <f aca="false">F432</f>
        <v>0.0527966544694198</v>
      </c>
      <c r="G520" s="32" t="n">
        <f aca="false">G432</f>
        <v>0.0429219975237309</v>
      </c>
      <c r="H520" s="32" t="n">
        <f aca="false">H432</f>
        <v>0.0866510538641686</v>
      </c>
      <c r="J520" s="53" t="str">
        <f aca="false">IF(ABS(H520-G520)&gt;$H$483*ABS(G520-F520),"MATERIAL CHANGE in T: Δ "&amp;TEXT((H520-G520)*100,"+0.0;-0.0")&amp;" pp"&amp;" vs Δ "&amp;TEXT((G520-F520)*100,"+0.0;-0.0")&amp;" pp"&amp;" in T−1","Δ T "&amp;TEXT((H520-G520)*100,"+0.0;-0.0")&amp;" pp"&amp;" vs Δ T−1 "&amp;TEXT((G520-F520)*100,"+0.0;-0.0")&amp;" pp")</f>
        <v>MATERIAL CHANGE in T: Δ +4.4 pp vs Δ -1.0 pp in T−1</v>
      </c>
    </row>
    <row r="521" customFormat="false" ht="15" hidden="false" customHeight="false" outlineLevel="0" collapsed="false">
      <c r="B521" s="31" t="s">
        <v>733</v>
      </c>
      <c r="C521" s="28" t="s">
        <v>707</v>
      </c>
      <c r="F521" s="32" t="n">
        <f aca="false">F433</f>
        <v>0.102530919324677</v>
      </c>
      <c r="G521" s="32" t="n">
        <f aca="false">G433</f>
        <v>0.14261807216268</v>
      </c>
      <c r="H521" s="32" t="n">
        <f aca="false">H433</f>
        <v>0.138004493634018</v>
      </c>
      <c r="J521" s="53" t="str">
        <f aca="false">IF(H521&gt;0,"T spread &gt; 0: leverage raises ROE (S6 sl.7)","T spread ≤ 0: leverage lowers ROE (S6 sl.7)")&amp;" | "&amp;IF(ABS(H521-G521)&gt;$H$483*ABS(G521-F521),"MATERIAL CHANGE in T: Δ "&amp;TEXT((H521-G521)*100,"+0.0;-0.0")&amp;" pp"&amp;" vs Δ "&amp;TEXT((G521-F521)*100,"+0.0;-0.0")&amp;" pp"&amp;" in T−1","Δ T "&amp;TEXT((H521-G521)*100,"+0.0;-0.0")&amp;" pp"&amp;" vs Δ T−1 "&amp;TEXT((G521-F521)*100,"+0.0;-0.0")&amp;" pp")</f>
        <v>T spread &gt; 0: leverage raises ROE (S6 sl.7) | Δ T -0.5 pp vs Δ T−1 +4.0 pp</v>
      </c>
    </row>
    <row r="522" customFormat="false" ht="15" hidden="false" customHeight="false" outlineLevel="0" collapsed="false">
      <c r="B522" s="27" t="s">
        <v>734</v>
      </c>
      <c r="C522" s="28" t="s">
        <v>707</v>
      </c>
      <c r="F522" s="41" t="n">
        <f aca="false">F434</f>
        <v>0.525116662091683</v>
      </c>
      <c r="G522" s="41" t="n">
        <f aca="false">G434</f>
        <v>0.542665173572228</v>
      </c>
      <c r="H522" s="41" t="n">
        <f aca="false">H434</f>
        <v>0.228179551122195</v>
      </c>
      <c r="J522" s="53" t="str">
        <f aca="false">IF(ABS(H522-G522)&gt;$H$483*ABS(G522-F522),"MATERIAL CHANGE in T: Δ "&amp;TEXT(H522-G522,"+0.00;-0.00")&amp;"x"&amp;" vs Δ "&amp;TEXT(G522-F522,"+0.00;-0.00")&amp;"x"&amp;" in T−1","Δ T "&amp;TEXT(H522-G522,"+0.00;-0.00")&amp;"x"&amp;" vs Δ T−1 "&amp;TEXT(G522-F522,"+0.00;-0.00")&amp;"x")</f>
        <v>MATERIAL CHANGE in T: Δ -0.31x vs Δ +0.02x in T−1</v>
      </c>
    </row>
    <row r="523" customFormat="false" ht="15" hidden="false" customHeight="false" outlineLevel="0" collapsed="false">
      <c r="B523" s="27" t="s">
        <v>735</v>
      </c>
      <c r="C523" s="28" t="s">
        <v>707</v>
      </c>
      <c r="F523" s="41" t="n">
        <f aca="false">F435</f>
        <v>0.783464566929134</v>
      </c>
      <c r="G523" s="41" t="n">
        <f aca="false">G435</f>
        <v>0.850936967632027</v>
      </c>
      <c r="H523" s="41" t="n">
        <f aca="false">H435</f>
        <v>0.546592489568846</v>
      </c>
      <c r="J523" s="53" t="str">
        <f aca="false">IF(ABS(H523-G523)&gt;$H$483*ABS(G523-F523),"MATERIAL CHANGE in T: Δ "&amp;TEXT(H523-G523,"+0.00;-0.00")&amp;"x"&amp;" vs Δ "&amp;TEXT(G523-F523,"+0.00;-0.00")&amp;"x"&amp;" in T−1","Δ T "&amp;TEXT(H523-G523,"+0.00;-0.00")&amp;"x"&amp;" vs Δ T−1 "&amp;TEXT(G523-F523,"+0.00;-0.00")&amp;"x")</f>
        <v>MATERIAL CHANGE in T: Δ -0.30x vs Δ +0.07x in T−1</v>
      </c>
    </row>
    <row r="524" customFormat="false" ht="15" hidden="false" customHeight="false" outlineLevel="0" collapsed="false">
      <c r="B524" s="31" t="s">
        <v>736</v>
      </c>
      <c r="C524" s="28" t="s">
        <v>707</v>
      </c>
      <c r="F524" s="32" t="n">
        <f aca="false">F440</f>
        <v>0.209168267911062</v>
      </c>
      <c r="G524" s="32" t="n">
        <f aca="false">G440</f>
        <v>0.262933930571109</v>
      </c>
      <c r="H524" s="32" t="n">
        <f aca="false">H440</f>
        <v>0.256145350908443</v>
      </c>
      <c r="J524" s="53" t="str">
        <f aca="false">IF(ABS(H524-G524)&gt;$H$483*ABS(G524-F524),"MATERIAL CHANGE in T: Δ "&amp;TEXT((H524-G524)*100,"+0.0;-0.0")&amp;" pp"&amp;" vs Δ "&amp;TEXT((G524-F524)*100,"+0.0;-0.0")&amp;" pp"&amp;" in T−1","Δ T "&amp;TEXT((H524-G524)*100,"+0.0;-0.0")&amp;" pp"&amp;" vs Δ T−1 "&amp;TEXT((G524-F524)*100,"+0.0;-0.0")&amp;" pp")</f>
        <v>Δ T -0.7 pp vs Δ T−1 +5.4 pp</v>
      </c>
    </row>
    <row r="525" customFormat="false" ht="15" hidden="false" customHeight="false" outlineLevel="0" collapsed="false">
      <c r="B525" s="31" t="s">
        <v>737</v>
      </c>
      <c r="C525" s="28" t="s">
        <v>707</v>
      </c>
      <c r="F525" s="32" t="n">
        <f aca="false">F467</f>
        <v>0.138491639241846</v>
      </c>
      <c r="G525" s="32" t="n">
        <f aca="false">G467</f>
        <v>0.161260308918088</v>
      </c>
      <c r="H525" s="32" t="n">
        <f aca="false">H467</f>
        <v>0.226758251189609</v>
      </c>
      <c r="J525" s="53" t="str">
        <f aca="false">IF(ABS(H525-G525)&gt;$H$483*ABS(G525-F525),"MATERIAL CHANGE in T: Δ "&amp;TEXT((H525-G525)*100,"+0.0;-0.0")&amp;" pp"&amp;" vs Δ "&amp;TEXT((G525-F525)*100,"+0.0;-0.0")&amp;" pp"&amp;" in T−1","Δ T "&amp;TEXT((H525-G525)*100,"+0.0;-0.0")&amp;" pp"&amp;" vs Δ T−1 "&amp;TEXT((G525-F525)*100,"+0.0;-0.0")&amp;" pp")</f>
        <v>MATERIAL CHANGE in T: Δ +6.5 pp vs Δ +2.3 pp in T−1</v>
      </c>
    </row>
    <row r="526" customFormat="false" ht="15" hidden="false" customHeight="false" outlineLevel="0" collapsed="false">
      <c r="B526" s="31" t="s">
        <v>738</v>
      </c>
      <c r="C526" s="28" t="s">
        <v>707</v>
      </c>
      <c r="F526" s="32" t="n">
        <f aca="false">F476</f>
        <v>0.0838004080927597</v>
      </c>
      <c r="G526" s="32" t="n">
        <f aca="false">G476</f>
        <v>0.0875173057321185</v>
      </c>
      <c r="H526" s="32" t="n">
        <f aca="false">H476</f>
        <v>0.124047371590611</v>
      </c>
      <c r="J526" s="53" t="str">
        <f aca="false">IF(ABS(H526-G526)&gt;$H$483*ABS(G526-F526),"MATERIAL CHANGE in T: Δ "&amp;TEXT((H526-G526)*100,"+0.0;-0.0")&amp;" pp"&amp;" vs Δ "&amp;TEXT((G526-F526)*100,"+0.0;-0.0")&amp;" pp"&amp;" in T−1","Δ T "&amp;TEXT((H526-G526)*100,"+0.0;-0.0")&amp;" pp"&amp;" vs Δ T−1 "&amp;TEXT((G526-F526)*100,"+0.0;-0.0")&amp;" pp")</f>
        <v>MATERIAL CHANGE in T: Δ +3.7 pp vs Δ +0.4 pp in T−1</v>
      </c>
    </row>
    <row r="527" customFormat="false" ht="15" hidden="false" customHeight="false" outlineLevel="0" collapsed="false">
      <c r="B527" s="30" t="s">
        <v>739</v>
      </c>
    </row>
    <row r="529" customFormat="false" ht="15" hidden="false" customHeight="false" outlineLevel="0" collapsed="false">
      <c r="A529" s="25" t="s">
        <v>11</v>
      </c>
      <c r="B529" s="26" t="s">
        <v>740</v>
      </c>
      <c r="C529" s="14"/>
      <c r="D529" s="14"/>
      <c r="E529" s="14"/>
      <c r="F529" s="14"/>
      <c r="G529" s="14"/>
      <c r="H529" s="14"/>
    </row>
    <row r="531" customFormat="false" ht="15" hidden="false" customHeight="false" outlineLevel="0" collapsed="false">
      <c r="B531" s="27" t="s">
        <v>741</v>
      </c>
      <c r="F531" s="36" t="n">
        <f aca="false">F36+F41+SUM(F54:F60)-F33-'Reported Financials'!F69</f>
        <v>0</v>
      </c>
      <c r="G531" s="36" t="n">
        <f aca="false">G36+G41+SUM(G54:G60)-G33-'Reported Financials'!G69</f>
        <v>0</v>
      </c>
      <c r="H531" s="36" t="n">
        <f aca="false">H36+H41+SUM(H54:H60)-H33-'Reported Financials'!H69</f>
        <v>0</v>
      </c>
      <c r="J531" s="21" t="str">
        <f aca="false">IF(MAX(ABS(F531),ABS(G531),ABS(H531))&lt;='Reported Financials'!$E$233,"OK","CHECK")</f>
        <v>OK</v>
      </c>
    </row>
    <row r="532" customFormat="false" ht="15" hidden="false" customHeight="false" outlineLevel="0" collapsed="false">
      <c r="B532" s="27" t="s">
        <v>742</v>
      </c>
      <c r="F532" s="36" t="n">
        <f aca="false">F81-'Reported Financials'!F120</f>
        <v>0</v>
      </c>
      <c r="G532" s="36" t="n">
        <f aca="false">G81-'Reported Financials'!G120</f>
        <v>0</v>
      </c>
      <c r="H532" s="36" t="n">
        <f aca="false">H81-'Reported Financials'!H120</f>
        <v>0</v>
      </c>
      <c r="J532" s="21" t="str">
        <f aca="false">IF(MAX(ABS(F532),ABS(G532),ABS(H532))&lt;='Reported Financials'!$E$233,"OK","CHECK")</f>
        <v>OK</v>
      </c>
    </row>
    <row r="533" customFormat="false" ht="15" hidden="false" customHeight="false" outlineLevel="0" collapsed="false">
      <c r="B533" s="27" t="s">
        <v>743</v>
      </c>
      <c r="F533" s="36" t="n">
        <f aca="false">F50+SUM(F54:F60)-'Reported Financials'!F73</f>
        <v>0</v>
      </c>
      <c r="G533" s="36" t="n">
        <f aca="false">G50+SUM(G54:G60)-'Reported Financials'!G73</f>
        <v>0</v>
      </c>
      <c r="H533" s="36" t="n">
        <f aca="false">H50+SUM(H54:H60)-'Reported Financials'!H73</f>
        <v>0</v>
      </c>
      <c r="J533" s="21" t="str">
        <f aca="false">IF(MAX(ABS(F533),ABS(G533),ABS(H533))&lt;='Reported Financials'!$E$233,"OK","CHECK")</f>
        <v>OK</v>
      </c>
    </row>
    <row r="534" customFormat="false" ht="15" hidden="false" customHeight="false" outlineLevel="0" collapsed="false">
      <c r="B534" s="27" t="s">
        <v>744</v>
      </c>
      <c r="E534" s="36" t="n">
        <f aca="false">E264-E278</f>
        <v>0</v>
      </c>
      <c r="F534" s="36" t="n">
        <f aca="false">F264-F278</f>
        <v>0</v>
      </c>
      <c r="G534" s="36" t="n">
        <f aca="false">G264-G278</f>
        <v>0</v>
      </c>
      <c r="H534" s="36" t="n">
        <f aca="false">H264-H278</f>
        <v>0</v>
      </c>
      <c r="J534" s="21" t="str">
        <f aca="false">IF(MAX(ABS(E534),ABS(F534),ABS(G534),ABS(H534))&lt;='Reported Financials'!$E$233,"OK","CHECK")</f>
        <v>OK</v>
      </c>
    </row>
    <row r="535" customFormat="false" ht="15" hidden="false" customHeight="false" outlineLevel="0" collapsed="false">
      <c r="B535" s="27" t="s">
        <v>745</v>
      </c>
      <c r="E535" s="36" t="n">
        <f aca="false">E227+E248+E253+E258+E254+'Reported Financials'!E143+'Reported Financials'!E142+'Reported Financials'!E141+E261-'Reported Financials'!E147</f>
        <v>0</v>
      </c>
      <c r="F535" s="36" t="n">
        <f aca="false">F227+F248+F253+F258+F254+'Reported Financials'!F143+'Reported Financials'!F142+'Reported Financials'!F141+F261-'Reported Financials'!F147</f>
        <v>0</v>
      </c>
      <c r="G535" s="36" t="n">
        <f aca="false">G227+G248+G253+G258+G254+'Reported Financials'!G143+'Reported Financials'!G142+'Reported Financials'!G141+G261-'Reported Financials'!G147</f>
        <v>0</v>
      </c>
      <c r="H535" s="36" t="n">
        <f aca="false">H227+H248+H253+H258+H254+'Reported Financials'!H143+'Reported Financials'!H142+'Reported Financials'!H141+H261-'Reported Financials'!H147</f>
        <v>0</v>
      </c>
      <c r="J535" s="21" t="str">
        <f aca="false">IF(MAX(ABS(E535),ABS(F535),ABS(G535),ABS(H535))&lt;='Reported Financials'!$E$233,"OK","CHECK")</f>
        <v>OK</v>
      </c>
    </row>
    <row r="536" customFormat="false" ht="15" hidden="false" customHeight="false" outlineLevel="0" collapsed="false">
      <c r="B536" s="27" t="s">
        <v>746</v>
      </c>
      <c r="E536" s="36" t="n">
        <f aca="false">E237-E262-E255+'Reported Financials'!E173+E267+E268+E276-'Reported Financials'!E177</f>
        <v>0</v>
      </c>
      <c r="F536" s="36" t="n">
        <f aca="false">F237-F262-F255+'Reported Financials'!F173+F267+F268+F276-'Reported Financials'!F177</f>
        <v>0</v>
      </c>
      <c r="G536" s="36" t="n">
        <f aca="false">G237-G262-G255+'Reported Financials'!G173+G267+G268+G276-'Reported Financials'!G177</f>
        <v>0</v>
      </c>
      <c r="H536" s="36" t="n">
        <f aca="false">H237-H262-H255+'Reported Financials'!H173+H267+H268+H276-'Reported Financials'!H177</f>
        <v>0</v>
      </c>
      <c r="J536" s="21" t="str">
        <f aca="false">IF(MAX(ABS(E536),ABS(F536),ABS(G536),ABS(H536))&lt;='Reported Financials'!$E$233,"OK","CHECK")</f>
        <v>OK</v>
      </c>
    </row>
    <row r="537" customFormat="false" ht="15" hidden="false" customHeight="false" outlineLevel="0" collapsed="false">
      <c r="B537" s="27" t="s">
        <v>747</v>
      </c>
      <c r="E537" s="36" t="n">
        <f aca="false">E285</f>
        <v>0</v>
      </c>
      <c r="F537" s="36" t="n">
        <f aca="false">F285</f>
        <v>0</v>
      </c>
      <c r="G537" s="36" t="n">
        <f aca="false">G285</f>
        <v>0</v>
      </c>
      <c r="H537" s="36" t="n">
        <f aca="false">H285</f>
        <v>0</v>
      </c>
      <c r="J537" s="21" t="str">
        <f aca="false">IF(MAX(ABS(E537),ABS(F537),ABS(G537),ABS(H537))&lt;='Reported Financials'!$E$233,"OK","CHECK")</f>
        <v>OK</v>
      </c>
    </row>
    <row r="538" customFormat="false" ht="15" hidden="false" customHeight="false" outlineLevel="0" collapsed="false">
      <c r="B538" s="27" t="s">
        <v>748</v>
      </c>
      <c r="F538" s="36" t="n">
        <f aca="false">F171-F36</f>
        <v>0</v>
      </c>
      <c r="G538" s="36" t="n">
        <f aca="false">G171-G36</f>
        <v>0</v>
      </c>
      <c r="H538" s="36" t="n">
        <f aca="false">H171-H36</f>
        <v>0</v>
      </c>
      <c r="J538" s="21" t="str">
        <f aca="false">IF(MAX(ABS(F538),ABS(G538),ABS(H538))&lt;='Reported Financials'!$E$233,"OK","CHECK")</f>
        <v>OK</v>
      </c>
    </row>
    <row r="539" customFormat="false" ht="15" hidden="false" customHeight="false" outlineLevel="0" collapsed="false">
      <c r="B539" s="27" t="s">
        <v>749</v>
      </c>
      <c r="F539" s="36" t="n">
        <f aca="false">F138-(F133+F134+F135+F136+F137)</f>
        <v>0</v>
      </c>
      <c r="G539" s="36" t="n">
        <f aca="false">G138-(G133+G134+G135+G136+G137)</f>
        <v>0</v>
      </c>
      <c r="H539" s="36" t="n">
        <f aca="false">H138-(H133+H134+H135+H136+H137)</f>
        <v>0</v>
      </c>
      <c r="J539" s="21" t="str">
        <f aca="false">IF(MAX(ABS(F539),ABS(G539),ABS(H539))&lt;='Reported Financials'!$E$233,"OK","CHECK")</f>
        <v>OK</v>
      </c>
    </row>
    <row r="540" customFormat="false" ht="15" hidden="false" customHeight="false" outlineLevel="0" collapsed="false">
      <c r="B540" s="21" t="s">
        <v>750</v>
      </c>
      <c r="H540" s="51" t="n">
        <v>0.0001</v>
      </c>
    </row>
    <row r="541" customFormat="false" ht="15" hidden="false" customHeight="false" outlineLevel="0" collapsed="false">
      <c r="B541" s="31" t="s">
        <v>751</v>
      </c>
      <c r="F541" s="32" t="n">
        <f aca="false">F341-(F337*F338+F339*F340)</f>
        <v>0</v>
      </c>
      <c r="G541" s="32" t="n">
        <f aca="false">G341-(G337*G338+G339*G340)</f>
        <v>0</v>
      </c>
      <c r="H541" s="32" t="n">
        <f aca="false">H341-(H337*H338+H339*H340)</f>
        <v>0</v>
      </c>
      <c r="J541" s="21" t="str">
        <f aca="false">IF(MAX(ABS(F541),ABS(G541),ABS(H541))&lt;=$H$540,"OK","CHECK")</f>
        <v>OK</v>
      </c>
    </row>
    <row r="542" customFormat="false" ht="15" hidden="false" customHeight="false" outlineLevel="0" collapsed="false">
      <c r="B542" s="31" t="s">
        <v>752</v>
      </c>
      <c r="F542" s="32" t="n">
        <f aca="false">F350-(F346*F347+F348*F349)</f>
        <v>0</v>
      </c>
      <c r="G542" s="32" t="n">
        <f aca="false">G350-(G346*G347+G348*G349)</f>
        <v>0</v>
      </c>
      <c r="H542" s="32" t="n">
        <f aca="false">H350-(H346*H347+H348*H349)</f>
        <v>0</v>
      </c>
      <c r="J542" s="21" t="str">
        <f aca="false">IF(MAX(ABS(F542),ABS(G542),ABS(H542))&lt;=$H$540,"OK","CHECK")</f>
        <v>OK</v>
      </c>
    </row>
    <row r="543" customFormat="false" ht="15" hidden="false" customHeight="false" outlineLevel="0" collapsed="false">
      <c r="B543" s="31" t="s">
        <v>753</v>
      </c>
      <c r="F543" s="32" t="n">
        <f aca="false">F359-F346</f>
        <v>0</v>
      </c>
      <c r="G543" s="32" t="n">
        <f aca="false">G359-G346</f>
        <v>0</v>
      </c>
      <c r="H543" s="32" t="n">
        <f aca="false">H359-H346</f>
        <v>0</v>
      </c>
      <c r="J543" s="21" t="str">
        <f aca="false">IF(MAX(ABS(F543),ABS(G543),ABS(H543))&lt;=$H$540,"OK","CHECK")</f>
        <v>OK</v>
      </c>
    </row>
    <row r="544" customFormat="false" ht="15" hidden="false" customHeight="false" outlineLevel="0" collapsed="false">
      <c r="B544" s="31" t="s">
        <v>754</v>
      </c>
      <c r="F544" s="32" t="n">
        <f aca="false">F356-F358</f>
        <v>0</v>
      </c>
      <c r="G544" s="32" t="n">
        <f aca="false">G356-G358</f>
        <v>0</v>
      </c>
      <c r="H544" s="32" t="n">
        <f aca="false">H356-H358</f>
        <v>0</v>
      </c>
      <c r="J544" s="21" t="str">
        <f aca="false">IF(MAX(ABS(F544),ABS(G544),ABS(H544))&lt;=$H$540,"OK","CHECK")</f>
        <v>OK</v>
      </c>
    </row>
    <row r="545" customFormat="false" ht="15" hidden="false" customHeight="false" outlineLevel="0" collapsed="false">
      <c r="B545" s="31" t="s">
        <v>755</v>
      </c>
      <c r="F545" s="32" t="n">
        <f aca="false">F402-F393</f>
        <v>0</v>
      </c>
      <c r="G545" s="32" t="n">
        <f aca="false">G402-G393</f>
        <v>0</v>
      </c>
      <c r="H545" s="32" t="n">
        <f aca="false">H402-H393</f>
        <v>0</v>
      </c>
      <c r="J545" s="21" t="str">
        <f aca="false">IF(MAX(ABS(F545),ABS(G545),ABS(H545))&lt;=$H$540,"OK","CHECK")</f>
        <v>OK</v>
      </c>
    </row>
    <row r="546" customFormat="false" ht="15" hidden="false" customHeight="false" outlineLevel="0" collapsed="false">
      <c r="B546" s="31" t="s">
        <v>756</v>
      </c>
      <c r="F546" s="32" t="n">
        <f aca="false">F400-F401</f>
        <v>0</v>
      </c>
      <c r="G546" s="32" t="n">
        <f aca="false">G400-G401</f>
        <v>0</v>
      </c>
      <c r="H546" s="32" t="n">
        <f aca="false">H400-H401</f>
        <v>0</v>
      </c>
      <c r="J546" s="21" t="str">
        <f aca="false">IF(MAX(ABS(F546),ABS(G546),ABS(H546))&lt;=$H$540,"OK","CHECK")</f>
        <v>OK</v>
      </c>
    </row>
    <row r="547" customFormat="false" ht="15" hidden="false" customHeight="false" outlineLevel="0" collapsed="false">
      <c r="B547" s="31" t="s">
        <v>757</v>
      </c>
      <c r="F547" s="32" t="n">
        <f aca="false">F411-F393</f>
        <v>0</v>
      </c>
      <c r="G547" s="32" t="n">
        <f aca="false">G411-G393</f>
        <v>0</v>
      </c>
      <c r="H547" s="32" t="n">
        <f aca="false">H411-H393</f>
        <v>0</v>
      </c>
      <c r="J547" s="21" t="str">
        <f aca="false">IF(MAX(ABS(F547),ABS(G547),ABS(H547))&lt;=$H$540,"OK","CHECK")</f>
        <v>OK</v>
      </c>
    </row>
    <row r="548" customFormat="false" ht="15" hidden="false" customHeight="false" outlineLevel="0" collapsed="false">
      <c r="B548" s="31" t="s">
        <v>758</v>
      </c>
      <c r="F548" s="32" t="n">
        <f aca="false">F421-F392</f>
        <v>0</v>
      </c>
      <c r="G548" s="32" t="n">
        <f aca="false">G421-G392</f>
        <v>0</v>
      </c>
      <c r="H548" s="32" t="n">
        <f aca="false">H421-H392</f>
        <v>0</v>
      </c>
      <c r="J548" s="21" t="str">
        <f aca="false">IF(MAX(ABS(F548),ABS(G548),ABS(H548))&lt;=$H$540,"OK","CHECK")</f>
        <v>OK</v>
      </c>
    </row>
    <row r="549" customFormat="false" ht="15" hidden="false" customHeight="false" outlineLevel="0" collapsed="false">
      <c r="B549" s="31" t="s">
        <v>759</v>
      </c>
      <c r="F549" s="32" t="n">
        <f aca="false">F438-F392</f>
        <v>0</v>
      </c>
      <c r="G549" s="32" t="n">
        <f aca="false">G438-G392</f>
        <v>0</v>
      </c>
      <c r="H549" s="32" t="n">
        <f aca="false">H438-H392</f>
        <v>0</v>
      </c>
      <c r="J549" s="21" t="str">
        <f aca="false">IF(MAX(ABS(F549),ABS(G549),ABS(H549))&lt;=$H$540,"OK","CHECK")</f>
        <v>OK</v>
      </c>
    </row>
    <row r="550" customFormat="false" ht="15" hidden="false" customHeight="false" outlineLevel="0" collapsed="false">
      <c r="B550" s="31" t="s">
        <v>760</v>
      </c>
      <c r="F550" s="32" t="n">
        <f aca="false">F425-(F426*F427+F428*F429+F430*F431)</f>
        <v>0</v>
      </c>
      <c r="G550" s="32" t="n">
        <f aca="false">G425-(G426*G427+G428*G429+G430*G431)</f>
        <v>0</v>
      </c>
      <c r="H550" s="32" t="n">
        <f aca="false">H425-(H426*H427+H428*H429+H430*H431)</f>
        <v>0</v>
      </c>
      <c r="J550" s="21" t="str">
        <f aca="false">IF(MAX(ABS(F550),ABS(G550),ABS(H550))&lt;=$H$540,"OK","CHECK")</f>
        <v>OK</v>
      </c>
    </row>
    <row r="551" customFormat="false" ht="15" hidden="false" customHeight="false" outlineLevel="0" collapsed="false">
      <c r="B551" s="31" t="s">
        <v>761</v>
      </c>
      <c r="F551" s="32" t="n">
        <f aca="false">F435-F436*F437</f>
        <v>0</v>
      </c>
      <c r="G551" s="32" t="n">
        <f aca="false">G435-G436*G437</f>
        <v>0</v>
      </c>
      <c r="H551" s="32" t="n">
        <f aca="false">H435-H436*H437</f>
        <v>0</v>
      </c>
      <c r="J551" s="21" t="str">
        <f aca="false">IF(MAX(ABS(F551),ABS(G551),ABS(H551))&lt;=$H$540,"OK","CHECK")</f>
        <v>OK</v>
      </c>
    </row>
    <row r="552" customFormat="false" ht="15" hidden="false" customHeight="false" outlineLevel="0" collapsed="false">
      <c r="B552" s="31" t="s">
        <v>762</v>
      </c>
      <c r="F552" s="32" t="n">
        <f aca="false">F453-F392</f>
        <v>3.8714514043442E-005</v>
      </c>
      <c r="G552" s="32" t="n">
        <f aca="false">G453-G392</f>
        <v>4.26825406376619E-005</v>
      </c>
      <c r="H552" s="32" t="n">
        <f aca="false">H453-H392</f>
        <v>2.92385730341904E-005</v>
      </c>
      <c r="J552" s="21" t="str">
        <f aca="false">IF(MAX(ABS(F552),ABS(G552),ABS(H552))&lt;=$H$540,"OK","CHECK")</f>
        <v>OK</v>
      </c>
    </row>
    <row r="553" customFormat="false" ht="15" hidden="false" customHeight="false" outlineLevel="0" collapsed="false">
      <c r="B553" s="31" t="s">
        <v>763</v>
      </c>
      <c r="F553" s="32" t="n">
        <f aca="false">F444-(F445*F446+F447*F448)</f>
        <v>0</v>
      </c>
      <c r="G553" s="32" t="n">
        <f aca="false">G444-(G445*G446+G447*G448)</f>
        <v>0</v>
      </c>
      <c r="H553" s="32" t="n">
        <f aca="false">H444-(H445*H446+H447*H448)</f>
        <v>0</v>
      </c>
      <c r="J553" s="21" t="str">
        <f aca="false">IF(MAX(ABS(F553),ABS(G553),ABS(H553))&lt;=$H$540,"OK","CHECK")</f>
        <v>OK</v>
      </c>
    </row>
    <row r="554" customFormat="false" ht="15" hidden="false" customHeight="false" outlineLevel="0" collapsed="false">
      <c r="B554" s="31" t="s">
        <v>764</v>
      </c>
      <c r="F554" s="32" t="n">
        <f aca="false">IF(ISNUMBER(F458),F458-F392,0)</f>
        <v>0</v>
      </c>
      <c r="G554" s="32" t="n">
        <f aca="false">IF(ISNUMBER(G458),G458-G392,0)</f>
        <v>0</v>
      </c>
      <c r="H554" s="32" t="n">
        <f aca="false">IF(ISNUMBER(H458),H458-H392,0)</f>
        <v>2.92385730341904E-005</v>
      </c>
      <c r="J554" s="21" t="str">
        <f aca="false">IF(MAX(ABS(F554),ABS(G554),ABS(H554))&lt;=$H$540,"OK","CHECK")</f>
        <v>OK</v>
      </c>
    </row>
    <row r="555" customFormat="false" ht="15" hidden="false" customHeight="false" outlineLevel="0" collapsed="false">
      <c r="B555" s="31" t="s">
        <v>765</v>
      </c>
      <c r="F555" s="32" t="n">
        <f aca="false">F471-F392</f>
        <v>3.8714514043442E-005</v>
      </c>
      <c r="G555" s="32" t="n">
        <f aca="false">G471-G392</f>
        <v>4.26825406376896E-005</v>
      </c>
      <c r="H555" s="32" t="n">
        <f aca="false">H471-H392</f>
        <v>2.92385730342182E-005</v>
      </c>
      <c r="J555" s="21" t="str">
        <f aca="false">IF(MAX(ABS(F555),ABS(G555),ABS(H555))&lt;=$H$540,"OK","CHECK")</f>
        <v>OK</v>
      </c>
    </row>
    <row r="556" customFormat="false" ht="15" hidden="false" customHeight="false" outlineLevel="0" collapsed="false">
      <c r="B556" s="31" t="s">
        <v>766</v>
      </c>
      <c r="F556" s="32" t="n">
        <f aca="false">F478-F467</f>
        <v>0</v>
      </c>
      <c r="G556" s="32" t="n">
        <f aca="false">G478-G467</f>
        <v>0</v>
      </c>
      <c r="H556" s="32" t="n">
        <f aca="false">H478-H467</f>
        <v>0</v>
      </c>
      <c r="J556" s="21" t="str">
        <f aca="false">IF(MAX(ABS(F556),ABS(G556),ABS(H556))&lt;=$H$540,"OK","CHECK")</f>
        <v>OK</v>
      </c>
    </row>
    <row r="557" customFormat="false" ht="15" hidden="false" customHeight="false" outlineLevel="0" collapsed="false">
      <c r="B557" s="54" t="s">
        <v>767</v>
      </c>
      <c r="C557" s="14"/>
      <c r="D557" s="14"/>
      <c r="E557" s="14"/>
      <c r="F557" s="14"/>
      <c r="G557" s="14"/>
      <c r="H557" s="14"/>
      <c r="J557" s="55" t="str">
        <f aca="false">IF(COUNTIF(J531:J556,"CHECK")=0,"ALL OK",COUNTIF(J531:J556,"CHECK")&amp;" to check")</f>
        <v>ALL OK</v>
      </c>
    </row>
    <row r="559" customFormat="false" ht="15" hidden="false" customHeight="false" outlineLevel="0" collapsed="false">
      <c r="A559" s="25" t="s">
        <v>11</v>
      </c>
      <c r="B559" s="16" t="s">
        <v>431</v>
      </c>
    </row>
  </sheetData>
  <mergeCells count="11">
    <mergeCell ref="B343:J343"/>
    <mergeCell ref="B351:J351"/>
    <mergeCell ref="B366:J366"/>
    <mergeCell ref="B367:J367"/>
    <mergeCell ref="B368:J368"/>
    <mergeCell ref="B375:J375"/>
    <mergeCell ref="B395:J395"/>
    <mergeCell ref="B410:J410"/>
    <mergeCell ref="B439:J439"/>
    <mergeCell ref="B459:J459"/>
    <mergeCell ref="B479:J479"/>
  </mergeCells>
  <conditionalFormatting sqref="J486:J526">
    <cfRule type="expression" priority="2" aboveAverage="0" equalAverage="0" bottom="0" percent="0" rank="0" text="" dxfId="0">
      <formula>ISNUMBER(SEARCH("MATERIAL",J486))</formula>
    </cfRule>
    <cfRule type="expression" priority="3" aboveAverage="0" equalAverage="0" bottom="0" percent="0" rank="0" text="" dxfId="1">
      <formula>ISNUMBER(SEARCH("OUTSIDE",J486))</formula>
    </cfRule>
  </conditionalFormatting>
  <conditionalFormatting sqref="J531:J557">
    <cfRule type="cellIs" priority="4" operator="equal" aboveAverage="0" equalAverage="0" bottom="0" percent="0" rank="0" text="" dxfId="2">
      <formula>"OK"</formula>
    </cfRule>
    <cfRule type="cellIs" priority="5" operator="equal" aboveAverage="0" equalAverage="0" bottom="0" percent="0" rank="0" text="" dxfId="2">
      <formula>"ALL OK"</formula>
    </cfRule>
    <cfRule type="cellIs" priority="6" operator="equal" aboveAverage="0" equalAverage="0" bottom="0" percent="0" rank="0" text="" dxfId="1">
      <formula>"CHECK"</formula>
    </cfRule>
  </conditionalFormatting>
  <printOptions headings="false" gridLines="false" gridLinesSet="true" horizontalCentered="false" verticalCentered="false"/>
  <pageMargins left="0.4" right="0.4" top="0.4" bottom="0.4"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F2F2"/>
    <pageSetUpPr fitToPage="false"/>
  </sheetPr>
  <dimension ref="A1:F1"/>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n">
        <v>6</v>
      </c>
      <c r="B1" s="0" t="s">
        <v>768</v>
      </c>
      <c r="C1" s="0" t="s">
        <v>769</v>
      </c>
      <c r="D1" s="0" t="s">
        <v>770</v>
      </c>
      <c r="E1" s="0" t="s">
        <v>771</v>
      </c>
      <c r="F1" s="0" t="s">
        <v>772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A1:K315"/>
  <sheetViews>
    <sheetView showFormulas="false" showGridLines="false" showRowColHeaders="true" showZeros="true" rightToLeft="false" tabSelected="true" showOutlineSymbols="true" defaultGridColor="true" view="pageBreakPreview" topLeftCell="A1" colorId="64" zoomScale="85" zoomScaleNormal="100" zoomScalePageLayoutView="85"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2" min="2" style="0" width="74"/>
    <col collapsed="false" customWidth="true" hidden="false" outlineLevel="0" max="3" min="3" style="0" width="6"/>
    <col collapsed="false" customWidth="true" hidden="false" outlineLevel="0" max="4" min="4" style="0" width="2"/>
    <col collapsed="false" customWidth="true" hidden="false" outlineLevel="0" max="8" min="5" style="0" width="12.3"/>
    <col collapsed="false" customWidth="true" hidden="false" outlineLevel="0" max="9" min="9" style="0" width="3"/>
    <col collapsed="false" customWidth="true" hidden="false" outlineLevel="0" max="10" min="10" style="0" width="70"/>
    <col collapsed="false" customWidth="true" hidden="false" outlineLevel="0" max="11" min="11" style="0" width="3"/>
  </cols>
  <sheetData>
    <row r="1" customFormat="false" ht="12" hidden="false" customHeight="true" outlineLevel="0" collapsed="false">
      <c r="A1" s="14"/>
      <c r="B1" s="14"/>
      <c r="C1" s="14"/>
      <c r="D1" s="14"/>
      <c r="E1" s="14"/>
      <c r="F1" s="14"/>
      <c r="G1" s="14"/>
      <c r="H1" s="14"/>
      <c r="I1" s="14"/>
      <c r="J1" s="14"/>
      <c r="K1" s="14"/>
    </row>
    <row r="2" customFormat="false" ht="12" hidden="false" customHeight="true" outlineLevel="0" collapsed="false">
      <c r="A2" s="14"/>
      <c r="B2" s="14"/>
      <c r="C2" s="14"/>
      <c r="D2" s="14"/>
      <c r="E2" s="14"/>
      <c r="F2" s="14"/>
      <c r="G2" s="14"/>
      <c r="H2" s="14"/>
      <c r="I2" s="14"/>
      <c r="J2" s="14"/>
      <c r="K2" s="14"/>
    </row>
    <row r="3" customFormat="false" ht="23.25" hidden="false" customHeight="true" outlineLevel="0" collapsed="false">
      <c r="A3" s="14"/>
      <c r="B3" s="15" t="str">
        <f aca="true">MID(CELL("filename",B3),FIND("]",CELL("filename",B3))+1,256)</f>
        <v>Reported Financials</v>
      </c>
      <c r="C3" s="14"/>
      <c r="D3" s="14"/>
      <c r="E3" s="14"/>
      <c r="F3" s="14"/>
      <c r="G3" s="14"/>
      <c r="H3" s="14"/>
      <c r="I3" s="14"/>
      <c r="J3" s="14"/>
      <c r="K3" s="14"/>
    </row>
    <row r="4" customFormat="false" ht="12" hidden="false" customHeight="true" outlineLevel="0" collapsed="false"/>
    <row r="5" customFormat="false" ht="12" hidden="false" customHeight="true" outlineLevel="0" collapsed="false"/>
    <row r="6" customFormat="false" ht="15" hidden="false" customHeight="false" outlineLevel="0" collapsed="false">
      <c r="G6" s="16" t="s">
        <v>5</v>
      </c>
    </row>
    <row r="7" customFormat="false" ht="15" hidden="false" customHeight="false" outlineLevel="0" collapsed="false">
      <c r="B7" s="17" t="s">
        <v>6</v>
      </c>
      <c r="C7" s="18" t="s">
        <v>773</v>
      </c>
      <c r="D7" s="19"/>
      <c r="E7" s="20" t="s">
        <v>8</v>
      </c>
      <c r="F7" s="20" t="str">
        <f aca="false">TEXT(VALUE(LEFT(E7, 4)) + 1, "####")&amp;IF(VALUE(LEFT(E7, 4)) + 1 &lt;= 2025, "A", "P")</f>
        <v>2023A</v>
      </c>
      <c r="G7" s="20" t="str">
        <f aca="false">TEXT(VALUE(LEFT(F7, 4)) + 1, "####")&amp;IF(VALUE(LEFT(F7, 4)) + 1 &lt;= 2025, "A", "P")</f>
        <v>2024A</v>
      </c>
      <c r="H7" s="20" t="str">
        <f aca="false">TEXT(VALUE(LEFT(G7, 4)) + 1, "####")&amp;IF(VALUE(LEFT(G7, 4)) + 1 &lt;= 2025, "A", "P")</f>
        <v>2025A</v>
      </c>
      <c r="J7" s="21" t="s">
        <v>774</v>
      </c>
    </row>
    <row r="8" customFormat="false" ht="15" hidden="false" customHeight="false" outlineLevel="0" collapsed="false">
      <c r="B8" s="22" t="s">
        <v>10</v>
      </c>
      <c r="C8" s="23"/>
      <c r="D8" s="23"/>
      <c r="E8" s="24" t="n">
        <v>44926</v>
      </c>
      <c r="F8" s="24" t="n">
        <v>45291</v>
      </c>
      <c r="G8" s="24" t="n">
        <v>45657</v>
      </c>
      <c r="H8" s="24" t="n">
        <v>46022</v>
      </c>
    </row>
    <row r="10" customFormat="false" ht="15" hidden="false" customHeight="false" outlineLevel="0" collapsed="false">
      <c r="A10" s="25" t="s">
        <v>11</v>
      </c>
      <c r="B10" s="26" t="s">
        <v>775</v>
      </c>
      <c r="C10" s="14"/>
      <c r="D10" s="14"/>
      <c r="E10" s="14"/>
      <c r="F10" s="14"/>
      <c r="G10" s="14"/>
      <c r="H10" s="14"/>
    </row>
    <row r="12" customFormat="false" ht="15" hidden="false" customHeight="false" outlineLevel="0" collapsed="false">
      <c r="B12" s="27" t="s">
        <v>776</v>
      </c>
      <c r="C12" s="28" t="s">
        <v>777</v>
      </c>
      <c r="F12" s="56" t="n">
        <v>7176</v>
      </c>
      <c r="G12" s="56" t="n">
        <v>7715</v>
      </c>
      <c r="H12" s="56" t="n">
        <v>9935</v>
      </c>
      <c r="J12" s="30" t="s">
        <v>778</v>
      </c>
    </row>
    <row r="13" customFormat="false" ht="15" hidden="false" customHeight="false" outlineLevel="0" collapsed="false">
      <c r="B13" s="31" t="s">
        <v>16</v>
      </c>
      <c r="G13" s="32" t="n">
        <f aca="false">G12/F12-1</f>
        <v>0.0751114827201784</v>
      </c>
      <c r="H13" s="32" t="n">
        <f aca="false">H12/G12-1</f>
        <v>0.287751134154245</v>
      </c>
      <c r="J13" s="30" t="s">
        <v>779</v>
      </c>
    </row>
    <row r="14" customFormat="false" ht="15" hidden="false" customHeight="false" outlineLevel="0" collapsed="false">
      <c r="B14" s="27" t="s">
        <v>780</v>
      </c>
      <c r="C14" s="28" t="s">
        <v>781</v>
      </c>
      <c r="F14" s="36" t="n">
        <f aca="false">SUM(F15:F17)</f>
        <v>696</v>
      </c>
      <c r="G14" s="36" t="n">
        <f aca="false">SUM(G15:G17)</f>
        <v>132</v>
      </c>
      <c r="H14" s="36" t="n">
        <f aca="false">SUM(H15:H17)</f>
        <v>521</v>
      </c>
    </row>
    <row r="15" customFormat="false" ht="15" hidden="false" customHeight="false" outlineLevel="0" collapsed="false">
      <c r="B15" s="27" t="s">
        <v>782</v>
      </c>
      <c r="C15" s="28" t="s">
        <v>781</v>
      </c>
      <c r="F15" s="56" t="n">
        <v>607</v>
      </c>
      <c r="G15" s="56" t="n">
        <v>6</v>
      </c>
      <c r="H15" s="56" t="n">
        <v>407</v>
      </c>
    </row>
    <row r="16" customFormat="false" ht="15" hidden="false" customHeight="false" outlineLevel="0" collapsed="false">
      <c r="B16" s="27" t="s">
        <v>783</v>
      </c>
      <c r="C16" s="28" t="s">
        <v>781</v>
      </c>
      <c r="F16" s="56" t="n">
        <v>89</v>
      </c>
      <c r="G16" s="56" t="n">
        <v>126</v>
      </c>
      <c r="H16" s="56" t="n">
        <v>114</v>
      </c>
    </row>
    <row r="17" customFormat="false" ht="15" hidden="false" customHeight="false" outlineLevel="0" collapsed="false">
      <c r="B17" s="27" t="s">
        <v>784</v>
      </c>
      <c r="F17" s="57" t="n">
        <f aca="false">F236-(SUM(F15:F16))</f>
        <v>0</v>
      </c>
      <c r="G17" s="57" t="n">
        <f aca="false">G236-(SUM(G15:G16))</f>
        <v>0</v>
      </c>
      <c r="H17" s="57" t="n">
        <f aca="false">H236-(SUM(H15:H16))</f>
        <v>0</v>
      </c>
      <c r="J17" s="30" t="s">
        <v>785</v>
      </c>
    </row>
    <row r="18" customFormat="false" ht="15" hidden="false" customHeight="false" outlineLevel="0" collapsed="false">
      <c r="B18" s="33" t="s">
        <v>786</v>
      </c>
      <c r="C18" s="34"/>
      <c r="D18" s="34"/>
      <c r="E18" s="34"/>
      <c r="F18" s="35" t="n">
        <f aca="false">F12+F14</f>
        <v>7872</v>
      </c>
      <c r="G18" s="35" t="n">
        <f aca="false">G12+G14</f>
        <v>7847</v>
      </c>
      <c r="H18" s="35" t="n">
        <f aca="false">H12+H14</f>
        <v>10456</v>
      </c>
    </row>
    <row r="20" customFormat="false" ht="15" hidden="false" customHeight="false" outlineLevel="0" collapsed="false">
      <c r="B20" s="27" t="s">
        <v>787</v>
      </c>
      <c r="C20" s="28" t="s">
        <v>788</v>
      </c>
      <c r="F20" s="36" t="n">
        <f aca="false">SUM(F21:F29)</f>
        <v>153</v>
      </c>
      <c r="G20" s="36" t="n">
        <f aca="false">SUM(G21:G29)</f>
        <v>178</v>
      </c>
      <c r="H20" s="36" t="n">
        <f aca="false">SUM(H21:H29)</f>
        <v>273</v>
      </c>
    </row>
    <row r="21" customFormat="false" ht="15" hidden="false" customHeight="false" outlineLevel="0" collapsed="false">
      <c r="B21" s="27" t="s">
        <v>789</v>
      </c>
      <c r="C21" s="28" t="s">
        <v>788</v>
      </c>
      <c r="F21" s="56" t="n">
        <v>5</v>
      </c>
      <c r="G21" s="56" t="n">
        <v>21</v>
      </c>
      <c r="H21" s="56" t="n">
        <v>118</v>
      </c>
      <c r="J21" s="30" t="s">
        <v>790</v>
      </c>
    </row>
    <row r="22" customFormat="false" ht="15" hidden="false" customHeight="false" outlineLevel="0" collapsed="false">
      <c r="B22" s="27" t="s">
        <v>791</v>
      </c>
      <c r="C22" s="28" t="s">
        <v>788</v>
      </c>
      <c r="F22" s="56" t="n">
        <v>16</v>
      </c>
      <c r="G22" s="56" t="n">
        <v>26</v>
      </c>
      <c r="H22" s="56" t="n">
        <v>48</v>
      </c>
    </row>
    <row r="23" customFormat="false" ht="15" hidden="false" customHeight="false" outlineLevel="0" collapsed="false">
      <c r="B23" s="27" t="s">
        <v>792</v>
      </c>
      <c r="C23" s="28" t="s">
        <v>788</v>
      </c>
      <c r="F23" s="56" t="n">
        <v>53</v>
      </c>
      <c r="G23" s="56" t="n">
        <v>55</v>
      </c>
      <c r="H23" s="56" t="n">
        <v>44</v>
      </c>
    </row>
    <row r="24" customFormat="false" ht="15" hidden="false" customHeight="false" outlineLevel="0" collapsed="false">
      <c r="B24" s="27" t="s">
        <v>793</v>
      </c>
      <c r="C24" s="28" t="s">
        <v>788</v>
      </c>
      <c r="F24" s="56" t="n">
        <v>6</v>
      </c>
      <c r="G24" s="56" t="n">
        <v>7</v>
      </c>
      <c r="H24" s="56" t="n">
        <v>12</v>
      </c>
    </row>
    <row r="25" customFormat="false" ht="15" hidden="false" customHeight="false" outlineLevel="0" collapsed="false">
      <c r="B25" s="27" t="s">
        <v>794</v>
      </c>
      <c r="C25" s="28" t="s">
        <v>788</v>
      </c>
      <c r="F25" s="56" t="n">
        <v>8</v>
      </c>
      <c r="G25" s="56" t="n">
        <v>5</v>
      </c>
      <c r="H25" s="56" t="n">
        <v>4</v>
      </c>
    </row>
    <row r="26" customFormat="false" ht="15" hidden="false" customHeight="false" outlineLevel="0" collapsed="false">
      <c r="B26" s="27" t="s">
        <v>795</v>
      </c>
      <c r="C26" s="28" t="s">
        <v>788</v>
      </c>
      <c r="F26" s="56" t="n">
        <v>0</v>
      </c>
      <c r="G26" s="56" t="n">
        <v>2</v>
      </c>
      <c r="H26" s="56" t="n">
        <v>1</v>
      </c>
    </row>
    <row r="27" customFormat="false" ht="15" hidden="false" customHeight="false" outlineLevel="0" collapsed="false">
      <c r="B27" s="27" t="s">
        <v>796</v>
      </c>
      <c r="C27" s="28" t="s">
        <v>788</v>
      </c>
      <c r="F27" s="56" t="n">
        <v>2</v>
      </c>
      <c r="G27" s="56" t="n">
        <v>2</v>
      </c>
      <c r="H27" s="56" t="n">
        <v>0</v>
      </c>
    </row>
    <row r="28" customFormat="false" ht="15" hidden="false" customHeight="false" outlineLevel="0" collapsed="false">
      <c r="B28" s="27" t="s">
        <v>797</v>
      </c>
      <c r="C28" s="28" t="s">
        <v>788</v>
      </c>
      <c r="F28" s="56" t="n">
        <v>64</v>
      </c>
      <c r="G28" s="56" t="n">
        <v>60</v>
      </c>
      <c r="H28" s="56" t="n">
        <v>47</v>
      </c>
    </row>
    <row r="29" customFormat="false" ht="15" hidden="false" customHeight="false" outlineLevel="0" collapsed="false">
      <c r="B29" s="27" t="s">
        <v>784</v>
      </c>
      <c r="F29" s="57" t="n">
        <f aca="false">F238-(SUM(F21:F28))</f>
        <v>-1</v>
      </c>
      <c r="G29" s="57" t="n">
        <f aca="false">G238-(SUM(G21:G28))</f>
        <v>0</v>
      </c>
      <c r="H29" s="57" t="n">
        <f aca="false">H238-(SUM(H21:H28))</f>
        <v>-1</v>
      </c>
      <c r="J29" s="30" t="s">
        <v>785</v>
      </c>
    </row>
    <row r="31" customFormat="false" ht="15" hidden="false" customHeight="false" outlineLevel="0" collapsed="false">
      <c r="B31" s="27" t="s">
        <v>798</v>
      </c>
      <c r="C31" s="28" t="s">
        <v>799</v>
      </c>
      <c r="F31" s="36" t="n">
        <f aca="false">SUM(F32:F34)</f>
        <v>-3935</v>
      </c>
      <c r="G31" s="36" t="n">
        <f aca="false">SUM(G32:G34)</f>
        <v>-3693</v>
      </c>
      <c r="H31" s="36" t="n">
        <f aca="false">SUM(H32:H34)</f>
        <v>-5252</v>
      </c>
      <c r="J31" s="30" t="s">
        <v>800</v>
      </c>
    </row>
    <row r="32" customFormat="false" ht="15" hidden="false" customHeight="false" outlineLevel="0" collapsed="false">
      <c r="B32" s="27" t="s">
        <v>801</v>
      </c>
      <c r="C32" s="28" t="s">
        <v>799</v>
      </c>
      <c r="F32" s="56" t="n">
        <v>-2883</v>
      </c>
      <c r="G32" s="56" t="n">
        <v>-2435</v>
      </c>
      <c r="H32" s="56" t="n">
        <v>-3784</v>
      </c>
    </row>
    <row r="33" customFormat="false" ht="15" hidden="false" customHeight="false" outlineLevel="0" collapsed="false">
      <c r="B33" s="27" t="s">
        <v>802</v>
      </c>
      <c r="C33" s="28" t="s">
        <v>799</v>
      </c>
      <c r="F33" s="56" t="n">
        <v>-1053</v>
      </c>
      <c r="G33" s="56" t="n">
        <v>-1258</v>
      </c>
      <c r="H33" s="56" t="n">
        <v>-1469</v>
      </c>
    </row>
    <row r="34" customFormat="false" ht="15" hidden="false" customHeight="false" outlineLevel="0" collapsed="false">
      <c r="B34" s="27" t="s">
        <v>784</v>
      </c>
      <c r="F34" s="57" t="n">
        <f aca="false">F239-(SUM(F32:F33))</f>
        <v>1</v>
      </c>
      <c r="G34" s="57" t="n">
        <f aca="false">G239-(SUM(G32:G33))</f>
        <v>0</v>
      </c>
      <c r="H34" s="57" t="n">
        <f aca="false">H239-(SUM(H32:H33))</f>
        <v>1</v>
      </c>
      <c r="J34" s="30" t="s">
        <v>785</v>
      </c>
    </row>
    <row r="35" customFormat="false" ht="15" hidden="false" customHeight="false" outlineLevel="0" collapsed="false">
      <c r="B35" s="27" t="s">
        <v>803</v>
      </c>
      <c r="C35" s="28" t="s">
        <v>804</v>
      </c>
      <c r="F35" s="36" t="n">
        <f aca="false">SUM(F36:F40)</f>
        <v>-2047</v>
      </c>
      <c r="G35" s="36" t="n">
        <f aca="false">SUM(G36:G40)</f>
        <v>-1844</v>
      </c>
      <c r="H35" s="36" t="n">
        <f aca="false">SUM(H36:H40)</f>
        <v>-2314</v>
      </c>
    </row>
    <row r="36" customFormat="false" ht="15" hidden="false" customHeight="false" outlineLevel="0" collapsed="false">
      <c r="B36" s="27" t="s">
        <v>805</v>
      </c>
      <c r="C36" s="28" t="s">
        <v>804</v>
      </c>
      <c r="F36" s="56" t="n">
        <v>-1711</v>
      </c>
      <c r="G36" s="56" t="n">
        <v>-1533</v>
      </c>
      <c r="H36" s="56" t="n">
        <v>-1907</v>
      </c>
    </row>
    <row r="37" customFormat="false" ht="15" hidden="false" customHeight="false" outlineLevel="0" collapsed="false">
      <c r="B37" s="27" t="s">
        <v>806</v>
      </c>
      <c r="C37" s="28" t="s">
        <v>804</v>
      </c>
      <c r="F37" s="56" t="n">
        <v>-205</v>
      </c>
      <c r="G37" s="56" t="n">
        <v>-194</v>
      </c>
      <c r="H37" s="56" t="n">
        <v>-264</v>
      </c>
    </row>
    <row r="38" customFormat="false" ht="15" hidden="false" customHeight="false" outlineLevel="0" collapsed="false">
      <c r="B38" s="27" t="s">
        <v>807</v>
      </c>
      <c r="C38" s="28" t="s">
        <v>804</v>
      </c>
      <c r="F38" s="56" t="n">
        <v>-115</v>
      </c>
      <c r="G38" s="56" t="n">
        <v>-104</v>
      </c>
      <c r="H38" s="56" t="n">
        <v>-128</v>
      </c>
    </row>
    <row r="39" customFormat="false" ht="15" hidden="false" customHeight="false" outlineLevel="0" collapsed="false">
      <c r="B39" s="27" t="s">
        <v>808</v>
      </c>
      <c r="C39" s="28" t="s">
        <v>804</v>
      </c>
      <c r="F39" s="56" t="n">
        <v>-16</v>
      </c>
      <c r="G39" s="56" t="n">
        <v>-13</v>
      </c>
      <c r="H39" s="56" t="n">
        <v>-16</v>
      </c>
    </row>
    <row r="40" customFormat="false" ht="15" hidden="false" customHeight="false" outlineLevel="0" collapsed="false">
      <c r="B40" s="27" t="s">
        <v>784</v>
      </c>
      <c r="F40" s="57" t="n">
        <f aca="false">F240-(SUM(F36:F39))</f>
        <v>0</v>
      </c>
      <c r="G40" s="57" t="n">
        <f aca="false">G240-(SUM(G36:G39))</f>
        <v>0</v>
      </c>
      <c r="H40" s="57" t="n">
        <f aca="false">H240-(SUM(H36:H39))</f>
        <v>1</v>
      </c>
      <c r="J40" s="30" t="s">
        <v>785</v>
      </c>
    </row>
    <row r="41" customFormat="false" ht="15" hidden="false" customHeight="false" outlineLevel="0" collapsed="false">
      <c r="B41" s="27" t="s">
        <v>809</v>
      </c>
      <c r="C41" s="28" t="s">
        <v>810</v>
      </c>
      <c r="F41" s="36" t="n">
        <f aca="false">SUM(F42:F45)</f>
        <v>-308</v>
      </c>
      <c r="G41" s="36" t="n">
        <f aca="false">SUM(G42:G45)</f>
        <v>-284</v>
      </c>
      <c r="H41" s="36" t="n">
        <f aca="false">SUM(H42:H45)</f>
        <v>-406</v>
      </c>
    </row>
    <row r="42" customFormat="false" ht="15" hidden="false" customHeight="false" outlineLevel="0" collapsed="false">
      <c r="B42" s="27" t="s">
        <v>336</v>
      </c>
      <c r="C42" s="28" t="s">
        <v>810</v>
      </c>
      <c r="F42" s="56" t="n">
        <v>-87</v>
      </c>
      <c r="G42" s="56" t="n">
        <v>-132</v>
      </c>
      <c r="H42" s="56" t="n">
        <v>-185</v>
      </c>
    </row>
    <row r="43" customFormat="false" ht="15" hidden="false" customHeight="false" outlineLevel="0" collapsed="false">
      <c r="B43" s="27" t="s">
        <v>337</v>
      </c>
      <c r="C43" s="28" t="s">
        <v>810</v>
      </c>
      <c r="F43" s="56" t="n">
        <v>-47</v>
      </c>
      <c r="G43" s="56" t="n">
        <v>-41</v>
      </c>
      <c r="H43" s="56" t="n">
        <v>-51</v>
      </c>
    </row>
    <row r="44" customFormat="false" ht="15" hidden="false" customHeight="false" outlineLevel="0" collapsed="false">
      <c r="B44" s="27" t="s">
        <v>811</v>
      </c>
      <c r="C44" s="28" t="s">
        <v>810</v>
      </c>
      <c r="F44" s="56" t="n">
        <v>-174</v>
      </c>
      <c r="G44" s="56" t="n">
        <v>-110</v>
      </c>
      <c r="H44" s="56" t="n">
        <v>-169</v>
      </c>
    </row>
    <row r="45" customFormat="false" ht="15" hidden="false" customHeight="false" outlineLevel="0" collapsed="false">
      <c r="B45" s="27" t="s">
        <v>784</v>
      </c>
      <c r="F45" s="57" t="n">
        <f aca="false">F241-(SUM(F42:F44))</f>
        <v>0</v>
      </c>
      <c r="G45" s="57" t="n">
        <f aca="false">G241-(SUM(G42:G44))</f>
        <v>-1</v>
      </c>
      <c r="H45" s="57" t="n">
        <f aca="false">H241-(SUM(H42:H44))</f>
        <v>-1</v>
      </c>
      <c r="J45" s="30" t="s">
        <v>785</v>
      </c>
    </row>
    <row r="46" customFormat="false" ht="15" hidden="false" customHeight="false" outlineLevel="0" collapsed="false">
      <c r="B46" s="31" t="s">
        <v>812</v>
      </c>
      <c r="F46" s="32" t="n">
        <f aca="false">-F41/F12</f>
        <v>0.0429208472686734</v>
      </c>
      <c r="G46" s="32" t="n">
        <f aca="false">-G41/G12</f>
        <v>0.0368114063512638</v>
      </c>
      <c r="H46" s="32" t="n">
        <f aca="false">-H41/H12</f>
        <v>0.0408656265727227</v>
      </c>
    </row>
    <row r="47" customFormat="false" ht="15" hidden="false" customHeight="false" outlineLevel="0" collapsed="false">
      <c r="B47" s="27" t="s">
        <v>813</v>
      </c>
      <c r="C47" s="28" t="s">
        <v>814</v>
      </c>
      <c r="F47" s="36" t="n">
        <f aca="false">SUM(F48:F64)</f>
        <v>-889</v>
      </c>
      <c r="G47" s="36" t="n">
        <f aca="false">SUM(G48:G64)</f>
        <v>-891</v>
      </c>
      <c r="H47" s="36" t="n">
        <f aca="false">SUM(H48:H64)</f>
        <v>-1112</v>
      </c>
    </row>
    <row r="48" customFormat="false" ht="15" hidden="false" customHeight="false" outlineLevel="0" collapsed="false">
      <c r="B48" s="27" t="s">
        <v>815</v>
      </c>
      <c r="C48" s="28" t="s">
        <v>814</v>
      </c>
      <c r="F48" s="56" t="n">
        <v>-175</v>
      </c>
      <c r="G48" s="56" t="n">
        <v>-179</v>
      </c>
      <c r="H48" s="56" t="n">
        <v>-252</v>
      </c>
    </row>
    <row r="49" customFormat="false" ht="15" hidden="false" customHeight="false" outlineLevel="0" collapsed="false">
      <c r="B49" s="27" t="s">
        <v>816</v>
      </c>
      <c r="C49" s="28" t="s">
        <v>814</v>
      </c>
      <c r="F49" s="56" t="n">
        <v>-159</v>
      </c>
      <c r="G49" s="56" t="n">
        <v>-163</v>
      </c>
      <c r="H49" s="56" t="n">
        <v>-159</v>
      </c>
    </row>
    <row r="50" customFormat="false" ht="15" hidden="false" customHeight="false" outlineLevel="0" collapsed="false">
      <c r="B50" s="27" t="s">
        <v>817</v>
      </c>
      <c r="C50" s="28" t="s">
        <v>814</v>
      </c>
      <c r="F50" s="56" t="n">
        <v>-117</v>
      </c>
      <c r="G50" s="56" t="n">
        <v>-110</v>
      </c>
      <c r="H50" s="56" t="n">
        <v>-133</v>
      </c>
    </row>
    <row r="51" customFormat="false" ht="15" hidden="false" customHeight="false" outlineLevel="0" collapsed="false">
      <c r="B51" s="27" t="s">
        <v>205</v>
      </c>
      <c r="C51" s="28" t="s">
        <v>814</v>
      </c>
      <c r="F51" s="56" t="n">
        <v>-74</v>
      </c>
      <c r="G51" s="56" t="n">
        <v>-76</v>
      </c>
      <c r="H51" s="56" t="n">
        <v>-97</v>
      </c>
    </row>
    <row r="52" customFormat="false" ht="15" hidden="false" customHeight="false" outlineLevel="0" collapsed="false">
      <c r="B52" s="27" t="s">
        <v>818</v>
      </c>
      <c r="C52" s="28" t="s">
        <v>814</v>
      </c>
      <c r="F52" s="56" t="n">
        <v>-54</v>
      </c>
      <c r="G52" s="56" t="n">
        <v>-65</v>
      </c>
      <c r="H52" s="56" t="n">
        <v>-93</v>
      </c>
    </row>
    <row r="53" customFormat="false" ht="15" hidden="false" customHeight="false" outlineLevel="0" collapsed="false">
      <c r="B53" s="27" t="s">
        <v>819</v>
      </c>
      <c r="C53" s="28" t="s">
        <v>814</v>
      </c>
      <c r="F53" s="56" t="n">
        <v>-58</v>
      </c>
      <c r="G53" s="56" t="n">
        <v>-57</v>
      </c>
      <c r="H53" s="56" t="n">
        <v>-65</v>
      </c>
    </row>
    <row r="54" customFormat="false" ht="15" hidden="false" customHeight="false" outlineLevel="0" collapsed="false">
      <c r="B54" s="27" t="s">
        <v>820</v>
      </c>
      <c r="C54" s="28" t="s">
        <v>814</v>
      </c>
      <c r="F54" s="56" t="n">
        <v>-43</v>
      </c>
      <c r="G54" s="56" t="n">
        <v>-42</v>
      </c>
      <c r="H54" s="56" t="n">
        <v>-52</v>
      </c>
    </row>
    <row r="55" customFormat="false" ht="15" hidden="false" customHeight="false" outlineLevel="0" collapsed="false">
      <c r="B55" s="27" t="s">
        <v>821</v>
      </c>
      <c r="C55" s="28" t="s">
        <v>814</v>
      </c>
      <c r="F55" s="56" t="n">
        <v>-4</v>
      </c>
      <c r="G55" s="56" t="n">
        <v>-14</v>
      </c>
      <c r="H55" s="56" t="n">
        <v>-47</v>
      </c>
    </row>
    <row r="56" customFormat="false" ht="15" hidden="false" customHeight="false" outlineLevel="0" collapsed="false">
      <c r="B56" s="27" t="s">
        <v>822</v>
      </c>
      <c r="C56" s="28" t="s">
        <v>814</v>
      </c>
      <c r="F56" s="56" t="n">
        <v>-50</v>
      </c>
      <c r="G56" s="56" t="n">
        <v>-50</v>
      </c>
      <c r="H56" s="56" t="n">
        <v>-41</v>
      </c>
    </row>
    <row r="57" customFormat="false" ht="15" hidden="false" customHeight="false" outlineLevel="0" collapsed="false">
      <c r="B57" s="27" t="s">
        <v>823</v>
      </c>
      <c r="C57" s="28" t="s">
        <v>814</v>
      </c>
      <c r="F57" s="56" t="n">
        <v>-7</v>
      </c>
      <c r="G57" s="56" t="n">
        <v>-2</v>
      </c>
      <c r="H57" s="56" t="n">
        <v>-33</v>
      </c>
    </row>
    <row r="58" customFormat="false" ht="15" hidden="false" customHeight="false" outlineLevel="0" collapsed="false">
      <c r="B58" s="27" t="s">
        <v>824</v>
      </c>
      <c r="C58" s="28" t="s">
        <v>814</v>
      </c>
      <c r="F58" s="56" t="n">
        <v>-31</v>
      </c>
      <c r="G58" s="56" t="n">
        <v>-21</v>
      </c>
      <c r="H58" s="56" t="n">
        <v>-29</v>
      </c>
    </row>
    <row r="59" customFormat="false" ht="15" hidden="false" customHeight="false" outlineLevel="0" collapsed="false">
      <c r="B59" s="27" t="s">
        <v>825</v>
      </c>
      <c r="C59" s="28" t="s">
        <v>814</v>
      </c>
      <c r="F59" s="56" t="n">
        <v>-13</v>
      </c>
      <c r="G59" s="56" t="n">
        <v>-15</v>
      </c>
      <c r="H59" s="56" t="n">
        <v>-20</v>
      </c>
    </row>
    <row r="60" customFormat="false" ht="15" hidden="false" customHeight="false" outlineLevel="0" collapsed="false">
      <c r="B60" s="27" t="s">
        <v>826</v>
      </c>
      <c r="C60" s="28" t="s">
        <v>814</v>
      </c>
      <c r="F60" s="56" t="n">
        <v>-11</v>
      </c>
      <c r="G60" s="56" t="n">
        <v>-14</v>
      </c>
      <c r="H60" s="56" t="n">
        <v>-10</v>
      </c>
    </row>
    <row r="61" customFormat="false" ht="15" hidden="false" customHeight="false" outlineLevel="0" collapsed="false">
      <c r="B61" s="27" t="s">
        <v>827</v>
      </c>
      <c r="C61" s="28" t="s">
        <v>814</v>
      </c>
      <c r="F61" s="56" t="n">
        <v>-8</v>
      </c>
      <c r="G61" s="56" t="n">
        <v>-21</v>
      </c>
      <c r="H61" s="56" t="n">
        <v>-9</v>
      </c>
    </row>
    <row r="62" customFormat="false" ht="15" hidden="false" customHeight="false" outlineLevel="0" collapsed="false">
      <c r="B62" s="27" t="s">
        <v>828</v>
      </c>
      <c r="C62" s="28" t="s">
        <v>814</v>
      </c>
      <c r="F62" s="56" t="n">
        <v>-10</v>
      </c>
      <c r="G62" s="56" t="n">
        <v>-7</v>
      </c>
      <c r="H62" s="56" t="n">
        <v>-9</v>
      </c>
    </row>
    <row r="63" customFormat="false" ht="15" hidden="false" customHeight="false" outlineLevel="0" collapsed="false">
      <c r="B63" s="27" t="s">
        <v>829</v>
      </c>
      <c r="C63" s="28" t="s">
        <v>814</v>
      </c>
      <c r="F63" s="56" t="n">
        <v>-75</v>
      </c>
      <c r="G63" s="56" t="n">
        <v>-54</v>
      </c>
      <c r="H63" s="56" t="n">
        <v>-62</v>
      </c>
    </row>
    <row r="64" customFormat="false" ht="15" hidden="false" customHeight="false" outlineLevel="0" collapsed="false">
      <c r="B64" s="27" t="s">
        <v>784</v>
      </c>
      <c r="F64" s="57" t="n">
        <f aca="false">F242-(SUM(F48:F63))</f>
        <v>0</v>
      </c>
      <c r="G64" s="57" t="n">
        <f aca="false">G242-(SUM(G48:G63))</f>
        <v>-1</v>
      </c>
      <c r="H64" s="57" t="n">
        <f aca="false">H242-(SUM(H48:H63))</f>
        <v>-1</v>
      </c>
      <c r="J64" s="30" t="s">
        <v>785</v>
      </c>
    </row>
    <row r="66" customFormat="false" ht="15" hidden="false" customHeight="false" outlineLevel="0" collapsed="false">
      <c r="B66" s="27" t="s">
        <v>830</v>
      </c>
      <c r="C66" s="28" t="s">
        <v>831</v>
      </c>
      <c r="F66" s="56" t="n">
        <v>57</v>
      </c>
      <c r="G66" s="56" t="n">
        <v>-33</v>
      </c>
      <c r="H66" s="56" t="n">
        <v>47</v>
      </c>
      <c r="J66" s="30" t="s">
        <v>832</v>
      </c>
    </row>
    <row r="67" customFormat="false" ht="15" hidden="false" customHeight="false" outlineLevel="0" collapsed="false">
      <c r="B67" s="27" t="s">
        <v>833</v>
      </c>
      <c r="F67" s="56" t="n">
        <v>-6</v>
      </c>
      <c r="G67" s="56" t="n">
        <v>-9</v>
      </c>
      <c r="H67" s="56" t="n">
        <v>-7</v>
      </c>
      <c r="J67" s="30" t="s">
        <v>834</v>
      </c>
    </row>
    <row r="68" customFormat="false" ht="15" hidden="false" customHeight="false" outlineLevel="0" collapsed="false">
      <c r="B68" s="27" t="s">
        <v>835</v>
      </c>
      <c r="F68" s="57" t="n">
        <f aca="false">F243-(F18+F20+F31+F35+F41+F47+F66+F67)</f>
        <v>0</v>
      </c>
      <c r="G68" s="57" t="n">
        <f aca="false">G243-(G18+G20+G31+G35+G41+G47+G66+G67)</f>
        <v>-1</v>
      </c>
      <c r="H68" s="57" t="n">
        <f aca="false">H243-(H18+H20+H31+H35+H41+H47+H66+H67)</f>
        <v>-1</v>
      </c>
      <c r="J68" s="30" t="s">
        <v>785</v>
      </c>
    </row>
    <row r="69" customFormat="false" ht="15" hidden="false" customHeight="false" outlineLevel="0" collapsed="false">
      <c r="B69" s="33" t="s">
        <v>836</v>
      </c>
      <c r="C69" s="34"/>
      <c r="D69" s="34"/>
      <c r="E69" s="34"/>
      <c r="F69" s="35" t="n">
        <f aca="false">F18+F20+F31+F35+F41+F47+F66+F67+F68</f>
        <v>897</v>
      </c>
      <c r="G69" s="35" t="n">
        <f aca="false">G18+G20+G31+G35+G41+G47+G66+G67+G68</f>
        <v>1270</v>
      </c>
      <c r="H69" s="35" t="n">
        <f aca="false">H18+H20+H31+H35+H41+H47+H66+H67+H68</f>
        <v>1684</v>
      </c>
    </row>
    <row r="70" customFormat="false" ht="15" hidden="false" customHeight="false" outlineLevel="0" collapsed="false">
      <c r="B70" s="31" t="s">
        <v>837</v>
      </c>
      <c r="F70" s="32" t="n">
        <f aca="false">F69/F12</f>
        <v>0.125</v>
      </c>
      <c r="G70" s="32" t="n">
        <f aca="false">G69/G12</f>
        <v>0.164614387556708</v>
      </c>
      <c r="H70" s="32" t="n">
        <f aca="false">H69/H12</f>
        <v>0.169501761449421</v>
      </c>
    </row>
    <row r="71" customFormat="false" ht="15" hidden="false" customHeight="false" outlineLevel="0" collapsed="false">
      <c r="B71" s="27" t="s">
        <v>838</v>
      </c>
      <c r="F71" s="56" t="n">
        <v>29</v>
      </c>
      <c r="G71" s="56" t="n">
        <v>14</v>
      </c>
      <c r="H71" s="56" t="n">
        <v>4</v>
      </c>
    </row>
    <row r="72" customFormat="false" ht="15" hidden="false" customHeight="false" outlineLevel="0" collapsed="false">
      <c r="B72" s="27" t="s">
        <v>839</v>
      </c>
      <c r="F72" s="56" t="n">
        <v>-111</v>
      </c>
      <c r="G72" s="56" t="n">
        <v>-116</v>
      </c>
      <c r="H72" s="56" t="n">
        <v>-116</v>
      </c>
      <c r="J72" s="30" t="s">
        <v>840</v>
      </c>
    </row>
    <row r="73" customFormat="false" ht="15" hidden="false" customHeight="false" outlineLevel="0" collapsed="false">
      <c r="B73" s="33" t="s">
        <v>841</v>
      </c>
      <c r="C73" s="34"/>
      <c r="D73" s="34"/>
      <c r="E73" s="34"/>
      <c r="F73" s="35" t="n">
        <f aca="false">F69+F71+F72</f>
        <v>815</v>
      </c>
      <c r="G73" s="35" t="n">
        <f aca="false">G69+G71+G72</f>
        <v>1168</v>
      </c>
      <c r="H73" s="35" t="n">
        <f aca="false">H69+H71+H72</f>
        <v>1572</v>
      </c>
    </row>
    <row r="74" customFormat="false" ht="15" hidden="false" customHeight="false" outlineLevel="0" collapsed="false">
      <c r="B74" s="27" t="s">
        <v>124</v>
      </c>
      <c r="C74" s="28" t="s">
        <v>842</v>
      </c>
      <c r="F74" s="56" t="n">
        <v>-185</v>
      </c>
      <c r="G74" s="56" t="n">
        <v>-328</v>
      </c>
      <c r="H74" s="56" t="n">
        <v>-396</v>
      </c>
    </row>
    <row r="75" customFormat="false" ht="15" hidden="false" customHeight="false" outlineLevel="0" collapsed="false">
      <c r="B75" s="31" t="s">
        <v>843</v>
      </c>
      <c r="F75" s="32" t="n">
        <f aca="false">-F74/F73</f>
        <v>0.226993865030675</v>
      </c>
      <c r="G75" s="32" t="n">
        <f aca="false">-G74/G73</f>
        <v>0.280821917808219</v>
      </c>
      <c r="H75" s="32" t="n">
        <f aca="false">-H74/H73</f>
        <v>0.251908396946565</v>
      </c>
    </row>
    <row r="76" customFormat="false" ht="15" hidden="false" customHeight="false" outlineLevel="0" collapsed="false">
      <c r="B76" s="33" t="s">
        <v>844</v>
      </c>
      <c r="C76" s="34"/>
      <c r="D76" s="34"/>
      <c r="E76" s="34"/>
      <c r="F76" s="35" t="n">
        <f aca="false">F73+F74</f>
        <v>630</v>
      </c>
      <c r="G76" s="35" t="n">
        <f aca="false">G73+G74</f>
        <v>840</v>
      </c>
      <c r="H76" s="35" t="n">
        <f aca="false">H73+H74</f>
        <v>1176</v>
      </c>
    </row>
    <row r="77" customFormat="false" ht="15" hidden="false" customHeight="false" outlineLevel="0" collapsed="false">
      <c r="B77" s="27" t="s">
        <v>845</v>
      </c>
      <c r="C77" s="28" t="s">
        <v>846</v>
      </c>
      <c r="F77" s="56" t="n">
        <v>-44</v>
      </c>
      <c r="G77" s="56" t="n">
        <v>-32</v>
      </c>
      <c r="H77" s="56" t="n">
        <v>-341</v>
      </c>
      <c r="J77" s="30" t="s">
        <v>847</v>
      </c>
    </row>
    <row r="78" customFormat="false" ht="15" hidden="false" customHeight="false" outlineLevel="0" collapsed="false">
      <c r="B78" s="33" t="s">
        <v>848</v>
      </c>
      <c r="C78" s="34"/>
      <c r="D78" s="34"/>
      <c r="E78" s="34"/>
      <c r="F78" s="35" t="n">
        <f aca="false">F76+F77</f>
        <v>586</v>
      </c>
      <c r="G78" s="35" t="n">
        <f aca="false">G76+G77</f>
        <v>808</v>
      </c>
      <c r="H78" s="35" t="n">
        <f aca="false">H76+H77</f>
        <v>835</v>
      </c>
    </row>
    <row r="79" customFormat="false" ht="15" hidden="false" customHeight="false" outlineLevel="0" collapsed="false">
      <c r="B79" s="27" t="s">
        <v>387</v>
      </c>
      <c r="F79" s="56" t="n">
        <v>51</v>
      </c>
      <c r="G79" s="56" t="n">
        <v>91</v>
      </c>
      <c r="H79" s="56" t="n">
        <v>139</v>
      </c>
    </row>
    <row r="80" customFormat="false" ht="15" hidden="false" customHeight="false" outlineLevel="0" collapsed="false">
      <c r="B80" s="27" t="s">
        <v>849</v>
      </c>
      <c r="F80" s="36" t="n">
        <f aca="false">F78-F79</f>
        <v>535</v>
      </c>
      <c r="G80" s="36" t="n">
        <f aca="false">G78-G79</f>
        <v>717</v>
      </c>
      <c r="H80" s="36" t="n">
        <f aca="false">H78-H79</f>
        <v>696</v>
      </c>
    </row>
    <row r="81" customFormat="false" ht="15" hidden="false" customHeight="false" outlineLevel="0" collapsed="false">
      <c r="B81" s="31" t="s">
        <v>850</v>
      </c>
      <c r="F81" s="32" t="n">
        <f aca="false">F78/F12</f>
        <v>0.0816610925306577</v>
      </c>
      <c r="G81" s="32" t="n">
        <f aca="false">G78/G12</f>
        <v>0.104731043421905</v>
      </c>
      <c r="H81" s="32" t="n">
        <f aca="false">H78/H12</f>
        <v>0.0840463009562154</v>
      </c>
    </row>
    <row r="83" customFormat="false" ht="15" hidden="false" customHeight="false" outlineLevel="0" collapsed="false">
      <c r="A83" s="25" t="s">
        <v>11</v>
      </c>
      <c r="B83" s="26" t="s">
        <v>851</v>
      </c>
      <c r="C83" s="14"/>
      <c r="D83" s="14"/>
      <c r="E83" s="14"/>
      <c r="F83" s="14"/>
      <c r="G83" s="14"/>
      <c r="H83" s="14"/>
    </row>
    <row r="85" customFormat="false" ht="15" hidden="false" customHeight="false" outlineLevel="0" collapsed="false">
      <c r="B85" s="27" t="s">
        <v>852</v>
      </c>
      <c r="C85" s="28" t="s">
        <v>810</v>
      </c>
      <c r="F85" s="56" t="n">
        <v>-47</v>
      </c>
      <c r="G85" s="56" t="n">
        <v>-102</v>
      </c>
      <c r="H85" s="56" t="n">
        <v>-139</v>
      </c>
      <c r="J85" s="30" t="s">
        <v>853</v>
      </c>
    </row>
    <row r="86" customFormat="false" ht="15" hidden="false" customHeight="false" outlineLevel="0" collapsed="false">
      <c r="B86" s="27" t="s">
        <v>854</v>
      </c>
      <c r="C86" s="28" t="s">
        <v>810</v>
      </c>
      <c r="F86" s="56" t="n">
        <v>-6</v>
      </c>
      <c r="G86" s="56" t="n">
        <v>0</v>
      </c>
      <c r="H86" s="56" t="n">
        <v>-17</v>
      </c>
      <c r="J86" s="30" t="s">
        <v>853</v>
      </c>
    </row>
    <row r="87" customFormat="false" ht="15" hidden="false" customHeight="false" outlineLevel="0" collapsed="false">
      <c r="B87" s="27" t="s">
        <v>855</v>
      </c>
      <c r="C87" s="28" t="s">
        <v>856</v>
      </c>
      <c r="F87" s="56" t="n">
        <v>-10</v>
      </c>
      <c r="G87" s="56" t="n">
        <v>-12</v>
      </c>
      <c r="H87" s="56" t="n">
        <v>-5</v>
      </c>
      <c r="J87" s="30" t="s">
        <v>857</v>
      </c>
    </row>
    <row r="88" customFormat="false" ht="15" hidden="false" customHeight="false" outlineLevel="0" collapsed="false">
      <c r="B88" s="27" t="s">
        <v>858</v>
      </c>
      <c r="C88" s="28" t="s">
        <v>859</v>
      </c>
      <c r="F88" s="56" t="n">
        <v>-10</v>
      </c>
      <c r="G88" s="56" t="n">
        <v>-10</v>
      </c>
      <c r="H88" s="56" t="n">
        <v>-14</v>
      </c>
      <c r="J88" s="30" t="s">
        <v>860</v>
      </c>
    </row>
    <row r="89" customFormat="false" ht="15" hidden="false" customHeight="false" outlineLevel="0" collapsed="false">
      <c r="B89" s="27" t="s">
        <v>861</v>
      </c>
      <c r="F89" s="56" t="n">
        <v>53</v>
      </c>
      <c r="G89" s="56" t="n">
        <v>0</v>
      </c>
      <c r="H89" s="56" t="n">
        <v>0</v>
      </c>
      <c r="J89" s="30" t="s">
        <v>862</v>
      </c>
    </row>
    <row r="90" customFormat="false" ht="15" hidden="false" customHeight="false" outlineLevel="0" collapsed="false">
      <c r="B90" s="27" t="s">
        <v>863</v>
      </c>
      <c r="F90" s="56" t="n">
        <v>0</v>
      </c>
      <c r="G90" s="56" t="n">
        <v>0</v>
      </c>
      <c r="H90" s="56" t="n">
        <v>46</v>
      </c>
      <c r="J90" s="30" t="s">
        <v>864</v>
      </c>
    </row>
    <row r="91" customFormat="false" ht="15" hidden="false" customHeight="false" outlineLevel="0" collapsed="false">
      <c r="B91" s="27" t="s">
        <v>865</v>
      </c>
      <c r="F91" s="56" t="n">
        <v>5</v>
      </c>
      <c r="G91" s="56" t="n">
        <v>0</v>
      </c>
      <c r="H91" s="56" t="n">
        <v>15</v>
      </c>
      <c r="J91" s="30" t="s">
        <v>866</v>
      </c>
    </row>
    <row r="92" customFormat="false" ht="15" hidden="false" customHeight="false" outlineLevel="0" collapsed="false">
      <c r="B92" s="27" t="s">
        <v>867</v>
      </c>
      <c r="F92" s="56" t="n">
        <v>0</v>
      </c>
      <c r="G92" s="56" t="n">
        <v>-6</v>
      </c>
      <c r="H92" s="56" t="n">
        <v>0</v>
      </c>
      <c r="J92" s="30" t="s">
        <v>868</v>
      </c>
    </row>
    <row r="93" customFormat="false" ht="15" hidden="false" customHeight="false" outlineLevel="0" collapsed="false">
      <c r="B93" s="27" t="s">
        <v>869</v>
      </c>
      <c r="C93" s="28" t="s">
        <v>842</v>
      </c>
      <c r="F93" s="56" t="n">
        <v>3</v>
      </c>
      <c r="G93" s="56" t="n">
        <v>-1</v>
      </c>
      <c r="H93" s="56" t="n">
        <v>-11</v>
      </c>
      <c r="J93" s="30" t="s">
        <v>870</v>
      </c>
    </row>
    <row r="94" customFormat="false" ht="15" hidden="false" customHeight="false" outlineLevel="0" collapsed="false">
      <c r="B94" s="27" t="s">
        <v>871</v>
      </c>
      <c r="F94" s="56" t="n">
        <v>2081</v>
      </c>
      <c r="G94" s="56" t="n">
        <v>2032</v>
      </c>
      <c r="H94" s="58"/>
      <c r="J94" s="30" t="s">
        <v>872</v>
      </c>
    </row>
    <row r="95" customFormat="false" ht="15" hidden="false" customHeight="false" outlineLevel="0" collapsed="false">
      <c r="B95" s="27" t="s">
        <v>873</v>
      </c>
      <c r="F95" s="56" t="n">
        <v>129</v>
      </c>
      <c r="G95" s="56" t="n">
        <v>75</v>
      </c>
      <c r="H95" s="58"/>
      <c r="J95" s="30" t="s">
        <v>874</v>
      </c>
    </row>
    <row r="96" customFormat="false" ht="15" hidden="false" customHeight="false" outlineLevel="0" collapsed="false">
      <c r="B96" s="27" t="s">
        <v>875</v>
      </c>
      <c r="F96" s="56" t="n">
        <v>-1</v>
      </c>
      <c r="G96" s="56" t="n">
        <v>-2</v>
      </c>
      <c r="H96" s="56" t="n">
        <v>-7</v>
      </c>
      <c r="J96" s="30" t="s">
        <v>876</v>
      </c>
    </row>
    <row r="97" customFormat="false" ht="15" hidden="false" customHeight="false" outlineLevel="0" collapsed="false">
      <c r="B97" s="27" t="s">
        <v>877</v>
      </c>
      <c r="F97" s="56" t="n">
        <v>-6</v>
      </c>
      <c r="G97" s="56" t="n">
        <v>11</v>
      </c>
      <c r="H97" s="56" t="n">
        <v>-1</v>
      </c>
      <c r="J97" s="30" t="s">
        <v>878</v>
      </c>
    </row>
    <row r="98" customFormat="false" ht="15" hidden="false" customHeight="false" outlineLevel="0" collapsed="false">
      <c r="B98" s="27" t="s">
        <v>879</v>
      </c>
      <c r="C98" s="28" t="s">
        <v>788</v>
      </c>
      <c r="F98" s="56" t="n">
        <v>0</v>
      </c>
      <c r="G98" s="56" t="n">
        <v>0</v>
      </c>
      <c r="H98" s="56" t="n">
        <v>97</v>
      </c>
      <c r="J98" s="30" t="s">
        <v>880</v>
      </c>
    </row>
    <row r="99" customFormat="false" ht="15" hidden="false" customHeight="false" outlineLevel="0" collapsed="false">
      <c r="B99" s="27" t="s">
        <v>881</v>
      </c>
      <c r="C99" s="28" t="s">
        <v>882</v>
      </c>
      <c r="E99" s="56" t="n">
        <v>55</v>
      </c>
      <c r="F99" s="56" t="n">
        <v>46</v>
      </c>
      <c r="G99" s="56" t="n">
        <v>52</v>
      </c>
      <c r="H99" s="56" t="n">
        <v>25</v>
      </c>
      <c r="J99" s="30" t="s">
        <v>883</v>
      </c>
    </row>
    <row r="100" customFormat="false" ht="15" hidden="false" customHeight="false" outlineLevel="0" collapsed="false">
      <c r="B100" s="27" t="s">
        <v>884</v>
      </c>
      <c r="C100" s="28" t="s">
        <v>846</v>
      </c>
      <c r="F100" s="56" t="n">
        <v>-59</v>
      </c>
      <c r="G100" s="56" t="n">
        <v>-17</v>
      </c>
      <c r="H100" s="56" t="n">
        <v>-315</v>
      </c>
      <c r="J100" s="30" t="s">
        <v>885</v>
      </c>
    </row>
    <row r="101" customFormat="false" ht="15" hidden="false" customHeight="false" outlineLevel="0" collapsed="false">
      <c r="B101" s="27" t="s">
        <v>886</v>
      </c>
      <c r="C101" s="28" t="s">
        <v>846</v>
      </c>
      <c r="F101" s="56" t="n">
        <v>15</v>
      </c>
      <c r="G101" s="56" t="n">
        <v>-14</v>
      </c>
      <c r="H101" s="56" t="n">
        <v>-27</v>
      </c>
      <c r="J101" s="30" t="s">
        <v>887</v>
      </c>
    </row>
    <row r="102" customFormat="false" ht="15" hidden="false" customHeight="false" outlineLevel="0" collapsed="false">
      <c r="B102" s="27" t="s">
        <v>888</v>
      </c>
      <c r="C102" s="28" t="s">
        <v>889</v>
      </c>
      <c r="F102" s="56" t="n">
        <v>35</v>
      </c>
      <c r="G102" s="56" t="n">
        <v>207</v>
      </c>
      <c r="H102" s="56" t="n">
        <v>79</v>
      </c>
    </row>
    <row r="103" customFormat="false" ht="15" hidden="false" customHeight="false" outlineLevel="0" collapsed="false">
      <c r="B103" s="27" t="s">
        <v>890</v>
      </c>
      <c r="C103" s="28" t="s">
        <v>889</v>
      </c>
      <c r="F103" s="56" t="n">
        <v>0</v>
      </c>
      <c r="G103" s="56" t="n">
        <v>-2</v>
      </c>
      <c r="H103" s="56" t="n">
        <v>0</v>
      </c>
    </row>
    <row r="104" customFormat="false" ht="15" hidden="false" customHeight="false" outlineLevel="0" collapsed="false">
      <c r="B104" s="27" t="s">
        <v>891</v>
      </c>
      <c r="C104" s="28" t="s">
        <v>889</v>
      </c>
      <c r="F104" s="56" t="n">
        <v>-25</v>
      </c>
      <c r="G104" s="56" t="n">
        <v>16</v>
      </c>
      <c r="H104" s="56" t="n">
        <v>43</v>
      </c>
    </row>
    <row r="105" customFormat="false" ht="15" hidden="false" customHeight="false" outlineLevel="0" collapsed="false">
      <c r="B105" s="27" t="s">
        <v>892</v>
      </c>
      <c r="C105" s="28" t="s">
        <v>889</v>
      </c>
      <c r="F105" s="56" t="n">
        <v>7</v>
      </c>
      <c r="G105" s="56" t="n">
        <v>12</v>
      </c>
      <c r="H105" s="56" t="n">
        <v>-138</v>
      </c>
    </row>
    <row r="106" customFormat="false" ht="15" hidden="false" customHeight="false" outlineLevel="0" collapsed="false">
      <c r="B106" s="27" t="s">
        <v>893</v>
      </c>
      <c r="C106" s="28" t="s">
        <v>889</v>
      </c>
      <c r="F106" s="56" t="n">
        <v>-8</v>
      </c>
      <c r="G106" s="56" t="n">
        <v>4</v>
      </c>
      <c r="H106" s="56" t="n">
        <v>6</v>
      </c>
    </row>
    <row r="107" customFormat="false" ht="15" hidden="false" customHeight="false" outlineLevel="0" collapsed="false">
      <c r="B107" s="27" t="s">
        <v>894</v>
      </c>
      <c r="C107" s="28" t="s">
        <v>889</v>
      </c>
      <c r="F107" s="56" t="n">
        <v>2</v>
      </c>
      <c r="G107" s="56" t="n">
        <v>-47</v>
      </c>
      <c r="H107" s="56" t="n">
        <v>-38</v>
      </c>
      <c r="J107" s="30" t="s">
        <v>895</v>
      </c>
    </row>
    <row r="108" customFormat="false" ht="15" hidden="false" customHeight="false" outlineLevel="0" collapsed="false">
      <c r="B108" s="27" t="s">
        <v>896</v>
      </c>
      <c r="C108" s="28" t="s">
        <v>897</v>
      </c>
      <c r="F108" s="56" t="n">
        <v>-217</v>
      </c>
      <c r="G108" s="56" t="n">
        <v>-99</v>
      </c>
      <c r="H108" s="56" t="n">
        <v>-105</v>
      </c>
      <c r="J108" s="30" t="s">
        <v>898</v>
      </c>
    </row>
    <row r="109" customFormat="false" ht="15" hidden="false" customHeight="false" outlineLevel="0" collapsed="false">
      <c r="B109" s="31" t="s">
        <v>899</v>
      </c>
      <c r="C109" s="28" t="s">
        <v>842</v>
      </c>
      <c r="F109" s="59" t="n">
        <v>0.3</v>
      </c>
      <c r="G109" s="59" t="n">
        <v>0.3</v>
      </c>
      <c r="H109" s="59" t="n">
        <v>0.3</v>
      </c>
      <c r="J109" s="30" t="s">
        <v>900</v>
      </c>
    </row>
    <row r="111" customFormat="false" ht="15" hidden="false" customHeight="false" outlineLevel="0" collapsed="false">
      <c r="A111" s="25" t="s">
        <v>11</v>
      </c>
      <c r="B111" s="26" t="s">
        <v>901</v>
      </c>
      <c r="C111" s="14"/>
      <c r="D111" s="14"/>
      <c r="E111" s="14"/>
      <c r="F111" s="14"/>
      <c r="G111" s="14"/>
      <c r="H111" s="14"/>
    </row>
    <row r="113" customFormat="false" ht="15" hidden="false" customHeight="false" outlineLevel="0" collapsed="false">
      <c r="B113" s="27" t="s">
        <v>902</v>
      </c>
      <c r="F113" s="56" t="n">
        <v>30</v>
      </c>
      <c r="G113" s="56" t="n">
        <v>165</v>
      </c>
      <c r="H113" s="56" t="n">
        <v>52</v>
      </c>
    </row>
    <row r="114" customFormat="false" ht="15" hidden="false" customHeight="false" outlineLevel="0" collapsed="false">
      <c r="B114" s="27" t="s">
        <v>903</v>
      </c>
      <c r="F114" s="56" t="n">
        <v>0</v>
      </c>
      <c r="G114" s="56" t="n">
        <v>-2</v>
      </c>
      <c r="H114" s="56" t="n">
        <v>0</v>
      </c>
    </row>
    <row r="115" customFormat="false" ht="15" hidden="false" customHeight="false" outlineLevel="0" collapsed="false">
      <c r="B115" s="27" t="s">
        <v>904</v>
      </c>
      <c r="F115" s="56" t="n">
        <v>-19</v>
      </c>
      <c r="G115" s="56" t="n">
        <v>11</v>
      </c>
      <c r="H115" s="56" t="n">
        <v>31</v>
      </c>
    </row>
    <row r="116" customFormat="false" ht="15" hidden="false" customHeight="false" outlineLevel="0" collapsed="false">
      <c r="B116" s="27" t="s">
        <v>905</v>
      </c>
      <c r="F116" s="56" t="n">
        <v>7</v>
      </c>
      <c r="G116" s="56" t="n">
        <v>12</v>
      </c>
      <c r="H116" s="56" t="n">
        <v>-138</v>
      </c>
    </row>
    <row r="117" customFormat="false" ht="15" hidden="false" customHeight="false" outlineLevel="0" collapsed="false">
      <c r="B117" s="27" t="s">
        <v>906</v>
      </c>
      <c r="F117" s="56" t="n">
        <v>-8</v>
      </c>
      <c r="G117" s="56" t="n">
        <v>4</v>
      </c>
      <c r="H117" s="56" t="n">
        <v>6</v>
      </c>
      <c r="J117" s="30" t="s">
        <v>907</v>
      </c>
    </row>
    <row r="118" customFormat="false" ht="15" hidden="false" customHeight="false" outlineLevel="0" collapsed="false">
      <c r="B118" s="27" t="s">
        <v>835</v>
      </c>
      <c r="F118" s="57" t="n">
        <f aca="false">F247-(SUM(F113:F117))</f>
        <v>1</v>
      </c>
      <c r="G118" s="57" t="n">
        <f aca="false">G247-(SUM(G113:G117))</f>
        <v>1</v>
      </c>
      <c r="H118" s="57" t="n">
        <f aca="false">H247-(SUM(H113:H117))</f>
        <v>0</v>
      </c>
      <c r="J118" s="30" t="s">
        <v>785</v>
      </c>
    </row>
    <row r="119" customFormat="false" ht="15" hidden="false" customHeight="false" outlineLevel="0" collapsed="false">
      <c r="B119" s="33" t="s">
        <v>908</v>
      </c>
      <c r="C119" s="34"/>
      <c r="D119" s="34"/>
      <c r="E119" s="34"/>
      <c r="F119" s="35" t="n">
        <f aca="false">SUM(F113:F118)</f>
        <v>11</v>
      </c>
      <c r="G119" s="35" t="n">
        <f aca="false">SUM(G113:G118)</f>
        <v>191</v>
      </c>
      <c r="H119" s="35" t="n">
        <f aca="false">SUM(H113:H118)</f>
        <v>-49</v>
      </c>
    </row>
    <row r="120" customFormat="false" ht="15" hidden="false" customHeight="false" outlineLevel="0" collapsed="false">
      <c r="B120" s="33" t="s">
        <v>909</v>
      </c>
      <c r="C120" s="34"/>
      <c r="D120" s="34"/>
      <c r="E120" s="34"/>
      <c r="F120" s="35" t="n">
        <f aca="false">F78+F119</f>
        <v>597</v>
      </c>
      <c r="G120" s="35" t="n">
        <f aca="false">G78+G119</f>
        <v>999</v>
      </c>
      <c r="H120" s="35" t="n">
        <f aca="false">H78+H119</f>
        <v>786</v>
      </c>
    </row>
    <row r="121" customFormat="false" ht="15" hidden="false" customHeight="false" outlineLevel="0" collapsed="false">
      <c r="B121" s="27" t="s">
        <v>387</v>
      </c>
      <c r="F121" s="56" t="n">
        <v>39</v>
      </c>
      <c r="G121" s="56" t="n">
        <v>98</v>
      </c>
      <c r="H121" s="56" t="n">
        <v>150</v>
      </c>
    </row>
    <row r="122" customFormat="false" ht="15" hidden="false" customHeight="false" outlineLevel="0" collapsed="false">
      <c r="B122" s="27" t="s">
        <v>849</v>
      </c>
      <c r="F122" s="36" t="n">
        <f aca="false">F120-F121</f>
        <v>558</v>
      </c>
      <c r="G122" s="36" t="n">
        <f aca="false">G120-G121</f>
        <v>901</v>
      </c>
      <c r="H122" s="36" t="n">
        <f aca="false">H120-H121</f>
        <v>636</v>
      </c>
    </row>
    <row r="124" customFormat="false" ht="15" hidden="false" customHeight="false" outlineLevel="0" collapsed="false">
      <c r="A124" s="25" t="s">
        <v>11</v>
      </c>
      <c r="B124" s="26" t="s">
        <v>910</v>
      </c>
      <c r="C124" s="14"/>
      <c r="D124" s="14"/>
      <c r="E124" s="14"/>
      <c r="F124" s="14"/>
      <c r="G124" s="14"/>
      <c r="H124" s="14"/>
    </row>
    <row r="126" customFormat="false" ht="15" hidden="false" customHeight="false" outlineLevel="0" collapsed="false">
      <c r="B126" s="27" t="s">
        <v>911</v>
      </c>
      <c r="C126" s="28" t="s">
        <v>897</v>
      </c>
      <c r="E126" s="56" t="n">
        <v>483</v>
      </c>
      <c r="F126" s="56" t="n">
        <v>1125</v>
      </c>
      <c r="G126" s="56" t="n">
        <v>1426</v>
      </c>
      <c r="H126" s="56" t="n">
        <v>1354</v>
      </c>
    </row>
    <row r="127" customFormat="false" ht="15" hidden="false" customHeight="false" outlineLevel="0" collapsed="false">
      <c r="B127" s="27" t="s">
        <v>912</v>
      </c>
      <c r="C127" s="28" t="s">
        <v>897</v>
      </c>
      <c r="E127" s="56" t="n">
        <v>338</v>
      </c>
      <c r="F127" s="56" t="n">
        <v>952</v>
      </c>
      <c r="G127" s="56" t="n">
        <v>1376</v>
      </c>
      <c r="H127" s="56" t="n">
        <v>1244</v>
      </c>
    </row>
    <row r="128" customFormat="false" ht="15" hidden="false" customHeight="false" outlineLevel="0" collapsed="false">
      <c r="B128" s="27" t="s">
        <v>913</v>
      </c>
      <c r="C128" s="28" t="s">
        <v>859</v>
      </c>
      <c r="E128" s="56" t="n">
        <v>209</v>
      </c>
      <c r="F128" s="56" t="n">
        <v>271</v>
      </c>
      <c r="G128" s="56" t="n">
        <v>334</v>
      </c>
      <c r="H128" s="56" t="n">
        <v>338</v>
      </c>
    </row>
    <row r="129" customFormat="false" ht="15" hidden="false" customHeight="false" outlineLevel="0" collapsed="false">
      <c r="B129" s="27" t="s">
        <v>914</v>
      </c>
      <c r="C129" s="28" t="s">
        <v>915</v>
      </c>
      <c r="E129" s="56" t="n">
        <v>1137</v>
      </c>
      <c r="F129" s="56" t="n">
        <v>1370</v>
      </c>
      <c r="G129" s="56" t="n">
        <v>1853</v>
      </c>
      <c r="H129" s="56" t="n">
        <v>1962</v>
      </c>
    </row>
    <row r="130" customFormat="false" ht="15" hidden="false" customHeight="false" outlineLevel="0" collapsed="false">
      <c r="B130" s="27" t="s">
        <v>916</v>
      </c>
      <c r="C130" s="28" t="s">
        <v>917</v>
      </c>
      <c r="E130" s="56" t="n">
        <v>24</v>
      </c>
      <c r="F130" s="56" t="n">
        <v>22</v>
      </c>
      <c r="G130" s="56" t="n">
        <v>20</v>
      </c>
      <c r="H130" s="56" t="n">
        <v>2</v>
      </c>
    </row>
    <row r="131" customFormat="false" ht="15" hidden="false" customHeight="false" outlineLevel="0" collapsed="false">
      <c r="B131" s="27" t="s">
        <v>918</v>
      </c>
      <c r="C131" s="28" t="s">
        <v>831</v>
      </c>
      <c r="E131" s="56" t="n">
        <v>442</v>
      </c>
      <c r="F131" s="56" t="n">
        <v>373</v>
      </c>
      <c r="G131" s="56" t="n">
        <v>346</v>
      </c>
      <c r="H131" s="56" t="n">
        <v>213</v>
      </c>
    </row>
    <row r="132" customFormat="false" ht="15" hidden="false" customHeight="false" outlineLevel="0" collapsed="false">
      <c r="B132" s="27" t="s">
        <v>919</v>
      </c>
      <c r="C132" s="28" t="s">
        <v>920</v>
      </c>
      <c r="E132" s="56" t="n">
        <v>187</v>
      </c>
      <c r="F132" s="56" t="n">
        <v>339</v>
      </c>
      <c r="G132" s="56" t="n">
        <v>585</v>
      </c>
      <c r="H132" s="56" t="n">
        <v>592</v>
      </c>
      <c r="J132" s="30" t="s">
        <v>921</v>
      </c>
    </row>
    <row r="133" customFormat="false" ht="15" hidden="false" customHeight="false" outlineLevel="0" collapsed="false">
      <c r="B133" s="27" t="s">
        <v>922</v>
      </c>
      <c r="C133" s="28" t="s">
        <v>842</v>
      </c>
      <c r="E133" s="56" t="n">
        <v>98</v>
      </c>
      <c r="F133" s="56" t="n">
        <v>164</v>
      </c>
      <c r="G133" s="56" t="n">
        <v>172</v>
      </c>
      <c r="H133" s="56" t="n">
        <v>165</v>
      </c>
    </row>
    <row r="134" customFormat="false" ht="15" hidden="false" customHeight="false" outlineLevel="0" collapsed="false">
      <c r="B134" s="27" t="s">
        <v>835</v>
      </c>
      <c r="E134" s="57" t="n">
        <f aca="false">E249-(SUM(E126:E133))</f>
        <v>0</v>
      </c>
      <c r="F134" s="57" t="n">
        <f aca="false">F249-(SUM(F126:F133))</f>
        <v>-1</v>
      </c>
      <c r="G134" s="57" t="n">
        <f aca="false">G249-(SUM(G126:G133))</f>
        <v>0</v>
      </c>
      <c r="H134" s="57" t="n">
        <f aca="false">H249-(SUM(H126:H133))</f>
        <v>1</v>
      </c>
      <c r="J134" s="30" t="s">
        <v>785</v>
      </c>
    </row>
    <row r="135" customFormat="false" ht="15" hidden="false" customHeight="false" outlineLevel="0" collapsed="false">
      <c r="B135" s="33" t="s">
        <v>923</v>
      </c>
      <c r="C135" s="34"/>
      <c r="D135" s="34"/>
      <c r="E135" s="35" t="n">
        <f aca="false">SUM(E126:E134)</f>
        <v>2918</v>
      </c>
      <c r="F135" s="35" t="n">
        <f aca="false">SUM(F126:F134)</f>
        <v>4615</v>
      </c>
      <c r="G135" s="35" t="n">
        <f aca="false">SUM(G126:G134)</f>
        <v>6112</v>
      </c>
      <c r="H135" s="35" t="n">
        <f aca="false">SUM(H126:H134)</f>
        <v>5871</v>
      </c>
    </row>
    <row r="136" customFormat="false" ht="15" hidden="false" customHeight="false" outlineLevel="0" collapsed="false">
      <c r="B136" s="27" t="s">
        <v>924</v>
      </c>
      <c r="C136" s="28" t="s">
        <v>925</v>
      </c>
      <c r="E136" s="56" t="n">
        <v>1976</v>
      </c>
      <c r="F136" s="56" t="n">
        <v>3244</v>
      </c>
      <c r="G136" s="56" t="n">
        <v>3989</v>
      </c>
      <c r="H136" s="56" t="n">
        <v>4721</v>
      </c>
    </row>
    <row r="137" customFormat="false" ht="15" hidden="false" customHeight="false" outlineLevel="0" collapsed="false">
      <c r="B137" s="27" t="s">
        <v>926</v>
      </c>
      <c r="C137" s="28" t="s">
        <v>777</v>
      </c>
      <c r="E137" s="56" t="n">
        <v>362</v>
      </c>
      <c r="F137" s="56" t="n">
        <v>516</v>
      </c>
      <c r="G137" s="56" t="n">
        <v>692</v>
      </c>
      <c r="H137" s="56" t="n">
        <v>957</v>
      </c>
    </row>
    <row r="138" customFormat="false" ht="15" hidden="false" customHeight="false" outlineLevel="0" collapsed="false">
      <c r="B138" s="27" t="s">
        <v>927</v>
      </c>
      <c r="C138" s="28" t="s">
        <v>777</v>
      </c>
      <c r="E138" s="56" t="n">
        <v>1548</v>
      </c>
      <c r="F138" s="56" t="n">
        <v>2021</v>
      </c>
      <c r="G138" s="56" t="n">
        <v>1959</v>
      </c>
      <c r="H138" s="56" t="n">
        <v>1907</v>
      </c>
    </row>
    <row r="139" customFormat="false" ht="15" hidden="false" customHeight="false" outlineLevel="0" collapsed="false">
      <c r="B139" s="27" t="s">
        <v>928</v>
      </c>
      <c r="C139" s="28" t="s">
        <v>920</v>
      </c>
      <c r="E139" s="56" t="n">
        <v>242</v>
      </c>
      <c r="F139" s="56" t="n">
        <v>251</v>
      </c>
      <c r="G139" s="56" t="n">
        <v>350</v>
      </c>
      <c r="H139" s="56" t="n">
        <v>384</v>
      </c>
    </row>
    <row r="140" customFormat="false" ht="15" hidden="false" customHeight="false" outlineLevel="0" collapsed="false">
      <c r="B140" s="27" t="s">
        <v>929</v>
      </c>
      <c r="E140" s="56" t="n">
        <v>23</v>
      </c>
      <c r="F140" s="56" t="n">
        <v>13</v>
      </c>
      <c r="G140" s="56" t="n">
        <v>57</v>
      </c>
      <c r="H140" s="56" t="n">
        <v>11</v>
      </c>
    </row>
    <row r="141" customFormat="false" ht="15" hidden="false" customHeight="false" outlineLevel="0" collapsed="false">
      <c r="B141" s="27" t="s">
        <v>930</v>
      </c>
      <c r="C141" s="28" t="s">
        <v>931</v>
      </c>
      <c r="E141" s="56" t="n">
        <v>132</v>
      </c>
      <c r="F141" s="56" t="n">
        <v>0</v>
      </c>
      <c r="G141" s="56" t="n">
        <v>0</v>
      </c>
      <c r="H141" s="56" t="n">
        <v>0</v>
      </c>
      <c r="J141" s="30" t="s">
        <v>932</v>
      </c>
    </row>
    <row r="142" customFormat="false" ht="15" hidden="false" customHeight="false" outlineLevel="0" collapsed="false">
      <c r="B142" s="27" t="s">
        <v>933</v>
      </c>
      <c r="C142" s="28" t="s">
        <v>931</v>
      </c>
      <c r="E142" s="56" t="n">
        <v>545</v>
      </c>
      <c r="F142" s="56" t="n">
        <v>850</v>
      </c>
      <c r="G142" s="56" t="n">
        <v>1184</v>
      </c>
      <c r="H142" s="56" t="n">
        <v>1650</v>
      </c>
    </row>
    <row r="143" customFormat="false" ht="15" hidden="false" customHeight="false" outlineLevel="0" collapsed="false">
      <c r="B143" s="27" t="s">
        <v>934</v>
      </c>
      <c r="C143" s="28" t="s">
        <v>846</v>
      </c>
      <c r="E143" s="56" t="n">
        <v>349</v>
      </c>
      <c r="F143" s="56" t="n">
        <v>196</v>
      </c>
      <c r="G143" s="56" t="n">
        <v>0</v>
      </c>
      <c r="H143" s="56" t="n">
        <v>1270</v>
      </c>
    </row>
    <row r="144" customFormat="false" ht="15" hidden="false" customHeight="false" outlineLevel="0" collapsed="false">
      <c r="B144" s="27" t="s">
        <v>835</v>
      </c>
      <c r="E144" s="57" t="n">
        <f aca="false">E250-(SUM(E136:E143))</f>
        <v>1</v>
      </c>
      <c r="F144" s="57" t="n">
        <f aca="false">F250-(SUM(F136:F143))</f>
        <v>1</v>
      </c>
      <c r="G144" s="57" t="n">
        <f aca="false">G250-(SUM(G136:G143))</f>
        <v>0</v>
      </c>
      <c r="H144" s="57" t="n">
        <f aca="false">H250-(SUM(H136:H143))</f>
        <v>1</v>
      </c>
      <c r="J144" s="30" t="s">
        <v>785</v>
      </c>
    </row>
    <row r="145" customFormat="false" ht="15" hidden="false" customHeight="false" outlineLevel="0" collapsed="false">
      <c r="B145" s="33" t="s">
        <v>935</v>
      </c>
      <c r="C145" s="34"/>
      <c r="D145" s="34"/>
      <c r="E145" s="35" t="n">
        <f aca="false">SUM(E136:E144)</f>
        <v>5178</v>
      </c>
      <c r="F145" s="35" t="n">
        <f aca="false">SUM(F136:F144)</f>
        <v>7092</v>
      </c>
      <c r="G145" s="35" t="n">
        <f aca="false">SUM(G136:G144)</f>
        <v>8231</v>
      </c>
      <c r="H145" s="35" t="n">
        <f aca="false">SUM(H136:H144)</f>
        <v>10901</v>
      </c>
    </row>
    <row r="146" customFormat="false" ht="15" hidden="false" customHeight="false" outlineLevel="0" collapsed="false">
      <c r="B146" s="27" t="s">
        <v>835</v>
      </c>
      <c r="E146" s="57" t="n">
        <f aca="false">E251-(E135+E145)</f>
        <v>0</v>
      </c>
      <c r="F146" s="57" t="n">
        <f aca="false">F251-(F135+F145)</f>
        <v>0</v>
      </c>
      <c r="G146" s="57" t="n">
        <f aca="false">G251-(G135+G145)</f>
        <v>1</v>
      </c>
      <c r="H146" s="57" t="n">
        <f aca="false">H251-(H135+H145)</f>
        <v>0</v>
      </c>
      <c r="J146" s="30" t="s">
        <v>785</v>
      </c>
    </row>
    <row r="147" customFormat="false" ht="15" hidden="false" customHeight="false" outlineLevel="0" collapsed="false">
      <c r="B147" s="33" t="s">
        <v>936</v>
      </c>
      <c r="C147" s="34"/>
      <c r="D147" s="34"/>
      <c r="E147" s="35" t="n">
        <f aca="false">E135+E145+E146</f>
        <v>8096</v>
      </c>
      <c r="F147" s="35" t="n">
        <f aca="false">F135+F145+F146</f>
        <v>11707</v>
      </c>
      <c r="G147" s="35" t="n">
        <f aca="false">G135+G145+G146</f>
        <v>14344</v>
      </c>
      <c r="H147" s="35" t="n">
        <f aca="false">H135+H145+H146</f>
        <v>16772</v>
      </c>
    </row>
    <row r="149" customFormat="false" ht="15" hidden="false" customHeight="false" outlineLevel="0" collapsed="false">
      <c r="A149" s="25" t="s">
        <v>11</v>
      </c>
      <c r="B149" s="26" t="s">
        <v>937</v>
      </c>
      <c r="C149" s="14"/>
      <c r="D149" s="14"/>
      <c r="E149" s="14"/>
      <c r="F149" s="14"/>
      <c r="G149" s="14"/>
      <c r="H149" s="14"/>
    </row>
    <row r="151" customFormat="false" ht="15" hidden="false" customHeight="false" outlineLevel="0" collapsed="false">
      <c r="B151" s="27" t="s">
        <v>938</v>
      </c>
      <c r="C151" s="28" t="s">
        <v>889</v>
      </c>
      <c r="E151" s="56" t="n">
        <v>112</v>
      </c>
      <c r="F151" s="56" t="n">
        <v>112</v>
      </c>
      <c r="G151" s="56" t="n">
        <v>112</v>
      </c>
      <c r="H151" s="56" t="n">
        <v>118</v>
      </c>
    </row>
    <row r="152" customFormat="false" ht="15" hidden="false" customHeight="false" outlineLevel="0" collapsed="false">
      <c r="B152" s="27" t="s">
        <v>939</v>
      </c>
      <c r="C152" s="28" t="s">
        <v>889</v>
      </c>
      <c r="E152" s="56" t="n">
        <v>566</v>
      </c>
      <c r="F152" s="56" t="n">
        <v>676</v>
      </c>
      <c r="G152" s="56" t="n">
        <v>696</v>
      </c>
      <c r="H152" s="56" t="n">
        <v>1394</v>
      </c>
      <c r="J152" s="30" t="s">
        <v>940</v>
      </c>
    </row>
    <row r="153" customFormat="false" ht="15" hidden="false" customHeight="false" outlineLevel="0" collapsed="false">
      <c r="B153" s="27" t="s">
        <v>941</v>
      </c>
      <c r="C153" s="28" t="s">
        <v>889</v>
      </c>
      <c r="E153" s="56" t="n">
        <v>2147</v>
      </c>
      <c r="F153" s="56" t="n">
        <v>2533</v>
      </c>
      <c r="G153" s="56" t="n">
        <v>3247</v>
      </c>
      <c r="H153" s="56" t="n">
        <v>3503</v>
      </c>
    </row>
    <row r="154" customFormat="false" ht="15" hidden="false" customHeight="false" outlineLevel="0" collapsed="false">
      <c r="B154" s="27" t="s">
        <v>942</v>
      </c>
      <c r="C154" s="28" t="s">
        <v>889</v>
      </c>
      <c r="E154" s="56" t="n">
        <v>-6</v>
      </c>
      <c r="F154" s="56" t="n">
        <v>-5</v>
      </c>
      <c r="G154" s="56" t="n">
        <v>-4</v>
      </c>
      <c r="H154" s="56" t="n">
        <v>-4</v>
      </c>
    </row>
    <row r="155" customFormat="false" ht="15" hidden="false" customHeight="false" outlineLevel="0" collapsed="false">
      <c r="B155" s="27" t="s">
        <v>835</v>
      </c>
      <c r="E155" s="57" t="n">
        <f aca="false">E252-(SUM(E151:E154))</f>
        <v>0</v>
      </c>
      <c r="F155" s="57" t="n">
        <f aca="false">F252-(SUM(F151:F154))</f>
        <v>0</v>
      </c>
      <c r="G155" s="57" t="n">
        <f aca="false">G252-(SUM(G151:G154))</f>
        <v>-1</v>
      </c>
      <c r="H155" s="57" t="n">
        <f aca="false">H252-(SUM(H151:H154))</f>
        <v>0</v>
      </c>
      <c r="J155" s="30" t="s">
        <v>785</v>
      </c>
    </row>
    <row r="156" customFormat="false" ht="15" hidden="false" customHeight="false" outlineLevel="0" collapsed="false">
      <c r="B156" s="33" t="s">
        <v>943</v>
      </c>
      <c r="C156" s="34"/>
      <c r="D156" s="34"/>
      <c r="E156" s="35" t="n">
        <f aca="false">SUM(E151:E155)</f>
        <v>2819</v>
      </c>
      <c r="F156" s="35" t="n">
        <f aca="false">SUM(F151:F155)</f>
        <v>3316</v>
      </c>
      <c r="G156" s="35" t="n">
        <f aca="false">SUM(G151:G155)</f>
        <v>4050</v>
      </c>
      <c r="H156" s="35" t="n">
        <f aca="false">SUM(H151:H155)</f>
        <v>5011</v>
      </c>
    </row>
    <row r="157" customFormat="false" ht="15" hidden="false" customHeight="false" outlineLevel="0" collapsed="false">
      <c r="B157" s="27" t="s">
        <v>944</v>
      </c>
      <c r="E157" s="56" t="n">
        <v>271</v>
      </c>
      <c r="F157" s="56" t="n">
        <v>327</v>
      </c>
      <c r="G157" s="56" t="n">
        <v>414</v>
      </c>
      <c r="H157" s="56" t="n">
        <v>604</v>
      </c>
    </row>
    <row r="158" customFormat="false" ht="15" hidden="false" customHeight="false" outlineLevel="0" collapsed="false">
      <c r="B158" s="27" t="s">
        <v>835</v>
      </c>
      <c r="E158" s="57" t="n">
        <f aca="false">E253-(E156+E157)</f>
        <v>0</v>
      </c>
      <c r="F158" s="57" t="n">
        <f aca="false">F253-(F156+F157)</f>
        <v>0</v>
      </c>
      <c r="G158" s="57" t="n">
        <f aca="false">G253-(G156+G157)</f>
        <v>1</v>
      </c>
      <c r="H158" s="57" t="n">
        <f aca="false">H253-(H156+H157)</f>
        <v>-1</v>
      </c>
      <c r="J158" s="30" t="s">
        <v>785</v>
      </c>
    </row>
    <row r="159" customFormat="false" ht="15" hidden="false" customHeight="false" outlineLevel="0" collapsed="false">
      <c r="B159" s="33" t="s">
        <v>945</v>
      </c>
      <c r="C159" s="34"/>
      <c r="D159" s="34"/>
      <c r="E159" s="35" t="n">
        <f aca="false">E156+E157+E158</f>
        <v>3090</v>
      </c>
      <c r="F159" s="35" t="n">
        <f aca="false">F156+F157+F158</f>
        <v>3643</v>
      </c>
      <c r="G159" s="35" t="n">
        <f aca="false">G156+G157+G158</f>
        <v>4465</v>
      </c>
      <c r="H159" s="35" t="n">
        <f aca="false">H156+H157+H158</f>
        <v>5614</v>
      </c>
    </row>
    <row r="160" customFormat="false" ht="15" hidden="false" customHeight="false" outlineLevel="0" collapsed="false">
      <c r="B160" s="27" t="s">
        <v>946</v>
      </c>
      <c r="C160" s="28" t="s">
        <v>856</v>
      </c>
      <c r="E160" s="56" t="n">
        <v>484</v>
      </c>
      <c r="F160" s="56" t="n">
        <v>562</v>
      </c>
      <c r="G160" s="56" t="n">
        <v>527</v>
      </c>
      <c r="H160" s="56" t="n">
        <v>278</v>
      </c>
    </row>
    <row r="161" customFormat="false" ht="15" hidden="false" customHeight="false" outlineLevel="0" collapsed="false">
      <c r="B161" s="27" t="s">
        <v>947</v>
      </c>
      <c r="C161" s="28" t="s">
        <v>882</v>
      </c>
      <c r="E161" s="56" t="n">
        <v>205</v>
      </c>
      <c r="F161" s="56" t="n">
        <v>230</v>
      </c>
      <c r="G161" s="56" t="n">
        <v>285</v>
      </c>
      <c r="H161" s="56" t="n">
        <v>280</v>
      </c>
    </row>
    <row r="162" customFormat="false" ht="15" hidden="false" customHeight="false" outlineLevel="0" collapsed="false">
      <c r="B162" s="27" t="s">
        <v>948</v>
      </c>
      <c r="C162" s="28" t="s">
        <v>949</v>
      </c>
      <c r="E162" s="56" t="n">
        <v>517</v>
      </c>
      <c r="F162" s="56" t="n">
        <v>1503</v>
      </c>
      <c r="G162" s="56" t="n">
        <v>1871</v>
      </c>
      <c r="H162" s="56" t="n">
        <v>1155</v>
      </c>
    </row>
    <row r="163" customFormat="false" ht="15" hidden="false" customHeight="false" outlineLevel="0" collapsed="false">
      <c r="B163" s="27" t="s">
        <v>950</v>
      </c>
      <c r="C163" s="28" t="s">
        <v>951</v>
      </c>
      <c r="E163" s="56" t="n">
        <v>56</v>
      </c>
      <c r="F163" s="56" t="n">
        <v>51</v>
      </c>
      <c r="G163" s="56" t="n">
        <v>58</v>
      </c>
      <c r="H163" s="56" t="n">
        <v>10</v>
      </c>
    </row>
    <row r="164" customFormat="false" ht="15" hidden="false" customHeight="false" outlineLevel="0" collapsed="false">
      <c r="B164" s="27" t="s">
        <v>922</v>
      </c>
      <c r="C164" s="28" t="s">
        <v>842</v>
      </c>
      <c r="E164" s="56" t="n">
        <v>78</v>
      </c>
      <c r="F164" s="56" t="n">
        <v>260</v>
      </c>
      <c r="G164" s="56" t="n">
        <v>356</v>
      </c>
      <c r="H164" s="56" t="n">
        <v>363</v>
      </c>
    </row>
    <row r="165" customFormat="false" ht="15" hidden="false" customHeight="false" outlineLevel="0" collapsed="false">
      <c r="B165" s="27" t="s">
        <v>835</v>
      </c>
      <c r="E165" s="57" t="n">
        <f aca="false">E254-(SUM(E160:E164))</f>
        <v>1</v>
      </c>
      <c r="F165" s="57" t="n">
        <f aca="false">F254-(SUM(F160:F164))</f>
        <v>-1</v>
      </c>
      <c r="G165" s="57" t="n">
        <f aca="false">G254-(SUM(G160:G164))</f>
        <v>0</v>
      </c>
      <c r="H165" s="57" t="n">
        <f aca="false">H254-(SUM(H160:H164))</f>
        <v>0</v>
      </c>
      <c r="J165" s="30" t="s">
        <v>785</v>
      </c>
    </row>
    <row r="166" customFormat="false" ht="15" hidden="false" customHeight="false" outlineLevel="0" collapsed="false">
      <c r="B166" s="33" t="s">
        <v>952</v>
      </c>
      <c r="C166" s="34"/>
      <c r="D166" s="34"/>
      <c r="E166" s="35" t="n">
        <f aca="false">SUM(E160:E165)</f>
        <v>1341</v>
      </c>
      <c r="F166" s="35" t="n">
        <f aca="false">SUM(F160:F165)</f>
        <v>2605</v>
      </c>
      <c r="G166" s="35" t="n">
        <f aca="false">SUM(G160:G165)</f>
        <v>3097</v>
      </c>
      <c r="H166" s="35" t="n">
        <f aca="false">SUM(H160:H165)</f>
        <v>2086</v>
      </c>
    </row>
    <row r="167" customFormat="false" ht="15" hidden="false" customHeight="false" outlineLevel="0" collapsed="false">
      <c r="B167" s="27" t="s">
        <v>953</v>
      </c>
      <c r="C167" s="28" t="s">
        <v>882</v>
      </c>
      <c r="E167" s="56" t="n">
        <v>674</v>
      </c>
      <c r="F167" s="56" t="n">
        <v>690</v>
      </c>
      <c r="G167" s="56" t="n">
        <v>807</v>
      </c>
      <c r="H167" s="56" t="n">
        <v>891</v>
      </c>
    </row>
    <row r="168" customFormat="false" ht="15" hidden="false" customHeight="false" outlineLevel="0" collapsed="false">
      <c r="B168" s="27" t="s">
        <v>954</v>
      </c>
      <c r="C168" s="28" t="s">
        <v>949</v>
      </c>
      <c r="E168" s="56" t="n">
        <v>454</v>
      </c>
      <c r="F168" s="56" t="n">
        <v>410</v>
      </c>
      <c r="G168" s="56" t="n">
        <v>552</v>
      </c>
      <c r="H168" s="56" t="n">
        <v>126</v>
      </c>
    </row>
    <row r="169" customFormat="false" ht="15" hidden="false" customHeight="false" outlineLevel="0" collapsed="false">
      <c r="B169" s="27" t="s">
        <v>955</v>
      </c>
      <c r="C169" s="28" t="s">
        <v>777</v>
      </c>
      <c r="E169" s="56" t="n">
        <v>1120</v>
      </c>
      <c r="F169" s="56" t="n">
        <v>2594</v>
      </c>
      <c r="G169" s="56" t="n">
        <v>3866</v>
      </c>
      <c r="H169" s="56" t="n">
        <v>5642</v>
      </c>
      <c r="J169" s="30" t="s">
        <v>956</v>
      </c>
    </row>
    <row r="170" customFormat="false" ht="15" hidden="false" customHeight="false" outlineLevel="0" collapsed="false">
      <c r="B170" s="27" t="s">
        <v>957</v>
      </c>
      <c r="E170" s="56" t="n">
        <v>931</v>
      </c>
      <c r="F170" s="56" t="n">
        <v>1222</v>
      </c>
      <c r="G170" s="56" t="n">
        <v>1151</v>
      </c>
      <c r="H170" s="56" t="n">
        <v>1186</v>
      </c>
    </row>
    <row r="171" customFormat="false" ht="15" hidden="false" customHeight="false" outlineLevel="0" collapsed="false">
      <c r="B171" s="27" t="s">
        <v>958</v>
      </c>
      <c r="C171" s="28" t="s">
        <v>951</v>
      </c>
      <c r="E171" s="56" t="n">
        <v>200</v>
      </c>
      <c r="F171" s="56" t="n">
        <v>274</v>
      </c>
      <c r="G171" s="56" t="n">
        <v>288</v>
      </c>
      <c r="H171" s="56" t="n">
        <v>318</v>
      </c>
    </row>
    <row r="172" customFormat="false" ht="15" hidden="false" customHeight="false" outlineLevel="0" collapsed="false">
      <c r="B172" s="27" t="s">
        <v>959</v>
      </c>
      <c r="E172" s="56" t="n">
        <v>67</v>
      </c>
      <c r="F172" s="56" t="n">
        <v>108</v>
      </c>
      <c r="G172" s="56" t="n">
        <v>118</v>
      </c>
      <c r="H172" s="56" t="n">
        <v>200</v>
      </c>
    </row>
    <row r="173" customFormat="false" ht="15" hidden="false" customHeight="false" outlineLevel="0" collapsed="false">
      <c r="B173" s="27" t="s">
        <v>960</v>
      </c>
      <c r="C173" s="28" t="s">
        <v>846</v>
      </c>
      <c r="E173" s="56" t="n">
        <v>220</v>
      </c>
      <c r="F173" s="56" t="n">
        <v>161</v>
      </c>
      <c r="G173" s="56" t="n">
        <v>0</v>
      </c>
      <c r="H173" s="56" t="n">
        <v>708</v>
      </c>
    </row>
    <row r="174" customFormat="false" ht="15" hidden="false" customHeight="false" outlineLevel="0" collapsed="false">
      <c r="B174" s="27" t="s">
        <v>835</v>
      </c>
      <c r="E174" s="57" t="n">
        <f aca="false">E255-(SUM(E167:E173))</f>
        <v>-1</v>
      </c>
      <c r="F174" s="57" t="n">
        <f aca="false">F255-(SUM(F167:F173))</f>
        <v>0</v>
      </c>
      <c r="G174" s="57" t="n">
        <f aca="false">G255-(SUM(G167:G173))</f>
        <v>0</v>
      </c>
      <c r="H174" s="57" t="n">
        <f aca="false">H255-(SUM(H167:H173))</f>
        <v>0</v>
      </c>
      <c r="J174" s="30" t="s">
        <v>785</v>
      </c>
    </row>
    <row r="175" customFormat="false" ht="15" hidden="false" customHeight="false" outlineLevel="0" collapsed="false">
      <c r="B175" s="33" t="s">
        <v>961</v>
      </c>
      <c r="C175" s="34"/>
      <c r="D175" s="34"/>
      <c r="E175" s="35" t="n">
        <f aca="false">SUM(E167:E174)</f>
        <v>3665</v>
      </c>
      <c r="F175" s="35" t="n">
        <f aca="false">SUM(F167:F174)</f>
        <v>5459</v>
      </c>
      <c r="G175" s="35" t="n">
        <f aca="false">SUM(G167:G174)</f>
        <v>6782</v>
      </c>
      <c r="H175" s="35" t="n">
        <f aca="false">SUM(H167:H174)</f>
        <v>9071</v>
      </c>
    </row>
    <row r="176" customFormat="false" ht="15" hidden="false" customHeight="false" outlineLevel="0" collapsed="false">
      <c r="B176" s="27" t="s">
        <v>835</v>
      </c>
      <c r="E176" s="57" t="n">
        <f aca="false">E256-(E159+E166+E175)</f>
        <v>0</v>
      </c>
      <c r="F176" s="57" t="n">
        <f aca="false">F256-(F159+F166+F175)</f>
        <v>0</v>
      </c>
      <c r="G176" s="57" t="n">
        <f aca="false">G256-(G159+G166+G175)</f>
        <v>0</v>
      </c>
      <c r="H176" s="57" t="n">
        <f aca="false">H256-(H159+H166+H175)</f>
        <v>1</v>
      </c>
      <c r="J176" s="30" t="s">
        <v>785</v>
      </c>
    </row>
    <row r="177" customFormat="false" ht="15" hidden="false" customHeight="false" outlineLevel="0" collapsed="false">
      <c r="B177" s="33" t="s">
        <v>962</v>
      </c>
      <c r="C177" s="34"/>
      <c r="D177" s="34"/>
      <c r="E177" s="35" t="n">
        <f aca="false">E159+E166+E175+E176</f>
        <v>8096</v>
      </c>
      <c r="F177" s="35" t="n">
        <f aca="false">F159+F166+F175+F176</f>
        <v>11707</v>
      </c>
      <c r="G177" s="35" t="n">
        <f aca="false">G159+G166+G175+G176</f>
        <v>14344</v>
      </c>
      <c r="H177" s="35" t="n">
        <f aca="false">H159+H166+H175+H176</f>
        <v>16772</v>
      </c>
    </row>
    <row r="179" customFormat="false" ht="15" hidden="false" customHeight="false" outlineLevel="0" collapsed="false">
      <c r="A179" s="25" t="s">
        <v>11</v>
      </c>
      <c r="B179" s="26" t="s">
        <v>963</v>
      </c>
      <c r="C179" s="14"/>
      <c r="D179" s="14"/>
      <c r="E179" s="14"/>
      <c r="F179" s="14"/>
      <c r="G179" s="14"/>
      <c r="H179" s="14"/>
    </row>
    <row r="181" customFormat="false" ht="15" hidden="false" customHeight="false" outlineLevel="0" collapsed="false">
      <c r="B181" s="27" t="s">
        <v>964</v>
      </c>
      <c r="C181" s="28" t="s">
        <v>920</v>
      </c>
      <c r="E181" s="36" t="n">
        <f aca="false">SUM(E182:E192)</f>
        <v>429</v>
      </c>
      <c r="F181" s="36" t="n">
        <f aca="false">SUM(F182:F192)</f>
        <v>590</v>
      </c>
      <c r="G181" s="36" t="n">
        <f aca="false">SUM(G182:G192)</f>
        <v>935</v>
      </c>
      <c r="H181" s="36" t="n">
        <f aca="false">SUM(H182:H192)</f>
        <v>976</v>
      </c>
    </row>
    <row r="182" customFormat="false" ht="15" hidden="false" customHeight="false" outlineLevel="0" collapsed="false">
      <c r="B182" s="27" t="s">
        <v>965</v>
      </c>
      <c r="C182" s="28" t="s">
        <v>920</v>
      </c>
      <c r="E182" s="56" t="n">
        <v>41</v>
      </c>
      <c r="F182" s="56" t="n">
        <v>25</v>
      </c>
      <c r="G182" s="56" t="n">
        <v>41</v>
      </c>
      <c r="H182" s="56" t="n">
        <v>80</v>
      </c>
    </row>
    <row r="183" customFormat="false" ht="15" hidden="false" customHeight="false" outlineLevel="0" collapsed="false">
      <c r="B183" s="27" t="s">
        <v>966</v>
      </c>
      <c r="C183" s="28" t="s">
        <v>920</v>
      </c>
      <c r="E183" s="56" t="n">
        <v>11</v>
      </c>
      <c r="F183" s="56" t="n">
        <v>11</v>
      </c>
      <c r="G183" s="56" t="n">
        <v>19</v>
      </c>
      <c r="H183" s="56" t="n">
        <v>26</v>
      </c>
    </row>
    <row r="184" customFormat="false" ht="15" hidden="false" customHeight="false" outlineLevel="0" collapsed="false">
      <c r="B184" s="27" t="s">
        <v>967</v>
      </c>
      <c r="C184" s="28" t="s">
        <v>920</v>
      </c>
      <c r="E184" s="56" t="n">
        <v>0</v>
      </c>
      <c r="F184" s="56" t="n">
        <v>28</v>
      </c>
      <c r="G184" s="56" t="n">
        <v>0</v>
      </c>
      <c r="H184" s="56" t="n">
        <v>0</v>
      </c>
      <c r="J184" s="30" t="s">
        <v>968</v>
      </c>
    </row>
    <row r="185" customFormat="false" ht="15" hidden="false" customHeight="false" outlineLevel="0" collapsed="false">
      <c r="B185" s="27" t="s">
        <v>969</v>
      </c>
      <c r="C185" s="28" t="s">
        <v>920</v>
      </c>
      <c r="E185" s="56" t="n">
        <v>65</v>
      </c>
      <c r="F185" s="56" t="n">
        <v>84</v>
      </c>
      <c r="G185" s="56" t="n">
        <v>143</v>
      </c>
      <c r="H185" s="56" t="n">
        <v>60</v>
      </c>
      <c r="J185" s="30" t="s">
        <v>970</v>
      </c>
    </row>
    <row r="186" customFormat="false" ht="15" hidden="false" customHeight="false" outlineLevel="0" collapsed="false">
      <c r="B186" s="27" t="s">
        <v>828</v>
      </c>
      <c r="C186" s="28" t="s">
        <v>920</v>
      </c>
      <c r="E186" s="56" t="n">
        <v>105</v>
      </c>
      <c r="F186" s="56" t="n">
        <v>83</v>
      </c>
      <c r="G186" s="56" t="n">
        <v>114</v>
      </c>
      <c r="H186" s="56" t="n">
        <v>186</v>
      </c>
    </row>
    <row r="187" customFormat="false" ht="15" hidden="false" customHeight="false" outlineLevel="0" collapsed="false">
      <c r="B187" s="27" t="s">
        <v>971</v>
      </c>
      <c r="C187" s="28" t="s">
        <v>920</v>
      </c>
      <c r="E187" s="56" t="n">
        <v>94</v>
      </c>
      <c r="F187" s="56" t="n">
        <v>93</v>
      </c>
      <c r="G187" s="56" t="n">
        <v>139</v>
      </c>
      <c r="H187" s="56" t="n">
        <v>122</v>
      </c>
    </row>
    <row r="188" customFormat="false" ht="15" hidden="false" customHeight="false" outlineLevel="0" collapsed="false">
      <c r="B188" s="27" t="s">
        <v>972</v>
      </c>
      <c r="C188" s="28" t="s">
        <v>920</v>
      </c>
      <c r="E188" s="56" t="n">
        <v>6</v>
      </c>
      <c r="F188" s="56" t="n">
        <v>41</v>
      </c>
      <c r="G188" s="56" t="n">
        <v>44</v>
      </c>
      <c r="H188" s="56" t="n">
        <v>76</v>
      </c>
    </row>
    <row r="189" customFormat="false" ht="15" hidden="false" customHeight="false" outlineLevel="0" collapsed="false">
      <c r="B189" s="27" t="s">
        <v>973</v>
      </c>
      <c r="C189" s="28" t="s">
        <v>920</v>
      </c>
      <c r="E189" s="56" t="n">
        <v>49</v>
      </c>
      <c r="F189" s="56" t="n">
        <v>67</v>
      </c>
      <c r="G189" s="56" t="n">
        <v>80</v>
      </c>
      <c r="H189" s="56" t="n">
        <v>78</v>
      </c>
    </row>
    <row r="190" customFormat="false" ht="15" hidden="false" customHeight="false" outlineLevel="0" collapsed="false">
      <c r="B190" s="27" t="s">
        <v>974</v>
      </c>
      <c r="C190" s="28" t="s">
        <v>920</v>
      </c>
      <c r="E190" s="56" t="n">
        <v>0</v>
      </c>
      <c r="F190" s="56" t="n">
        <v>99</v>
      </c>
      <c r="G190" s="56" t="n">
        <v>275</v>
      </c>
      <c r="H190" s="56" t="n">
        <v>289</v>
      </c>
    </row>
    <row r="191" customFormat="false" ht="15" hidden="false" customHeight="false" outlineLevel="0" collapsed="false">
      <c r="B191" s="27" t="s">
        <v>975</v>
      </c>
      <c r="C191" s="28" t="s">
        <v>920</v>
      </c>
      <c r="E191" s="56" t="n">
        <v>57</v>
      </c>
      <c r="F191" s="56" t="n">
        <v>60</v>
      </c>
      <c r="G191" s="56" t="n">
        <v>80</v>
      </c>
      <c r="H191" s="56" t="n">
        <v>59</v>
      </c>
      <c r="J191" s="30" t="s">
        <v>976</v>
      </c>
    </row>
    <row r="192" customFormat="false" ht="15" hidden="false" customHeight="false" outlineLevel="0" collapsed="false">
      <c r="B192" s="27" t="s">
        <v>784</v>
      </c>
      <c r="E192" s="57" t="n">
        <f aca="false">E132+E139-(SUM(E182:E191))</f>
        <v>1</v>
      </c>
      <c r="F192" s="57" t="n">
        <f aca="false">F132+F139-(SUM(F182:F191))</f>
        <v>-1</v>
      </c>
      <c r="G192" s="57" t="n">
        <f aca="false">G132+G139-(SUM(G182:G191))</f>
        <v>0</v>
      </c>
      <c r="H192" s="57" t="n">
        <f aca="false">H132+H139-(SUM(H182:H191))</f>
        <v>0</v>
      </c>
      <c r="J192" s="30" t="s">
        <v>785</v>
      </c>
    </row>
    <row r="194" customFormat="false" ht="15" hidden="false" customHeight="false" outlineLevel="0" collapsed="false">
      <c r="B194" s="27" t="s">
        <v>977</v>
      </c>
      <c r="C194" s="28" t="s">
        <v>949</v>
      </c>
      <c r="E194" s="36" t="n">
        <f aca="false">SUM(E195:E201)</f>
        <v>971</v>
      </c>
      <c r="F194" s="36" t="n">
        <f aca="false">SUM(F195:F201)</f>
        <v>1913</v>
      </c>
      <c r="G194" s="36" t="n">
        <f aca="false">SUM(G195:G201)</f>
        <v>2423</v>
      </c>
      <c r="H194" s="36" t="n">
        <f aca="false">SUM(H195:H201)</f>
        <v>1281</v>
      </c>
    </row>
    <row r="195" customFormat="false" ht="15" hidden="false" customHeight="false" outlineLevel="0" collapsed="false">
      <c r="B195" s="27" t="s">
        <v>978</v>
      </c>
      <c r="C195" s="28" t="s">
        <v>949</v>
      </c>
      <c r="E195" s="56" t="n">
        <v>0</v>
      </c>
      <c r="F195" s="56" t="n">
        <v>897</v>
      </c>
      <c r="G195" s="56" t="n">
        <v>915</v>
      </c>
      <c r="H195" s="56" t="n">
        <v>224</v>
      </c>
    </row>
    <row r="196" customFormat="false" ht="15" hidden="false" customHeight="false" outlineLevel="0" collapsed="false">
      <c r="B196" s="27" t="s">
        <v>979</v>
      </c>
      <c r="C196" s="28" t="s">
        <v>949</v>
      </c>
      <c r="E196" s="56" t="n">
        <v>253</v>
      </c>
      <c r="F196" s="56" t="n">
        <v>428</v>
      </c>
      <c r="G196" s="56" t="n">
        <v>600</v>
      </c>
      <c r="H196" s="56" t="n">
        <v>577</v>
      </c>
    </row>
    <row r="197" customFormat="false" ht="15" hidden="false" customHeight="false" outlineLevel="0" collapsed="false">
      <c r="B197" s="27" t="s">
        <v>980</v>
      </c>
      <c r="C197" s="28" t="s">
        <v>949</v>
      </c>
      <c r="E197" s="56" t="n">
        <v>376</v>
      </c>
      <c r="F197" s="56" t="n">
        <v>92</v>
      </c>
      <c r="G197" s="56" t="n">
        <v>361</v>
      </c>
      <c r="H197" s="56" t="n">
        <v>173</v>
      </c>
    </row>
    <row r="198" customFormat="false" ht="15" hidden="false" customHeight="false" outlineLevel="0" collapsed="false">
      <c r="B198" s="27" t="s">
        <v>981</v>
      </c>
      <c r="C198" s="28" t="s">
        <v>949</v>
      </c>
      <c r="E198" s="56" t="n">
        <v>211</v>
      </c>
      <c r="F198" s="56" t="n">
        <v>272</v>
      </c>
      <c r="G198" s="56" t="n">
        <v>327</v>
      </c>
      <c r="H198" s="56" t="n">
        <v>306</v>
      </c>
    </row>
    <row r="199" customFormat="false" ht="15" hidden="false" customHeight="false" outlineLevel="0" collapsed="false">
      <c r="B199" s="27" t="s">
        <v>982</v>
      </c>
      <c r="C199" s="28" t="s">
        <v>949</v>
      </c>
      <c r="E199" s="56" t="n">
        <v>128</v>
      </c>
      <c r="F199" s="56" t="n">
        <v>215</v>
      </c>
      <c r="G199" s="56" t="n">
        <v>217</v>
      </c>
      <c r="H199" s="56" t="n">
        <v>0</v>
      </c>
    </row>
    <row r="200" customFormat="false" ht="15" hidden="false" customHeight="false" outlineLevel="0" collapsed="false">
      <c r="B200" s="27" t="s">
        <v>983</v>
      </c>
      <c r="C200" s="28" t="s">
        <v>949</v>
      </c>
      <c r="E200" s="56" t="n">
        <v>4</v>
      </c>
      <c r="F200" s="56" t="n">
        <v>9</v>
      </c>
      <c r="G200" s="56" t="n">
        <v>3</v>
      </c>
      <c r="H200" s="56" t="n">
        <v>2</v>
      </c>
    </row>
    <row r="201" customFormat="false" ht="15" hidden="false" customHeight="false" outlineLevel="0" collapsed="false">
      <c r="B201" s="27" t="s">
        <v>784</v>
      </c>
      <c r="E201" s="57" t="n">
        <f aca="false">E162+E168-(SUM(E195:E200))</f>
        <v>-1</v>
      </c>
      <c r="F201" s="57" t="n">
        <f aca="false">F162+F168-(SUM(F195:F200))</f>
        <v>0</v>
      </c>
      <c r="G201" s="57" t="n">
        <f aca="false">G162+G168-(SUM(G195:G200))</f>
        <v>0</v>
      </c>
      <c r="H201" s="57" t="n">
        <f aca="false">H162+H168-(SUM(H195:H200))</f>
        <v>-1</v>
      </c>
      <c r="J201" s="30" t="s">
        <v>785</v>
      </c>
    </row>
    <row r="203" customFormat="false" ht="15" hidden="false" customHeight="false" outlineLevel="0" collapsed="false">
      <c r="B203" s="27" t="s">
        <v>984</v>
      </c>
      <c r="C203" s="28" t="s">
        <v>951</v>
      </c>
      <c r="E203" s="36" t="n">
        <f aca="false">SUM(E204:E209)</f>
        <v>256</v>
      </c>
      <c r="F203" s="36" t="n">
        <f aca="false">SUM(F204:F209)</f>
        <v>325</v>
      </c>
      <c r="G203" s="36" t="n">
        <f aca="false">SUM(G204:G209)</f>
        <v>346</v>
      </c>
      <c r="H203" s="36" t="n">
        <f aca="false">SUM(H204:H209)</f>
        <v>328</v>
      </c>
    </row>
    <row r="204" customFormat="false" ht="15" hidden="false" customHeight="false" outlineLevel="0" collapsed="false">
      <c r="B204" s="27" t="s">
        <v>965</v>
      </c>
      <c r="C204" s="28" t="s">
        <v>951</v>
      </c>
      <c r="E204" s="56" t="n">
        <v>25</v>
      </c>
      <c r="F204" s="56" t="n">
        <v>24</v>
      </c>
      <c r="G204" s="56" t="n">
        <v>22</v>
      </c>
      <c r="H204" s="56" t="n">
        <v>20</v>
      </c>
    </row>
    <row r="205" customFormat="false" ht="15" hidden="false" customHeight="false" outlineLevel="0" collapsed="false">
      <c r="B205" s="27" t="s">
        <v>985</v>
      </c>
      <c r="C205" s="28" t="s">
        <v>951</v>
      </c>
      <c r="E205" s="56" t="n">
        <v>55</v>
      </c>
      <c r="F205" s="56" t="n">
        <v>97</v>
      </c>
      <c r="G205" s="56" t="n">
        <v>77</v>
      </c>
      <c r="H205" s="56" t="n">
        <v>23</v>
      </c>
      <c r="J205" s="30" t="s">
        <v>986</v>
      </c>
    </row>
    <row r="206" customFormat="false" ht="15" hidden="false" customHeight="false" outlineLevel="0" collapsed="false">
      <c r="B206" s="27" t="s">
        <v>987</v>
      </c>
      <c r="C206" s="28" t="s">
        <v>951</v>
      </c>
      <c r="E206" s="56" t="n">
        <v>101</v>
      </c>
      <c r="F206" s="56" t="n">
        <v>113</v>
      </c>
      <c r="G206" s="56" t="n">
        <v>102</v>
      </c>
      <c r="H206" s="56" t="n">
        <v>184</v>
      </c>
    </row>
    <row r="207" customFormat="false" ht="15" hidden="false" customHeight="false" outlineLevel="0" collapsed="false">
      <c r="B207" s="27" t="s">
        <v>988</v>
      </c>
      <c r="C207" s="28" t="s">
        <v>951</v>
      </c>
      <c r="E207" s="56" t="n">
        <v>11</v>
      </c>
      <c r="F207" s="56" t="n">
        <v>14</v>
      </c>
      <c r="G207" s="56" t="n">
        <v>14</v>
      </c>
      <c r="H207" s="56" t="n">
        <v>11</v>
      </c>
    </row>
    <row r="208" customFormat="false" ht="15" hidden="false" customHeight="false" outlineLevel="0" collapsed="false">
      <c r="B208" s="27" t="s">
        <v>989</v>
      </c>
      <c r="C208" s="28" t="s">
        <v>951</v>
      </c>
      <c r="E208" s="56" t="n">
        <v>64</v>
      </c>
      <c r="F208" s="56" t="n">
        <v>77</v>
      </c>
      <c r="G208" s="56" t="n">
        <v>130</v>
      </c>
      <c r="H208" s="56" t="n">
        <v>89</v>
      </c>
    </row>
    <row r="209" customFormat="false" ht="15" hidden="false" customHeight="false" outlineLevel="0" collapsed="false">
      <c r="B209" s="27" t="s">
        <v>784</v>
      </c>
      <c r="E209" s="57" t="n">
        <f aca="false">E163+E171-(SUM(E204:E208))</f>
        <v>0</v>
      </c>
      <c r="F209" s="57" t="n">
        <f aca="false">F163+F171-(SUM(F204:F208))</f>
        <v>0</v>
      </c>
      <c r="G209" s="57" t="n">
        <f aca="false">G163+G171-(SUM(G204:G208))</f>
        <v>1</v>
      </c>
      <c r="H209" s="57" t="n">
        <f aca="false">H163+H171-(SUM(H204:H208))</f>
        <v>1</v>
      </c>
      <c r="J209" s="30" t="s">
        <v>785</v>
      </c>
    </row>
    <row r="211" customFormat="false" ht="15" hidden="false" customHeight="false" outlineLevel="0" collapsed="false">
      <c r="B211" s="27" t="s">
        <v>990</v>
      </c>
      <c r="C211" s="28" t="s">
        <v>991</v>
      </c>
      <c r="E211" s="36" t="n">
        <f aca="false">SUM(E212:E215)</f>
        <v>3498</v>
      </c>
      <c r="F211" s="36" t="n">
        <f aca="false">SUM(F212:F215)</f>
        <v>3936</v>
      </c>
      <c r="G211" s="36" t="n">
        <f aca="false">SUM(G212:G215)</f>
        <v>4351</v>
      </c>
      <c r="H211" s="36" t="n">
        <f aca="false">SUM(H212:H215)</f>
        <v>3015</v>
      </c>
    </row>
    <row r="212" customFormat="false" ht="15" hidden="false" customHeight="false" outlineLevel="0" collapsed="false">
      <c r="B212" s="27" t="s">
        <v>992</v>
      </c>
      <c r="C212" s="28" t="s">
        <v>897</v>
      </c>
      <c r="E212" s="56" t="n">
        <v>540</v>
      </c>
      <c r="F212" s="56" t="n">
        <v>678</v>
      </c>
      <c r="G212" s="56" t="n">
        <v>815</v>
      </c>
      <c r="H212" s="56" t="n">
        <v>899</v>
      </c>
    </row>
    <row r="213" customFormat="false" ht="15" hidden="false" customHeight="false" outlineLevel="0" collapsed="false">
      <c r="B213" s="27" t="s">
        <v>337</v>
      </c>
      <c r="C213" s="28" t="s">
        <v>859</v>
      </c>
      <c r="E213" s="56" t="n">
        <v>165</v>
      </c>
      <c r="F213" s="56" t="n">
        <v>213</v>
      </c>
      <c r="G213" s="56" t="n">
        <v>250</v>
      </c>
      <c r="H213" s="56" t="n">
        <v>226</v>
      </c>
    </row>
    <row r="214" customFormat="false" ht="15" hidden="false" customHeight="false" outlineLevel="0" collapsed="false">
      <c r="B214" s="27" t="s">
        <v>339</v>
      </c>
      <c r="C214" s="28" t="s">
        <v>915</v>
      </c>
      <c r="E214" s="56" t="n">
        <v>2780</v>
      </c>
      <c r="F214" s="56" t="n">
        <v>3033</v>
      </c>
      <c r="G214" s="56" t="n">
        <v>3273</v>
      </c>
      <c r="H214" s="56" t="n">
        <v>1887</v>
      </c>
      <c r="J214" s="30" t="s">
        <v>993</v>
      </c>
    </row>
    <row r="215" customFormat="false" ht="15" hidden="false" customHeight="false" outlineLevel="0" collapsed="false">
      <c r="B215" s="27" t="s">
        <v>341</v>
      </c>
      <c r="C215" s="28" t="s">
        <v>917</v>
      </c>
      <c r="E215" s="56" t="n">
        <v>13</v>
      </c>
      <c r="F215" s="56" t="n">
        <v>12</v>
      </c>
      <c r="G215" s="56" t="n">
        <v>13</v>
      </c>
      <c r="H215" s="56" t="n">
        <v>3</v>
      </c>
    </row>
    <row r="217" customFormat="false" ht="15" hidden="false" customHeight="false" outlineLevel="0" collapsed="false">
      <c r="A217" s="25" t="s">
        <v>11</v>
      </c>
      <c r="B217" s="26" t="s">
        <v>994</v>
      </c>
      <c r="C217" s="14"/>
      <c r="D217" s="14"/>
      <c r="E217" s="14"/>
      <c r="F217" s="14"/>
      <c r="G217" s="14"/>
      <c r="H217" s="14"/>
    </row>
    <row r="219" customFormat="false" ht="15" hidden="false" customHeight="false" outlineLevel="0" collapsed="false">
      <c r="B219" s="27" t="s">
        <v>995</v>
      </c>
      <c r="F219" s="56" t="n">
        <v>743</v>
      </c>
      <c r="G219" s="56" t="n">
        <v>1720</v>
      </c>
      <c r="H219" s="56" t="n">
        <v>2287</v>
      </c>
      <c r="J219" s="30" t="s">
        <v>996</v>
      </c>
    </row>
    <row r="220" customFormat="false" ht="15" hidden="false" customHeight="false" outlineLevel="0" collapsed="false">
      <c r="B220" s="27" t="s">
        <v>997</v>
      </c>
      <c r="F220" s="56" t="n">
        <v>308</v>
      </c>
      <c r="G220" s="56" t="n">
        <v>403</v>
      </c>
      <c r="H220" s="56" t="n">
        <v>501</v>
      </c>
    </row>
    <row r="221" customFormat="false" ht="15" hidden="false" customHeight="false" outlineLevel="0" collapsed="false">
      <c r="B221" s="27" t="s">
        <v>998</v>
      </c>
      <c r="F221" s="56" t="n">
        <v>-398</v>
      </c>
      <c r="G221" s="56" t="n">
        <v>-732</v>
      </c>
      <c r="H221" s="56" t="n">
        <v>-872</v>
      </c>
      <c r="J221" s="30" t="s">
        <v>999</v>
      </c>
    </row>
    <row r="222" customFormat="false" ht="15" hidden="false" customHeight="false" outlineLevel="0" collapsed="false">
      <c r="B222" s="27" t="s">
        <v>1000</v>
      </c>
      <c r="F222" s="56" t="n">
        <v>2</v>
      </c>
      <c r="G222" s="56" t="n">
        <v>10</v>
      </c>
      <c r="H222" s="56" t="n">
        <v>10</v>
      </c>
    </row>
    <row r="224" customFormat="false" ht="15" hidden="false" customHeight="false" outlineLevel="0" collapsed="false">
      <c r="A224" s="25" t="s">
        <v>11</v>
      </c>
      <c r="B224" s="26" t="s">
        <v>1001</v>
      </c>
      <c r="C224" s="14"/>
      <c r="D224" s="14"/>
      <c r="E224" s="14"/>
      <c r="F224" s="14"/>
      <c r="G224" s="14"/>
      <c r="H224" s="14"/>
    </row>
    <row r="226" customFormat="false" ht="15" hidden="false" customHeight="false" outlineLevel="0" collapsed="false">
      <c r="B226" s="27" t="s">
        <v>1002</v>
      </c>
      <c r="F226" s="56" t="n">
        <v>918</v>
      </c>
      <c r="G226" s="56" t="n">
        <v>1389</v>
      </c>
      <c r="H226" s="56" t="n">
        <v>1841</v>
      </c>
      <c r="J226" s="30" t="s">
        <v>1003</v>
      </c>
    </row>
    <row r="227" customFormat="false" ht="15" hidden="false" customHeight="false" outlineLevel="0" collapsed="false">
      <c r="B227" s="27" t="s">
        <v>1004</v>
      </c>
      <c r="F227" s="56" t="n">
        <v>49</v>
      </c>
      <c r="G227" s="56" t="n">
        <v>6</v>
      </c>
      <c r="H227" s="56" t="n">
        <v>9</v>
      </c>
    </row>
    <row r="228" customFormat="false" ht="15" hidden="false" customHeight="false" outlineLevel="0" collapsed="false">
      <c r="B228" s="27" t="s">
        <v>1005</v>
      </c>
      <c r="F228" s="56" t="n">
        <v>-70</v>
      </c>
      <c r="G228" s="56" t="n">
        <v>-125</v>
      </c>
      <c r="H228" s="56" t="n">
        <v>-167</v>
      </c>
    </row>
    <row r="229" customFormat="false" ht="15" hidden="false" customHeight="false" outlineLevel="0" collapsed="false">
      <c r="B229" s="33" t="s">
        <v>1006</v>
      </c>
      <c r="C229" s="34"/>
      <c r="D229" s="34"/>
      <c r="E229" s="34"/>
      <c r="F229" s="35" t="n">
        <f aca="false">F226+F227+F228</f>
        <v>897</v>
      </c>
      <c r="G229" s="35" t="n">
        <f aca="false">G226+G227+G228</f>
        <v>1270</v>
      </c>
      <c r="H229" s="35" t="n">
        <f aca="false">H226+H227+H228</f>
        <v>1683</v>
      </c>
    </row>
    <row r="231" customFormat="false" ht="15" hidden="false" customHeight="false" outlineLevel="0" collapsed="false">
      <c r="A231" s="25" t="s">
        <v>11</v>
      </c>
      <c r="B231" s="26" t="s">
        <v>1007</v>
      </c>
      <c r="C231" s="14"/>
      <c r="D231" s="14"/>
      <c r="E231" s="14"/>
      <c r="F231" s="14"/>
      <c r="G231" s="14"/>
      <c r="H231" s="14"/>
    </row>
    <row r="233" customFormat="false" ht="15" hidden="false" customHeight="false" outlineLevel="0" collapsed="false">
      <c r="B233" s="21" t="s">
        <v>1008</v>
      </c>
      <c r="E233" s="60" t="n">
        <v>2</v>
      </c>
    </row>
    <row r="235" customFormat="false" ht="15" hidden="false" customHeight="false" outlineLevel="0" collapsed="false">
      <c r="B235" s="37" t="s">
        <v>1009</v>
      </c>
    </row>
    <row r="236" customFormat="false" ht="15" hidden="false" customHeight="false" outlineLevel="0" collapsed="false">
      <c r="B236" s="27" t="s">
        <v>780</v>
      </c>
      <c r="F236" s="56" t="n">
        <v>696</v>
      </c>
      <c r="G236" s="56" t="n">
        <v>132</v>
      </c>
      <c r="H236" s="56" t="n">
        <v>521</v>
      </c>
    </row>
    <row r="237" customFormat="false" ht="15" hidden="false" customHeight="false" outlineLevel="0" collapsed="false">
      <c r="B237" s="27" t="s">
        <v>786</v>
      </c>
      <c r="F237" s="56" t="n">
        <v>7872</v>
      </c>
      <c r="G237" s="56" t="n">
        <v>7847</v>
      </c>
      <c r="H237" s="56" t="n">
        <v>10456</v>
      </c>
    </row>
    <row r="238" customFormat="false" ht="15" hidden="false" customHeight="false" outlineLevel="0" collapsed="false">
      <c r="B238" s="27" t="s">
        <v>787</v>
      </c>
      <c r="F238" s="56" t="n">
        <v>153</v>
      </c>
      <c r="G238" s="56" t="n">
        <v>178</v>
      </c>
      <c r="H238" s="56" t="n">
        <v>273</v>
      </c>
    </row>
    <row r="239" customFormat="false" ht="15" hidden="false" customHeight="false" outlineLevel="0" collapsed="false">
      <c r="B239" s="27" t="s">
        <v>798</v>
      </c>
      <c r="F239" s="56" t="n">
        <v>-3935</v>
      </c>
      <c r="G239" s="56" t="n">
        <v>-3693</v>
      </c>
      <c r="H239" s="56" t="n">
        <v>-5252</v>
      </c>
    </row>
    <row r="240" customFormat="false" ht="15" hidden="false" customHeight="false" outlineLevel="0" collapsed="false">
      <c r="B240" s="27" t="s">
        <v>803</v>
      </c>
      <c r="F240" s="56" t="n">
        <v>-2047</v>
      </c>
      <c r="G240" s="56" t="n">
        <v>-1844</v>
      </c>
      <c r="H240" s="56" t="n">
        <v>-2314</v>
      </c>
    </row>
    <row r="241" customFormat="false" ht="15" hidden="false" customHeight="false" outlineLevel="0" collapsed="false">
      <c r="B241" s="27" t="s">
        <v>809</v>
      </c>
      <c r="F241" s="56" t="n">
        <v>-308</v>
      </c>
      <c r="G241" s="56" t="n">
        <v>-284</v>
      </c>
      <c r="H241" s="56" t="n">
        <v>-406</v>
      </c>
    </row>
    <row r="242" customFormat="false" ht="15" hidden="false" customHeight="false" outlineLevel="0" collapsed="false">
      <c r="B242" s="27" t="s">
        <v>813</v>
      </c>
      <c r="F242" s="56" t="n">
        <v>-889</v>
      </c>
      <c r="G242" s="56" t="n">
        <v>-891</v>
      </c>
      <c r="H242" s="56" t="n">
        <v>-1112</v>
      </c>
    </row>
    <row r="243" customFormat="false" ht="15" hidden="false" customHeight="false" outlineLevel="0" collapsed="false">
      <c r="B243" s="27" t="s">
        <v>1010</v>
      </c>
      <c r="F243" s="56" t="n">
        <v>897</v>
      </c>
      <c r="G243" s="56" t="n">
        <v>1270</v>
      </c>
      <c r="H243" s="56" t="n">
        <v>1684</v>
      </c>
    </row>
    <row r="244" customFormat="false" ht="15" hidden="false" customHeight="false" outlineLevel="0" collapsed="false">
      <c r="B244" s="27" t="s">
        <v>1011</v>
      </c>
      <c r="F244" s="56" t="n">
        <v>815</v>
      </c>
      <c r="G244" s="56" t="n">
        <v>1168</v>
      </c>
      <c r="H244" s="56" t="n">
        <v>1572</v>
      </c>
    </row>
    <row r="245" customFormat="false" ht="15" hidden="false" customHeight="false" outlineLevel="0" collapsed="false">
      <c r="B245" s="27" t="s">
        <v>844</v>
      </c>
      <c r="F245" s="56" t="n">
        <v>630</v>
      </c>
      <c r="G245" s="56" t="n">
        <v>840</v>
      </c>
      <c r="H245" s="56" t="n">
        <v>1176</v>
      </c>
    </row>
    <row r="246" customFormat="false" ht="15" hidden="false" customHeight="false" outlineLevel="0" collapsed="false">
      <c r="B246" s="27" t="s">
        <v>848</v>
      </c>
      <c r="F246" s="56" t="n">
        <v>586</v>
      </c>
      <c r="G246" s="56" t="n">
        <v>808</v>
      </c>
      <c r="H246" s="56" t="n">
        <v>835</v>
      </c>
    </row>
    <row r="247" customFormat="false" ht="15" hidden="false" customHeight="false" outlineLevel="0" collapsed="false">
      <c r="B247" s="27" t="s">
        <v>908</v>
      </c>
      <c r="F247" s="56" t="n">
        <v>11</v>
      </c>
      <c r="G247" s="56" t="n">
        <v>191</v>
      </c>
      <c r="H247" s="56" t="n">
        <v>-49</v>
      </c>
    </row>
    <row r="248" customFormat="false" ht="15" hidden="false" customHeight="false" outlineLevel="0" collapsed="false">
      <c r="B248" s="27" t="s">
        <v>909</v>
      </c>
      <c r="F248" s="56" t="n">
        <v>597</v>
      </c>
      <c r="G248" s="56" t="n">
        <v>999</v>
      </c>
      <c r="H248" s="56" t="n">
        <v>786</v>
      </c>
    </row>
    <row r="249" customFormat="false" ht="15" hidden="false" customHeight="false" outlineLevel="0" collapsed="false">
      <c r="B249" s="27" t="s">
        <v>923</v>
      </c>
      <c r="E249" s="56" t="n">
        <v>2918</v>
      </c>
      <c r="F249" s="56" t="n">
        <v>4615</v>
      </c>
      <c r="G249" s="56" t="n">
        <v>6112</v>
      </c>
      <c r="H249" s="56" t="n">
        <v>5871</v>
      </c>
    </row>
    <row r="250" customFormat="false" ht="15" hidden="false" customHeight="false" outlineLevel="0" collapsed="false">
      <c r="B250" s="27" t="s">
        <v>935</v>
      </c>
      <c r="E250" s="56" t="n">
        <v>5178</v>
      </c>
      <c r="F250" s="56" t="n">
        <v>7092</v>
      </c>
      <c r="G250" s="56" t="n">
        <v>8231</v>
      </c>
      <c r="H250" s="56" t="n">
        <v>10901</v>
      </c>
    </row>
    <row r="251" customFormat="false" ht="15" hidden="false" customHeight="false" outlineLevel="0" collapsed="false">
      <c r="B251" s="27" t="s">
        <v>936</v>
      </c>
      <c r="E251" s="56" t="n">
        <v>8096</v>
      </c>
      <c r="F251" s="56" t="n">
        <v>11707</v>
      </c>
      <c r="G251" s="56" t="n">
        <v>14344</v>
      </c>
      <c r="H251" s="56" t="n">
        <v>16772</v>
      </c>
    </row>
    <row r="252" customFormat="false" ht="15" hidden="false" customHeight="false" outlineLevel="0" collapsed="false">
      <c r="B252" s="27" t="s">
        <v>943</v>
      </c>
      <c r="E252" s="56" t="n">
        <v>2819</v>
      </c>
      <c r="F252" s="56" t="n">
        <v>3316</v>
      </c>
      <c r="G252" s="56" t="n">
        <v>4050</v>
      </c>
      <c r="H252" s="56" t="n">
        <v>5011</v>
      </c>
    </row>
    <row r="253" customFormat="false" ht="15" hidden="false" customHeight="false" outlineLevel="0" collapsed="false">
      <c r="B253" s="27" t="s">
        <v>945</v>
      </c>
      <c r="E253" s="56" t="n">
        <v>3090</v>
      </c>
      <c r="F253" s="56" t="n">
        <v>3643</v>
      </c>
      <c r="G253" s="56" t="n">
        <v>4465</v>
      </c>
      <c r="H253" s="56" t="n">
        <v>5614</v>
      </c>
    </row>
    <row r="254" customFormat="false" ht="15" hidden="false" customHeight="false" outlineLevel="0" collapsed="false">
      <c r="B254" s="27" t="s">
        <v>952</v>
      </c>
      <c r="E254" s="56" t="n">
        <v>1341</v>
      </c>
      <c r="F254" s="56" t="n">
        <v>2605</v>
      </c>
      <c r="G254" s="56" t="n">
        <v>3097</v>
      </c>
      <c r="H254" s="56" t="n">
        <v>2086</v>
      </c>
    </row>
    <row r="255" customFormat="false" ht="15" hidden="false" customHeight="false" outlineLevel="0" collapsed="false">
      <c r="B255" s="27" t="s">
        <v>961</v>
      </c>
      <c r="E255" s="56" t="n">
        <v>3665</v>
      </c>
      <c r="F255" s="56" t="n">
        <v>5459</v>
      </c>
      <c r="G255" s="56" t="n">
        <v>6782</v>
      </c>
      <c r="H255" s="56" t="n">
        <v>9071</v>
      </c>
    </row>
    <row r="256" customFormat="false" ht="15" hidden="false" customHeight="false" outlineLevel="0" collapsed="false">
      <c r="B256" s="27" t="s">
        <v>962</v>
      </c>
      <c r="E256" s="56" t="n">
        <v>8096</v>
      </c>
      <c r="F256" s="56" t="n">
        <v>11707</v>
      </c>
      <c r="G256" s="56" t="n">
        <v>14344</v>
      </c>
      <c r="H256" s="56" t="n">
        <v>16772</v>
      </c>
    </row>
    <row r="257" customFormat="false" ht="15" hidden="false" customHeight="false" outlineLevel="0" collapsed="false">
      <c r="B257" s="27" t="s">
        <v>1012</v>
      </c>
      <c r="E257" s="56" t="n">
        <v>429</v>
      </c>
      <c r="F257" s="56" t="n">
        <v>590</v>
      </c>
      <c r="G257" s="56" t="n">
        <v>935</v>
      </c>
      <c r="H257" s="56" t="n">
        <v>976</v>
      </c>
    </row>
    <row r="258" customFormat="false" ht="15" hidden="false" customHeight="false" outlineLevel="0" collapsed="false">
      <c r="B258" s="27" t="s">
        <v>1013</v>
      </c>
      <c r="E258" s="56" t="n">
        <v>971</v>
      </c>
      <c r="F258" s="56" t="n">
        <v>1913</v>
      </c>
      <c r="G258" s="56" t="n">
        <v>2423</v>
      </c>
      <c r="H258" s="56" t="n">
        <v>1281</v>
      </c>
    </row>
    <row r="259" customFormat="false" ht="15" hidden="false" customHeight="false" outlineLevel="0" collapsed="false">
      <c r="B259" s="27" t="s">
        <v>1014</v>
      </c>
      <c r="E259" s="56" t="n">
        <v>256</v>
      </c>
      <c r="F259" s="56" t="n">
        <v>325</v>
      </c>
      <c r="G259" s="56" t="n">
        <v>345</v>
      </c>
      <c r="H259" s="56" t="n">
        <v>327</v>
      </c>
    </row>
    <row r="261" customFormat="false" ht="15" hidden="false" customHeight="false" outlineLevel="0" collapsed="false">
      <c r="B261" s="37" t="s">
        <v>1015</v>
      </c>
    </row>
    <row r="262" customFormat="false" ht="15" hidden="false" customHeight="false" outlineLevel="0" collapsed="false">
      <c r="B262" s="27" t="s">
        <v>1016</v>
      </c>
      <c r="E262" s="36" t="n">
        <f aca="false">E147-E177</f>
        <v>0</v>
      </c>
      <c r="F262" s="36" t="n">
        <f aca="false">F147-F177</f>
        <v>0</v>
      </c>
      <c r="G262" s="36" t="n">
        <f aca="false">G147-G177</f>
        <v>0</v>
      </c>
      <c r="H262" s="36" t="n">
        <f aca="false">H147-H177</f>
        <v>0</v>
      </c>
      <c r="J262" s="21" t="str">
        <f aca="false">IF(MAX(ABS(E262),ABS(F262),ABS(G262),ABS(H262))&lt;=$E$233,"OK","CHECK")</f>
        <v>OK</v>
      </c>
    </row>
    <row r="263" customFormat="false" ht="15" hidden="false" customHeight="false" outlineLevel="0" collapsed="false">
      <c r="B263" s="27" t="s">
        <v>1017</v>
      </c>
      <c r="F263" s="36" t="n">
        <f aca="false">F17</f>
        <v>0</v>
      </c>
      <c r="G263" s="36" t="n">
        <f aca="false">G17</f>
        <v>0</v>
      </c>
      <c r="H263" s="36" t="n">
        <f aca="false">H17</f>
        <v>0</v>
      </c>
      <c r="J263" s="21" t="str">
        <f aca="false">IF(MAX(ABS(F263),ABS(G263),ABS(H263))&lt;=$E$233,"OK","CHECK")</f>
        <v>OK</v>
      </c>
    </row>
    <row r="264" customFormat="false" ht="15" hidden="false" customHeight="false" outlineLevel="0" collapsed="false">
      <c r="B264" s="27" t="s">
        <v>1018</v>
      </c>
      <c r="F264" s="36" t="n">
        <f aca="false">F29</f>
        <v>-1</v>
      </c>
      <c r="G264" s="36" t="n">
        <f aca="false">G29</f>
        <v>0</v>
      </c>
      <c r="H264" s="36" t="n">
        <f aca="false">H29</f>
        <v>-1</v>
      </c>
      <c r="J264" s="21" t="str">
        <f aca="false">IF(MAX(ABS(F264),ABS(G264),ABS(H264))&lt;=$E$233,"OK","CHECK")</f>
        <v>OK</v>
      </c>
    </row>
    <row r="265" customFormat="false" ht="15" hidden="false" customHeight="false" outlineLevel="0" collapsed="false">
      <c r="B265" s="27" t="s">
        <v>1019</v>
      </c>
      <c r="F265" s="36" t="n">
        <f aca="false">F34</f>
        <v>1</v>
      </c>
      <c r="G265" s="36" t="n">
        <f aca="false">G34</f>
        <v>0</v>
      </c>
      <c r="H265" s="36" t="n">
        <f aca="false">H34</f>
        <v>1</v>
      </c>
      <c r="J265" s="21" t="str">
        <f aca="false">IF(MAX(ABS(F265),ABS(G265),ABS(H265))&lt;=$E$233,"OK","CHECK")</f>
        <v>OK</v>
      </c>
    </row>
    <row r="266" customFormat="false" ht="15" hidden="false" customHeight="false" outlineLevel="0" collapsed="false">
      <c r="B266" s="27" t="s">
        <v>1020</v>
      </c>
      <c r="F266" s="36" t="n">
        <f aca="false">F40</f>
        <v>0</v>
      </c>
      <c r="G266" s="36" t="n">
        <f aca="false">G40</f>
        <v>0</v>
      </c>
      <c r="H266" s="36" t="n">
        <f aca="false">H40</f>
        <v>1</v>
      </c>
      <c r="J266" s="21" t="str">
        <f aca="false">IF(MAX(ABS(F266),ABS(G266),ABS(H266))&lt;=$E$233,"OK","CHECK")</f>
        <v>OK</v>
      </c>
    </row>
    <row r="267" customFormat="false" ht="15" hidden="false" customHeight="false" outlineLevel="0" collapsed="false">
      <c r="B267" s="27" t="s">
        <v>1021</v>
      </c>
      <c r="F267" s="36" t="n">
        <f aca="false">F45</f>
        <v>0</v>
      </c>
      <c r="G267" s="36" t="n">
        <f aca="false">G45</f>
        <v>-1</v>
      </c>
      <c r="H267" s="36" t="n">
        <f aca="false">H45</f>
        <v>-1</v>
      </c>
      <c r="J267" s="21" t="str">
        <f aca="false">IF(MAX(ABS(F267),ABS(G267),ABS(H267))&lt;=$E$233,"OK","CHECK")</f>
        <v>OK</v>
      </c>
    </row>
    <row r="268" customFormat="false" ht="15" hidden="false" customHeight="false" outlineLevel="0" collapsed="false">
      <c r="B268" s="27" t="s">
        <v>1022</v>
      </c>
      <c r="F268" s="36" t="n">
        <f aca="false">F64</f>
        <v>0</v>
      </c>
      <c r="G268" s="36" t="n">
        <f aca="false">G64</f>
        <v>-1</v>
      </c>
      <c r="H268" s="36" t="n">
        <f aca="false">H64</f>
        <v>-1</v>
      </c>
      <c r="J268" s="21" t="str">
        <f aca="false">IF(MAX(ABS(F268),ABS(G268),ABS(H268))&lt;=$E$233,"OK","CHECK")</f>
        <v>OK</v>
      </c>
    </row>
    <row r="269" customFormat="false" ht="15" hidden="false" customHeight="false" outlineLevel="0" collapsed="false">
      <c r="B269" s="27" t="s">
        <v>1023</v>
      </c>
      <c r="F269" s="36" t="n">
        <f aca="false">F68</f>
        <v>0</v>
      </c>
      <c r="G269" s="36" t="n">
        <f aca="false">G68</f>
        <v>-1</v>
      </c>
      <c r="H269" s="36" t="n">
        <f aca="false">H68</f>
        <v>-1</v>
      </c>
      <c r="J269" s="21" t="str">
        <f aca="false">IF(MAX(ABS(F269),ABS(G269),ABS(H269))&lt;=$E$233,"OK","CHECK")</f>
        <v>OK</v>
      </c>
    </row>
    <row r="270" customFormat="false" ht="15" hidden="false" customHeight="false" outlineLevel="0" collapsed="false">
      <c r="B270" s="27" t="s">
        <v>1024</v>
      </c>
      <c r="F270" s="36" t="n">
        <f aca="false">F118</f>
        <v>1</v>
      </c>
      <c r="G270" s="36" t="n">
        <f aca="false">G118</f>
        <v>1</v>
      </c>
      <c r="H270" s="36" t="n">
        <f aca="false">H118</f>
        <v>0</v>
      </c>
      <c r="J270" s="21" t="str">
        <f aca="false">IF(MAX(ABS(F270),ABS(G270),ABS(H270))&lt;=$E$233,"OK","CHECK")</f>
        <v>OK</v>
      </c>
    </row>
    <row r="271" customFormat="false" ht="15" hidden="false" customHeight="false" outlineLevel="0" collapsed="false">
      <c r="B271" s="27" t="s">
        <v>1025</v>
      </c>
      <c r="E271" s="36" t="n">
        <f aca="false">E134</f>
        <v>0</v>
      </c>
      <c r="F271" s="36" t="n">
        <f aca="false">F134</f>
        <v>-1</v>
      </c>
      <c r="G271" s="36" t="n">
        <f aca="false">G134</f>
        <v>0</v>
      </c>
      <c r="H271" s="36" t="n">
        <f aca="false">H134</f>
        <v>1</v>
      </c>
      <c r="J271" s="21" t="str">
        <f aca="false">IF(MAX(ABS(E271),ABS(F271),ABS(G271),ABS(H271))&lt;=$E$233,"OK","CHECK")</f>
        <v>OK</v>
      </c>
    </row>
    <row r="272" customFormat="false" ht="15" hidden="false" customHeight="false" outlineLevel="0" collapsed="false">
      <c r="B272" s="27" t="s">
        <v>1026</v>
      </c>
      <c r="E272" s="36" t="n">
        <f aca="false">E144</f>
        <v>1</v>
      </c>
      <c r="F272" s="36" t="n">
        <f aca="false">F144</f>
        <v>1</v>
      </c>
      <c r="G272" s="36" t="n">
        <f aca="false">G144</f>
        <v>0</v>
      </c>
      <c r="H272" s="36" t="n">
        <f aca="false">H144</f>
        <v>1</v>
      </c>
      <c r="J272" s="21" t="str">
        <f aca="false">IF(MAX(ABS(E272),ABS(F272),ABS(G272),ABS(H272))&lt;=$E$233,"OK","CHECK")</f>
        <v>OK</v>
      </c>
    </row>
    <row r="273" customFormat="false" ht="15" hidden="false" customHeight="false" outlineLevel="0" collapsed="false">
      <c r="B273" s="27" t="s">
        <v>1027</v>
      </c>
      <c r="E273" s="36" t="n">
        <f aca="false">E146</f>
        <v>0</v>
      </c>
      <c r="F273" s="36" t="n">
        <f aca="false">F146</f>
        <v>0</v>
      </c>
      <c r="G273" s="36" t="n">
        <f aca="false">G146</f>
        <v>1</v>
      </c>
      <c r="H273" s="36" t="n">
        <f aca="false">H146</f>
        <v>0</v>
      </c>
      <c r="J273" s="21" t="str">
        <f aca="false">IF(MAX(ABS(E273),ABS(F273),ABS(G273),ABS(H273))&lt;=$E$233,"OK","CHECK")</f>
        <v>OK</v>
      </c>
    </row>
    <row r="274" customFormat="false" ht="15" hidden="false" customHeight="false" outlineLevel="0" collapsed="false">
      <c r="B274" s="27" t="s">
        <v>1028</v>
      </c>
      <c r="E274" s="36" t="n">
        <f aca="false">E155</f>
        <v>0</v>
      </c>
      <c r="F274" s="36" t="n">
        <f aca="false">F155</f>
        <v>0</v>
      </c>
      <c r="G274" s="36" t="n">
        <f aca="false">G155</f>
        <v>-1</v>
      </c>
      <c r="H274" s="36" t="n">
        <f aca="false">H155</f>
        <v>0</v>
      </c>
      <c r="J274" s="21" t="str">
        <f aca="false">IF(MAX(ABS(E274),ABS(F274),ABS(G274),ABS(H274))&lt;=$E$233,"OK","CHECK")</f>
        <v>OK</v>
      </c>
    </row>
    <row r="275" customFormat="false" ht="15" hidden="false" customHeight="false" outlineLevel="0" collapsed="false">
      <c r="B275" s="27" t="s">
        <v>1029</v>
      </c>
      <c r="E275" s="36" t="n">
        <f aca="false">E158</f>
        <v>0</v>
      </c>
      <c r="F275" s="36" t="n">
        <f aca="false">F158</f>
        <v>0</v>
      </c>
      <c r="G275" s="36" t="n">
        <f aca="false">G158</f>
        <v>1</v>
      </c>
      <c r="H275" s="36" t="n">
        <f aca="false">H158</f>
        <v>-1</v>
      </c>
      <c r="J275" s="21" t="str">
        <f aca="false">IF(MAX(ABS(E275),ABS(F275),ABS(G275),ABS(H275))&lt;=$E$233,"OK","CHECK")</f>
        <v>OK</v>
      </c>
    </row>
    <row r="276" customFormat="false" ht="15" hidden="false" customHeight="false" outlineLevel="0" collapsed="false">
      <c r="B276" s="27" t="s">
        <v>1030</v>
      </c>
      <c r="E276" s="36" t="n">
        <f aca="false">E165</f>
        <v>1</v>
      </c>
      <c r="F276" s="36" t="n">
        <f aca="false">F165</f>
        <v>-1</v>
      </c>
      <c r="G276" s="36" t="n">
        <f aca="false">G165</f>
        <v>0</v>
      </c>
      <c r="H276" s="36" t="n">
        <f aca="false">H165</f>
        <v>0</v>
      </c>
      <c r="J276" s="21" t="str">
        <f aca="false">IF(MAX(ABS(E276),ABS(F276),ABS(G276),ABS(H276))&lt;=$E$233,"OK","CHECK")</f>
        <v>OK</v>
      </c>
    </row>
    <row r="277" customFormat="false" ht="15" hidden="false" customHeight="false" outlineLevel="0" collapsed="false">
      <c r="B277" s="27" t="s">
        <v>1031</v>
      </c>
      <c r="E277" s="36" t="n">
        <f aca="false">E174</f>
        <v>-1</v>
      </c>
      <c r="F277" s="36" t="n">
        <f aca="false">F174</f>
        <v>0</v>
      </c>
      <c r="G277" s="36" t="n">
        <f aca="false">G174</f>
        <v>0</v>
      </c>
      <c r="H277" s="36" t="n">
        <f aca="false">H174</f>
        <v>0</v>
      </c>
      <c r="J277" s="21" t="str">
        <f aca="false">IF(MAX(ABS(E277),ABS(F277),ABS(G277),ABS(H277))&lt;=$E$233,"OK","CHECK")</f>
        <v>OK</v>
      </c>
    </row>
    <row r="278" customFormat="false" ht="15" hidden="false" customHeight="false" outlineLevel="0" collapsed="false">
      <c r="B278" s="27" t="s">
        <v>1032</v>
      </c>
      <c r="E278" s="36" t="n">
        <f aca="false">E176</f>
        <v>0</v>
      </c>
      <c r="F278" s="36" t="n">
        <f aca="false">F176</f>
        <v>0</v>
      </c>
      <c r="G278" s="36" t="n">
        <f aca="false">G176</f>
        <v>0</v>
      </c>
      <c r="H278" s="36" t="n">
        <f aca="false">H176</f>
        <v>1</v>
      </c>
      <c r="J278" s="21" t="str">
        <f aca="false">IF(MAX(ABS(E278),ABS(F278),ABS(G278),ABS(H278))&lt;=$E$233,"OK","CHECK")</f>
        <v>OK</v>
      </c>
    </row>
    <row r="279" customFormat="false" ht="15" hidden="false" customHeight="false" outlineLevel="0" collapsed="false">
      <c r="B279" s="27" t="s">
        <v>1033</v>
      </c>
      <c r="E279" s="36" t="n">
        <f aca="false">E192</f>
        <v>1</v>
      </c>
      <c r="F279" s="36" t="n">
        <f aca="false">F192</f>
        <v>-1</v>
      </c>
      <c r="G279" s="36" t="n">
        <f aca="false">G192</f>
        <v>0</v>
      </c>
      <c r="H279" s="36" t="n">
        <f aca="false">H192</f>
        <v>0</v>
      </c>
      <c r="J279" s="21" t="str">
        <f aca="false">IF(MAX(ABS(E279),ABS(F279),ABS(G279),ABS(H279))&lt;=$E$233,"OK","CHECK")</f>
        <v>OK</v>
      </c>
    </row>
    <row r="280" customFormat="false" ht="15" hidden="false" customHeight="false" outlineLevel="0" collapsed="false">
      <c r="B280" s="27" t="s">
        <v>1034</v>
      </c>
      <c r="E280" s="36" t="n">
        <f aca="false">E201</f>
        <v>-1</v>
      </c>
      <c r="F280" s="36" t="n">
        <f aca="false">F201</f>
        <v>0</v>
      </c>
      <c r="G280" s="36" t="n">
        <f aca="false">G201</f>
        <v>0</v>
      </c>
      <c r="H280" s="36" t="n">
        <f aca="false">H201</f>
        <v>-1</v>
      </c>
      <c r="J280" s="21" t="str">
        <f aca="false">IF(MAX(ABS(E280),ABS(F280),ABS(G280),ABS(H280))&lt;=$E$233,"OK","CHECK")</f>
        <v>OK</v>
      </c>
    </row>
    <row r="281" customFormat="false" ht="15" hidden="false" customHeight="false" outlineLevel="0" collapsed="false">
      <c r="B281" s="27" t="s">
        <v>1035</v>
      </c>
      <c r="E281" s="36" t="n">
        <f aca="false">E209</f>
        <v>0</v>
      </c>
      <c r="F281" s="36" t="n">
        <f aca="false">F209</f>
        <v>0</v>
      </c>
      <c r="G281" s="36" t="n">
        <f aca="false">G209</f>
        <v>1</v>
      </c>
      <c r="H281" s="36" t="n">
        <f aca="false">H209</f>
        <v>1</v>
      </c>
      <c r="J281" s="21" t="str">
        <f aca="false">IF(MAX(ABS(E281),ABS(F281),ABS(G281),ABS(H281))&lt;=$E$233,"OK","CHECK")</f>
        <v>OK</v>
      </c>
    </row>
    <row r="282" customFormat="false" ht="15" hidden="false" customHeight="false" outlineLevel="0" collapsed="false">
      <c r="B282" s="27" t="s">
        <v>780</v>
      </c>
      <c r="F282" s="36" t="n">
        <f aca="false">F14-F236</f>
        <v>0</v>
      </c>
      <c r="G282" s="36" t="n">
        <f aca="false">G14-G236</f>
        <v>0</v>
      </c>
      <c r="H282" s="36" t="n">
        <f aca="false">H14-H236</f>
        <v>0</v>
      </c>
      <c r="J282" s="21" t="str">
        <f aca="false">IF(MAX(ABS(F282),ABS(G282),ABS(H282))&lt;=$E$233,"OK","CHECK")</f>
        <v>OK</v>
      </c>
    </row>
    <row r="283" customFormat="false" ht="15" hidden="false" customHeight="false" outlineLevel="0" collapsed="false">
      <c r="B283" s="27" t="s">
        <v>786</v>
      </c>
      <c r="F283" s="36" t="n">
        <f aca="false">F18-F237</f>
        <v>0</v>
      </c>
      <c r="G283" s="36" t="n">
        <f aca="false">G18-G237</f>
        <v>0</v>
      </c>
      <c r="H283" s="36" t="n">
        <f aca="false">H18-H237</f>
        <v>0</v>
      </c>
      <c r="J283" s="21" t="str">
        <f aca="false">IF(MAX(ABS(F283),ABS(G283),ABS(H283))&lt;=$E$233,"OK","CHECK")</f>
        <v>OK</v>
      </c>
    </row>
    <row r="284" customFormat="false" ht="15" hidden="false" customHeight="false" outlineLevel="0" collapsed="false">
      <c r="B284" s="27" t="s">
        <v>787</v>
      </c>
      <c r="F284" s="36" t="n">
        <f aca="false">F20-F238</f>
        <v>0</v>
      </c>
      <c r="G284" s="36" t="n">
        <f aca="false">G20-G238</f>
        <v>0</v>
      </c>
      <c r="H284" s="36" t="n">
        <f aca="false">H20-H238</f>
        <v>0</v>
      </c>
      <c r="J284" s="21" t="str">
        <f aca="false">IF(MAX(ABS(F284),ABS(G284),ABS(H284))&lt;=$E$233,"OK","CHECK")</f>
        <v>OK</v>
      </c>
    </row>
    <row r="285" customFormat="false" ht="15" hidden="false" customHeight="false" outlineLevel="0" collapsed="false">
      <c r="B285" s="27" t="s">
        <v>798</v>
      </c>
      <c r="F285" s="36" t="n">
        <f aca="false">F31-F239</f>
        <v>0</v>
      </c>
      <c r="G285" s="36" t="n">
        <f aca="false">G31-G239</f>
        <v>0</v>
      </c>
      <c r="H285" s="36" t="n">
        <f aca="false">H31-H239</f>
        <v>0</v>
      </c>
      <c r="J285" s="21" t="str">
        <f aca="false">IF(MAX(ABS(F285),ABS(G285),ABS(H285))&lt;=$E$233,"OK","CHECK")</f>
        <v>OK</v>
      </c>
    </row>
    <row r="286" customFormat="false" ht="15" hidden="false" customHeight="false" outlineLevel="0" collapsed="false">
      <c r="B286" s="27" t="s">
        <v>803</v>
      </c>
      <c r="F286" s="36" t="n">
        <f aca="false">F35-F240</f>
        <v>0</v>
      </c>
      <c r="G286" s="36" t="n">
        <f aca="false">G35-G240</f>
        <v>0</v>
      </c>
      <c r="H286" s="36" t="n">
        <f aca="false">H35-H240</f>
        <v>0</v>
      </c>
      <c r="J286" s="21" t="str">
        <f aca="false">IF(MAX(ABS(F286),ABS(G286),ABS(H286))&lt;=$E$233,"OK","CHECK")</f>
        <v>OK</v>
      </c>
    </row>
    <row r="287" customFormat="false" ht="15" hidden="false" customHeight="false" outlineLevel="0" collapsed="false">
      <c r="B287" s="27" t="s">
        <v>809</v>
      </c>
      <c r="F287" s="36" t="n">
        <f aca="false">F41-F241</f>
        <v>0</v>
      </c>
      <c r="G287" s="36" t="n">
        <f aca="false">G41-G241</f>
        <v>0</v>
      </c>
      <c r="H287" s="36" t="n">
        <f aca="false">H41-H241</f>
        <v>0</v>
      </c>
      <c r="J287" s="21" t="str">
        <f aca="false">IF(MAX(ABS(F287),ABS(G287),ABS(H287))&lt;=$E$233,"OK","CHECK")</f>
        <v>OK</v>
      </c>
    </row>
    <row r="288" customFormat="false" ht="15" hidden="false" customHeight="false" outlineLevel="0" collapsed="false">
      <c r="B288" s="27" t="s">
        <v>813</v>
      </c>
      <c r="F288" s="36" t="n">
        <f aca="false">F47-F242</f>
        <v>0</v>
      </c>
      <c r="G288" s="36" t="n">
        <f aca="false">G47-G242</f>
        <v>0</v>
      </c>
      <c r="H288" s="36" t="n">
        <f aca="false">H47-H242</f>
        <v>0</v>
      </c>
      <c r="J288" s="21" t="str">
        <f aca="false">IF(MAX(ABS(F288),ABS(G288),ABS(H288))&lt;=$E$233,"OK","CHECK")</f>
        <v>OK</v>
      </c>
    </row>
    <row r="289" customFormat="false" ht="15" hidden="false" customHeight="false" outlineLevel="0" collapsed="false">
      <c r="B289" s="27" t="s">
        <v>1010</v>
      </c>
      <c r="F289" s="36" t="n">
        <f aca="false">F69-F243</f>
        <v>0</v>
      </c>
      <c r="G289" s="36" t="n">
        <f aca="false">G69-G243</f>
        <v>0</v>
      </c>
      <c r="H289" s="36" t="n">
        <f aca="false">H69-H243</f>
        <v>0</v>
      </c>
      <c r="J289" s="21" t="str">
        <f aca="false">IF(MAX(ABS(F289),ABS(G289),ABS(H289))&lt;=$E$233,"OK","CHECK")</f>
        <v>OK</v>
      </c>
    </row>
    <row r="290" customFormat="false" ht="15" hidden="false" customHeight="false" outlineLevel="0" collapsed="false">
      <c r="B290" s="27" t="s">
        <v>1011</v>
      </c>
      <c r="F290" s="36" t="n">
        <f aca="false">F73-F244</f>
        <v>0</v>
      </c>
      <c r="G290" s="36" t="n">
        <f aca="false">G73-G244</f>
        <v>0</v>
      </c>
      <c r="H290" s="36" t="n">
        <f aca="false">H73-H244</f>
        <v>0</v>
      </c>
      <c r="J290" s="21" t="str">
        <f aca="false">IF(MAX(ABS(F290),ABS(G290),ABS(H290))&lt;=$E$233,"OK","CHECK")</f>
        <v>OK</v>
      </c>
    </row>
    <row r="291" customFormat="false" ht="15" hidden="false" customHeight="false" outlineLevel="0" collapsed="false">
      <c r="B291" s="27" t="s">
        <v>844</v>
      </c>
      <c r="F291" s="36" t="n">
        <f aca="false">F76-F245</f>
        <v>0</v>
      </c>
      <c r="G291" s="36" t="n">
        <f aca="false">G76-G245</f>
        <v>0</v>
      </c>
      <c r="H291" s="36" t="n">
        <f aca="false">H76-H245</f>
        <v>0</v>
      </c>
      <c r="J291" s="21" t="str">
        <f aca="false">IF(MAX(ABS(F291),ABS(G291),ABS(H291))&lt;=$E$233,"OK","CHECK")</f>
        <v>OK</v>
      </c>
    </row>
    <row r="292" customFormat="false" ht="15" hidden="false" customHeight="false" outlineLevel="0" collapsed="false">
      <c r="B292" s="27" t="s">
        <v>848</v>
      </c>
      <c r="F292" s="36" t="n">
        <f aca="false">F78-F246</f>
        <v>0</v>
      </c>
      <c r="G292" s="36" t="n">
        <f aca="false">G78-G246</f>
        <v>0</v>
      </c>
      <c r="H292" s="36" t="n">
        <f aca="false">H78-H246</f>
        <v>0</v>
      </c>
      <c r="J292" s="21" t="str">
        <f aca="false">IF(MAX(ABS(F292),ABS(G292),ABS(H292))&lt;=$E$233,"OK","CHECK")</f>
        <v>OK</v>
      </c>
    </row>
    <row r="293" customFormat="false" ht="15" hidden="false" customHeight="false" outlineLevel="0" collapsed="false">
      <c r="B293" s="27" t="s">
        <v>908</v>
      </c>
      <c r="F293" s="36" t="n">
        <f aca="false">F119-F247</f>
        <v>0</v>
      </c>
      <c r="G293" s="36" t="n">
        <f aca="false">G119-G247</f>
        <v>0</v>
      </c>
      <c r="H293" s="36" t="n">
        <f aca="false">H119-H247</f>
        <v>0</v>
      </c>
      <c r="J293" s="21" t="str">
        <f aca="false">IF(MAX(ABS(F293),ABS(G293),ABS(H293))&lt;=$E$233,"OK","CHECK")</f>
        <v>OK</v>
      </c>
    </row>
    <row r="294" customFormat="false" ht="15" hidden="false" customHeight="false" outlineLevel="0" collapsed="false">
      <c r="B294" s="27" t="s">
        <v>909</v>
      </c>
      <c r="F294" s="36" t="n">
        <f aca="false">F120-F248</f>
        <v>0</v>
      </c>
      <c r="G294" s="36" t="n">
        <f aca="false">G120-G248</f>
        <v>0</v>
      </c>
      <c r="H294" s="36" t="n">
        <f aca="false">H120-H248</f>
        <v>0</v>
      </c>
      <c r="J294" s="21" t="str">
        <f aca="false">IF(MAX(ABS(F294),ABS(G294),ABS(H294))&lt;=$E$233,"OK","CHECK")</f>
        <v>OK</v>
      </c>
    </row>
    <row r="295" customFormat="false" ht="15" hidden="false" customHeight="false" outlineLevel="0" collapsed="false">
      <c r="B295" s="27" t="s">
        <v>923</v>
      </c>
      <c r="E295" s="36" t="n">
        <f aca="false">E135-E249</f>
        <v>0</v>
      </c>
      <c r="F295" s="36" t="n">
        <f aca="false">F135-F249</f>
        <v>0</v>
      </c>
      <c r="G295" s="36" t="n">
        <f aca="false">G135-G249</f>
        <v>0</v>
      </c>
      <c r="H295" s="36" t="n">
        <f aca="false">H135-H249</f>
        <v>0</v>
      </c>
      <c r="J295" s="21" t="str">
        <f aca="false">IF(MAX(ABS(E295),ABS(F295),ABS(G295),ABS(H295))&lt;=$E$233,"OK","CHECK")</f>
        <v>OK</v>
      </c>
    </row>
    <row r="296" customFormat="false" ht="15" hidden="false" customHeight="false" outlineLevel="0" collapsed="false">
      <c r="B296" s="27" t="s">
        <v>935</v>
      </c>
      <c r="E296" s="36" t="n">
        <f aca="false">E145-E250</f>
        <v>0</v>
      </c>
      <c r="F296" s="36" t="n">
        <f aca="false">F145-F250</f>
        <v>0</v>
      </c>
      <c r="G296" s="36" t="n">
        <f aca="false">G145-G250</f>
        <v>0</v>
      </c>
      <c r="H296" s="36" t="n">
        <f aca="false">H145-H250</f>
        <v>0</v>
      </c>
      <c r="J296" s="21" t="str">
        <f aca="false">IF(MAX(ABS(E296),ABS(F296),ABS(G296),ABS(H296))&lt;=$E$233,"OK","CHECK")</f>
        <v>OK</v>
      </c>
    </row>
    <row r="297" customFormat="false" ht="15" hidden="false" customHeight="false" outlineLevel="0" collapsed="false">
      <c r="B297" s="27" t="s">
        <v>936</v>
      </c>
      <c r="E297" s="36" t="n">
        <f aca="false">E147-E251</f>
        <v>0</v>
      </c>
      <c r="F297" s="36" t="n">
        <f aca="false">F147-F251</f>
        <v>0</v>
      </c>
      <c r="G297" s="36" t="n">
        <f aca="false">G147-G251</f>
        <v>0</v>
      </c>
      <c r="H297" s="36" t="n">
        <f aca="false">H147-H251</f>
        <v>0</v>
      </c>
      <c r="J297" s="21" t="str">
        <f aca="false">IF(MAX(ABS(E297),ABS(F297),ABS(G297),ABS(H297))&lt;=$E$233,"OK","CHECK")</f>
        <v>OK</v>
      </c>
    </row>
    <row r="298" customFormat="false" ht="15" hidden="false" customHeight="false" outlineLevel="0" collapsed="false">
      <c r="B298" s="27" t="s">
        <v>943</v>
      </c>
      <c r="E298" s="36" t="n">
        <f aca="false">E156-E252</f>
        <v>0</v>
      </c>
      <c r="F298" s="36" t="n">
        <f aca="false">F156-F252</f>
        <v>0</v>
      </c>
      <c r="G298" s="36" t="n">
        <f aca="false">G156-G252</f>
        <v>0</v>
      </c>
      <c r="H298" s="36" t="n">
        <f aca="false">H156-H252</f>
        <v>0</v>
      </c>
      <c r="J298" s="21" t="str">
        <f aca="false">IF(MAX(ABS(E298),ABS(F298),ABS(G298),ABS(H298))&lt;=$E$233,"OK","CHECK")</f>
        <v>OK</v>
      </c>
    </row>
    <row r="299" customFormat="false" ht="15" hidden="false" customHeight="false" outlineLevel="0" collapsed="false">
      <c r="B299" s="27" t="s">
        <v>945</v>
      </c>
      <c r="E299" s="36" t="n">
        <f aca="false">E159-E253</f>
        <v>0</v>
      </c>
      <c r="F299" s="36" t="n">
        <f aca="false">F159-F253</f>
        <v>0</v>
      </c>
      <c r="G299" s="36" t="n">
        <f aca="false">G159-G253</f>
        <v>0</v>
      </c>
      <c r="H299" s="36" t="n">
        <f aca="false">H159-H253</f>
        <v>0</v>
      </c>
      <c r="J299" s="21" t="str">
        <f aca="false">IF(MAX(ABS(E299),ABS(F299),ABS(G299),ABS(H299))&lt;=$E$233,"OK","CHECK")</f>
        <v>OK</v>
      </c>
    </row>
    <row r="300" customFormat="false" ht="15" hidden="false" customHeight="false" outlineLevel="0" collapsed="false">
      <c r="B300" s="27" t="s">
        <v>952</v>
      </c>
      <c r="E300" s="36" t="n">
        <f aca="false">E166-E254</f>
        <v>0</v>
      </c>
      <c r="F300" s="36" t="n">
        <f aca="false">F166-F254</f>
        <v>0</v>
      </c>
      <c r="G300" s="36" t="n">
        <f aca="false">G166-G254</f>
        <v>0</v>
      </c>
      <c r="H300" s="36" t="n">
        <f aca="false">H166-H254</f>
        <v>0</v>
      </c>
      <c r="J300" s="21" t="str">
        <f aca="false">IF(MAX(ABS(E300),ABS(F300),ABS(G300),ABS(H300))&lt;=$E$233,"OK","CHECK")</f>
        <v>OK</v>
      </c>
    </row>
    <row r="301" customFormat="false" ht="15" hidden="false" customHeight="false" outlineLevel="0" collapsed="false">
      <c r="B301" s="27" t="s">
        <v>961</v>
      </c>
      <c r="E301" s="36" t="n">
        <f aca="false">E175-E255</f>
        <v>0</v>
      </c>
      <c r="F301" s="36" t="n">
        <f aca="false">F175-F255</f>
        <v>0</v>
      </c>
      <c r="G301" s="36" t="n">
        <f aca="false">G175-G255</f>
        <v>0</v>
      </c>
      <c r="H301" s="36" t="n">
        <f aca="false">H175-H255</f>
        <v>0</v>
      </c>
      <c r="J301" s="21" t="str">
        <f aca="false">IF(MAX(ABS(E301),ABS(F301),ABS(G301),ABS(H301))&lt;=$E$233,"OK","CHECK")</f>
        <v>OK</v>
      </c>
    </row>
    <row r="302" customFormat="false" ht="15" hidden="false" customHeight="false" outlineLevel="0" collapsed="false">
      <c r="B302" s="27" t="s">
        <v>962</v>
      </c>
      <c r="E302" s="36" t="n">
        <f aca="false">E177-E256</f>
        <v>0</v>
      </c>
      <c r="F302" s="36" t="n">
        <f aca="false">F177-F256</f>
        <v>0</v>
      </c>
      <c r="G302" s="36" t="n">
        <f aca="false">G177-G256</f>
        <v>0</v>
      </c>
      <c r="H302" s="36" t="n">
        <f aca="false">H177-H256</f>
        <v>0</v>
      </c>
      <c r="J302" s="21" t="str">
        <f aca="false">IF(MAX(ABS(E302),ABS(F302),ABS(G302),ABS(H302))&lt;=$E$233,"OK","CHECK")</f>
        <v>OK</v>
      </c>
    </row>
    <row r="303" customFormat="false" ht="15" hidden="false" customHeight="false" outlineLevel="0" collapsed="false">
      <c r="B303" s="27" t="s">
        <v>1012</v>
      </c>
      <c r="E303" s="36" t="n">
        <f aca="false">E181-E257</f>
        <v>0</v>
      </c>
      <c r="F303" s="36" t="n">
        <f aca="false">F181-F257</f>
        <v>0</v>
      </c>
      <c r="G303" s="36" t="n">
        <f aca="false">G181-G257</f>
        <v>0</v>
      </c>
      <c r="H303" s="36" t="n">
        <f aca="false">H181-H257</f>
        <v>0</v>
      </c>
      <c r="J303" s="21" t="str">
        <f aca="false">IF(MAX(ABS(E303),ABS(F303),ABS(G303),ABS(H303))&lt;=$E$233,"OK","CHECK")</f>
        <v>OK</v>
      </c>
    </row>
    <row r="304" customFormat="false" ht="15" hidden="false" customHeight="false" outlineLevel="0" collapsed="false">
      <c r="B304" s="27" t="s">
        <v>1013</v>
      </c>
      <c r="E304" s="36" t="n">
        <f aca="false">E194-E258</f>
        <v>0</v>
      </c>
      <c r="F304" s="36" t="n">
        <f aca="false">F194-F258</f>
        <v>0</v>
      </c>
      <c r="G304" s="36" t="n">
        <f aca="false">G194-G258</f>
        <v>0</v>
      </c>
      <c r="H304" s="36" t="n">
        <f aca="false">H194-H258</f>
        <v>0</v>
      </c>
      <c r="J304" s="21" t="str">
        <f aca="false">IF(MAX(ABS(E304),ABS(F304),ABS(G304),ABS(H304))&lt;=$E$233,"OK","CHECK")</f>
        <v>OK</v>
      </c>
    </row>
    <row r="305" customFormat="false" ht="15" hidden="false" customHeight="false" outlineLevel="0" collapsed="false">
      <c r="B305" s="27" t="s">
        <v>1014</v>
      </c>
      <c r="E305" s="36" t="n">
        <f aca="false">E203-E259</f>
        <v>0</v>
      </c>
      <c r="F305" s="36" t="n">
        <f aca="false">F203-F259</f>
        <v>0</v>
      </c>
      <c r="G305" s="36" t="n">
        <f aca="false">G203-G259</f>
        <v>1</v>
      </c>
      <c r="H305" s="36" t="n">
        <f aca="false">H203-H259</f>
        <v>1</v>
      </c>
      <c r="J305" s="21" t="str">
        <f aca="false">IF(MAX(ABS(E305),ABS(F305),ABS(G305),ABS(H305))&lt;=$E$233,"OK","CHECK")</f>
        <v>OK</v>
      </c>
    </row>
    <row r="306" customFormat="false" ht="15" hidden="false" customHeight="false" outlineLevel="0" collapsed="false">
      <c r="B306" s="27" t="s">
        <v>1036</v>
      </c>
      <c r="E306" s="36" t="n">
        <f aca="false">E181-E132-E139</f>
        <v>0</v>
      </c>
      <c r="F306" s="36" t="n">
        <f aca="false">F181-F132-F139</f>
        <v>0</v>
      </c>
      <c r="G306" s="36" t="n">
        <f aca="false">G181-G132-G139</f>
        <v>0</v>
      </c>
      <c r="H306" s="36" t="n">
        <f aca="false">H181-H132-H139</f>
        <v>0</v>
      </c>
      <c r="J306" s="21" t="str">
        <f aca="false">IF(MAX(ABS(E306),ABS(F306),ABS(G306),ABS(H306))&lt;=$E$233,"OK","CHECK")</f>
        <v>OK</v>
      </c>
    </row>
    <row r="307" customFormat="false" ht="15" hidden="false" customHeight="false" outlineLevel="0" collapsed="false">
      <c r="B307" s="27" t="s">
        <v>1037</v>
      </c>
      <c r="E307" s="36" t="n">
        <f aca="false">E194-E162-E168</f>
        <v>0</v>
      </c>
      <c r="F307" s="36" t="n">
        <f aca="false">F194-F162-F168</f>
        <v>0</v>
      </c>
      <c r="G307" s="36" t="n">
        <f aca="false">G194-G162-G168</f>
        <v>0</v>
      </c>
      <c r="H307" s="36" t="n">
        <f aca="false">H194-H162-H168</f>
        <v>0</v>
      </c>
      <c r="J307" s="21" t="str">
        <f aca="false">IF(MAX(ABS(E307),ABS(F307),ABS(G307),ABS(H307))&lt;=$E$233,"OK","CHECK")</f>
        <v>OK</v>
      </c>
    </row>
    <row r="308" customFormat="false" ht="15" hidden="false" customHeight="false" outlineLevel="0" collapsed="false">
      <c r="B308" s="27" t="s">
        <v>1038</v>
      </c>
      <c r="E308" s="36" t="n">
        <f aca="false">E203-E163-E171</f>
        <v>0</v>
      </c>
      <c r="F308" s="36" t="n">
        <f aca="false">F203-F163-F171</f>
        <v>0</v>
      </c>
      <c r="G308" s="36" t="n">
        <f aca="false">G203-G163-G171</f>
        <v>0</v>
      </c>
      <c r="H308" s="36" t="n">
        <f aca="false">H203-H163-H171</f>
        <v>0</v>
      </c>
      <c r="J308" s="21" t="str">
        <f aca="false">IF(MAX(ABS(E308),ABS(F308),ABS(G308),ABS(H308))&lt;=$E$233,"OK","CHECK")</f>
        <v>OK</v>
      </c>
    </row>
    <row r="309" customFormat="false" ht="15" hidden="false" customHeight="false" outlineLevel="0" collapsed="false">
      <c r="B309" s="27" t="s">
        <v>1039</v>
      </c>
      <c r="F309" s="36" t="n">
        <f aca="false">F100+F101-F77</f>
        <v>0</v>
      </c>
      <c r="G309" s="36" t="n">
        <f aca="false">G100+G101-G77</f>
        <v>1</v>
      </c>
      <c r="H309" s="36" t="n">
        <f aca="false">H100+H101-H77</f>
        <v>-1</v>
      </c>
      <c r="J309" s="21" t="str">
        <f aca="false">IF(MAX(ABS(F309),ABS(G309),ABS(H309))&lt;=$E$233,"OK","CHECK")</f>
        <v>OK</v>
      </c>
    </row>
    <row r="310" customFormat="false" ht="15" hidden="false" customHeight="false" outlineLevel="0" collapsed="false">
      <c r="B310" s="27" t="s">
        <v>1040</v>
      </c>
      <c r="F310" s="36" t="n">
        <f aca="false">SUM(F102:F106)+F107-F119</f>
        <v>0</v>
      </c>
      <c r="G310" s="36" t="n">
        <f aca="false">SUM(G102:G106)+G107-G119</f>
        <v>-1</v>
      </c>
      <c r="H310" s="36" t="n">
        <f aca="false">SUM(H102:H106)+H107-H119</f>
        <v>1</v>
      </c>
      <c r="J310" s="21" t="str">
        <f aca="false">IF(MAX(ABS(F310),ABS(G310),ABS(H310))&lt;=$E$233,"OK","CHECK")</f>
        <v>OK</v>
      </c>
    </row>
    <row r="311" customFormat="false" ht="15" hidden="false" customHeight="false" outlineLevel="0" collapsed="false">
      <c r="B311" s="27" t="s">
        <v>1041</v>
      </c>
      <c r="F311" s="36" t="n">
        <f aca="false">F229-F69</f>
        <v>0</v>
      </c>
      <c r="G311" s="36" t="n">
        <f aca="false">G229-G69</f>
        <v>0</v>
      </c>
      <c r="H311" s="36" t="n">
        <f aca="false">H229-H69</f>
        <v>-1</v>
      </c>
      <c r="J311" s="21" t="str">
        <f aca="false">IF(MAX(ABS(F311),ABS(G311),ABS(H311))&lt;=$E$233,"OK","CHECK")</f>
        <v>OK</v>
      </c>
    </row>
    <row r="313" customFormat="false" ht="15" hidden="false" customHeight="false" outlineLevel="0" collapsed="false">
      <c r="B313" s="54" t="s">
        <v>767</v>
      </c>
      <c r="C313" s="14"/>
      <c r="D313" s="14"/>
      <c r="E313" s="14"/>
      <c r="F313" s="14"/>
      <c r="G313" s="14"/>
      <c r="H313" s="14"/>
      <c r="J313" s="55" t="str">
        <f aca="false">IF(COUNTIF(J262:J311,"CHECK")=0,"ALL OK",COUNTIF(J262:J311,"CHECK")&amp;" to check")</f>
        <v>ALL OK</v>
      </c>
    </row>
    <row r="315" customFormat="false" ht="15" hidden="false" customHeight="false" outlineLevel="0" collapsed="false">
      <c r="A315" s="25" t="s">
        <v>11</v>
      </c>
      <c r="B315" s="16" t="s">
        <v>431</v>
      </c>
    </row>
  </sheetData>
  <conditionalFormatting sqref="J262:J313">
    <cfRule type="cellIs" priority="2" operator="equal" aboveAverage="0" equalAverage="0" bottom="0" percent="0" rank="0" text="" dxfId="2">
      <formula>"OK"</formula>
    </cfRule>
    <cfRule type="cellIs" priority="3" operator="equal" aboveAverage="0" equalAverage="0" bottom="0" percent="0" rank="0" text="" dxfId="2">
      <formula>"ALL OK"</formula>
    </cfRule>
    <cfRule type="cellIs" priority="4" operator="equal" aboveAverage="0" equalAverage="0" bottom="0" percent="0" rank="0" text="" dxfId="1">
      <formula>"CHECK"</formula>
    </cfRule>
  </conditionalFormatting>
  <printOptions headings="false" gridLines="false" gridLinesSet="true" horizontalCentered="false" verticalCentered="false"/>
  <pageMargins left="0.4" right="0.4" top="0.4" bottom="0.4"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A1:M315"/>
  <sheetViews>
    <sheetView showFormulas="false" showGridLines="false" showRowColHeaders="true" showZeros="true" rightToLeft="false" tabSelected="false" showOutlineSymbols="true" defaultGridColor="true" view="pageBreakPreview" topLeftCell="A1" colorId="64" zoomScale="85" zoomScaleNormal="100" zoomScalePageLayoutView="85"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2" min="2" style="0" width="62"/>
    <col collapsed="false" customWidth="true" hidden="false" outlineLevel="0" max="3" min="3" style="0" width="6"/>
    <col collapsed="false" customWidth="true" hidden="false" outlineLevel="0" max="4" min="4" style="0" width="2"/>
    <col collapsed="false" customWidth="true" hidden="false" outlineLevel="0" max="8" min="5" style="0" width="17"/>
    <col collapsed="false" customWidth="true" hidden="false" outlineLevel="0" max="9" min="9" style="0" width="3"/>
    <col collapsed="false" customWidth="true" hidden="false" outlineLevel="0" max="10" min="10" style="0" width="44"/>
    <col collapsed="false" customWidth="true" hidden="false" outlineLevel="0" max="11" min="11" style="0" width="26"/>
    <col collapsed="false" customWidth="true" hidden="false" outlineLevel="0" max="12" min="12" style="0" width="3"/>
    <col collapsed="false" customWidth="true" hidden="false" outlineLevel="0" max="13" min="13" style="0" width="16"/>
  </cols>
  <sheetData>
    <row r="1" customFormat="false" ht="12" hidden="false" customHeight="true" outlineLevel="0" collapsed="false">
      <c r="A1" s="14"/>
      <c r="B1" s="14"/>
      <c r="C1" s="14"/>
      <c r="D1" s="14"/>
      <c r="E1" s="14"/>
      <c r="F1" s="14"/>
      <c r="G1" s="14"/>
      <c r="H1" s="14"/>
      <c r="I1" s="14"/>
      <c r="J1" s="14"/>
      <c r="K1" s="14"/>
      <c r="L1" s="14"/>
      <c r="M1" s="14"/>
    </row>
    <row r="2" customFormat="false" ht="12" hidden="false" customHeight="true" outlineLevel="0" collapsed="false">
      <c r="A2" s="14"/>
      <c r="B2" s="14"/>
      <c r="C2" s="14"/>
      <c r="D2" s="14"/>
      <c r="E2" s="14"/>
      <c r="F2" s="14"/>
      <c r="G2" s="14"/>
      <c r="H2" s="14"/>
      <c r="I2" s="14"/>
      <c r="J2" s="14"/>
      <c r="K2" s="14"/>
      <c r="L2" s="14"/>
      <c r="M2" s="14"/>
    </row>
    <row r="3" customFormat="false" ht="23.25" hidden="false" customHeight="true" outlineLevel="0" collapsed="false">
      <c r="A3" s="14"/>
      <c r="B3" s="15" t="str">
        <f aca="true">MID(CELL("filename",B3),FIND("]",CELL("filename",B3))+1,256)</f>
        <v>Input financials</v>
      </c>
      <c r="C3" s="14"/>
      <c r="D3" s="14"/>
      <c r="E3" s="14"/>
      <c r="F3" s="14"/>
      <c r="G3" s="14"/>
      <c r="H3" s="14"/>
      <c r="I3" s="14"/>
      <c r="J3" s="14"/>
      <c r="K3" s="14"/>
      <c r="L3" s="14"/>
      <c r="M3" s="14"/>
    </row>
    <row r="4" customFormat="false" ht="12" hidden="false" customHeight="true" outlineLevel="0" collapsed="false"/>
    <row r="5" customFormat="false" ht="12" hidden="false" customHeight="true" outlineLevel="0" collapsed="false"/>
    <row r="6" customFormat="false" ht="15" hidden="false" customHeight="false" outlineLevel="0" collapsed="false">
      <c r="G6" s="16" t="s">
        <v>1042</v>
      </c>
    </row>
    <row r="7" customFormat="false" ht="15" hidden="false" customHeight="false" outlineLevel="0" collapsed="false">
      <c r="B7" s="17" t="s">
        <v>6</v>
      </c>
      <c r="C7" s="18" t="s">
        <v>773</v>
      </c>
      <c r="D7" s="19"/>
      <c r="E7" s="20" t="s">
        <v>8</v>
      </c>
      <c r="F7" s="20" t="str">
        <f aca="false">TEXT(VALUE(LEFT(E7, 4)) + 1, "####")&amp;IF(VALUE(LEFT(E7, 4)) + 1 &lt;= 2025, "A", "P")</f>
        <v>2023A</v>
      </c>
      <c r="G7" s="20" t="str">
        <f aca="false">TEXT(VALUE(LEFT(F7, 4)) + 1, "####")&amp;IF(VALUE(LEFT(F7, 4)) + 1 &lt;= 2025, "A", "P")</f>
        <v>2024A</v>
      </c>
      <c r="H7" s="20" t="str">
        <f aca="false">TEXT(VALUE(LEFT(G7, 4)) + 1, "####")&amp;IF(VALUE(LEFT(G7, 4)) + 1 &lt;= 2025, "A", "P")</f>
        <v>2025A</v>
      </c>
      <c r="J7" s="21" t="s">
        <v>1043</v>
      </c>
      <c r="K7" s="21" t="s">
        <v>1044</v>
      </c>
      <c r="M7" s="21" t="s">
        <v>1045</v>
      </c>
    </row>
    <row r="8" customFormat="false" ht="15" hidden="false" customHeight="false" outlineLevel="0" collapsed="false">
      <c r="B8" s="22" t="s">
        <v>10</v>
      </c>
      <c r="C8" s="23"/>
      <c r="D8" s="23"/>
      <c r="E8" s="24" t="n">
        <v>44926</v>
      </c>
      <c r="F8" s="24" t="n">
        <v>45291</v>
      </c>
      <c r="G8" s="24" t="n">
        <v>45657</v>
      </c>
      <c r="H8" s="24" t="n">
        <v>46022</v>
      </c>
    </row>
    <row r="10" customFormat="false" ht="15" hidden="false" customHeight="false" outlineLevel="0" collapsed="false">
      <c r="A10" s="25" t="s">
        <v>11</v>
      </c>
      <c r="B10" s="26" t="s">
        <v>775</v>
      </c>
      <c r="C10" s="14"/>
      <c r="D10" s="14"/>
      <c r="E10" s="14"/>
      <c r="F10" s="14"/>
      <c r="G10" s="14"/>
      <c r="H10" s="14"/>
    </row>
    <row r="12" customFormat="false" ht="15" hidden="false" customHeight="false" outlineLevel="0" collapsed="false">
      <c r="B12" s="27" t="s">
        <v>776</v>
      </c>
      <c r="C12" s="28" t="s">
        <v>777</v>
      </c>
      <c r="F12" s="28" t="s">
        <v>1046</v>
      </c>
      <c r="G12" s="28" t="s">
        <v>1047</v>
      </c>
      <c r="H12" s="28" t="s">
        <v>1047</v>
      </c>
      <c r="J12" s="61" t="s">
        <v>776</v>
      </c>
      <c r="K12" s="61" t="s">
        <v>1048</v>
      </c>
      <c r="M12" s="62" t="str">
        <f aca="false">IF(COUNT('Reported Financials'!E12:H12)=0,"",IF(SUMPRODUCT(--ISNUMBER('Reported Financials'!E12:H12),--(E12:H12=""))=0,"OK","source missing"))</f>
        <v>OK</v>
      </c>
    </row>
    <row r="13" customFormat="false" ht="15" hidden="false" customHeight="false" outlineLevel="0" collapsed="false">
      <c r="B13" s="31" t="s">
        <v>16</v>
      </c>
      <c r="G13" s="63" t="s">
        <v>1049</v>
      </c>
      <c r="H13" s="63" t="s">
        <v>1049</v>
      </c>
      <c r="K13" s="64" t="s">
        <v>1050</v>
      </c>
    </row>
    <row r="14" customFormat="false" ht="15" hidden="false" customHeight="false" outlineLevel="0" collapsed="false">
      <c r="B14" s="27" t="s">
        <v>780</v>
      </c>
      <c r="C14" s="28" t="s">
        <v>781</v>
      </c>
      <c r="F14" s="63" t="s">
        <v>1051</v>
      </c>
      <c r="G14" s="63" t="s">
        <v>1051</v>
      </c>
      <c r="H14" s="63" t="s">
        <v>1051</v>
      </c>
      <c r="J14" s="61" t="s">
        <v>780</v>
      </c>
      <c r="K14" s="64" t="s">
        <v>1052</v>
      </c>
      <c r="M14" s="62" t="str">
        <f aca="false">IF(COUNT('Reported Financials'!E14:H14)=0,"",IF(SUMPRODUCT(--ISNUMBER('Reported Financials'!E14:H14),--(E14:H14=""))=0,"OK","source missing"))</f>
        <v>OK</v>
      </c>
    </row>
    <row r="15" customFormat="false" ht="15" hidden="false" customHeight="false" outlineLevel="0" collapsed="false">
      <c r="B15" s="27" t="s">
        <v>782</v>
      </c>
      <c r="C15" s="28" t="s">
        <v>781</v>
      </c>
      <c r="F15" s="28" t="s">
        <v>1053</v>
      </c>
      <c r="G15" s="28" t="s">
        <v>1054</v>
      </c>
      <c r="H15" s="28" t="s">
        <v>1054</v>
      </c>
      <c r="J15" s="61" t="s">
        <v>1055</v>
      </c>
      <c r="K15" s="61" t="s">
        <v>1056</v>
      </c>
      <c r="M15" s="62" t="str">
        <f aca="false">IF(COUNT('Reported Financials'!E15:H15)=0,"",IF(SUMPRODUCT(--ISNUMBER('Reported Financials'!E15:H15),--(E15:H15=""))=0,"OK","source missing"))</f>
        <v>OK</v>
      </c>
    </row>
    <row r="16" customFormat="false" ht="15" hidden="false" customHeight="false" outlineLevel="0" collapsed="false">
      <c r="B16" s="27" t="s">
        <v>783</v>
      </c>
      <c r="C16" s="28" t="s">
        <v>781</v>
      </c>
      <c r="F16" s="28" t="s">
        <v>1053</v>
      </c>
      <c r="G16" s="28" t="s">
        <v>1054</v>
      </c>
      <c r="H16" s="28" t="s">
        <v>1054</v>
      </c>
      <c r="J16" s="61" t="s">
        <v>1057</v>
      </c>
      <c r="K16" s="61" t="s">
        <v>1056</v>
      </c>
      <c r="M16" s="62" t="str">
        <f aca="false">IF(COUNT('Reported Financials'!E16:H16)=0,"",IF(SUMPRODUCT(--ISNUMBER('Reported Financials'!E16:H16),--(E16:H16=""))=0,"OK","source missing"))</f>
        <v>OK</v>
      </c>
    </row>
    <row r="17" customFormat="false" ht="15" hidden="false" customHeight="false" outlineLevel="0" collapsed="false">
      <c r="B17" s="27" t="s">
        <v>784</v>
      </c>
      <c r="F17" s="63" t="s">
        <v>1049</v>
      </c>
      <c r="G17" s="63" t="s">
        <v>1049</v>
      </c>
      <c r="H17" s="63" t="s">
        <v>1049</v>
      </c>
      <c r="K17" s="64" t="s">
        <v>1058</v>
      </c>
    </row>
    <row r="18" customFormat="false" ht="15" hidden="false" customHeight="false" outlineLevel="0" collapsed="false">
      <c r="B18" s="33" t="s">
        <v>786</v>
      </c>
      <c r="C18" s="34"/>
      <c r="D18" s="34"/>
      <c r="E18" s="34"/>
      <c r="F18" s="65" t="s">
        <v>1049</v>
      </c>
      <c r="G18" s="65" t="s">
        <v>1049</v>
      </c>
      <c r="H18" s="65" t="s">
        <v>1049</v>
      </c>
      <c r="K18" s="64" t="s">
        <v>1050</v>
      </c>
    </row>
    <row r="20" customFormat="false" ht="15" hidden="false" customHeight="false" outlineLevel="0" collapsed="false">
      <c r="B20" s="27" t="s">
        <v>787</v>
      </c>
      <c r="C20" s="28" t="s">
        <v>788</v>
      </c>
      <c r="F20" s="63" t="s">
        <v>1051</v>
      </c>
      <c r="G20" s="63" t="s">
        <v>1051</v>
      </c>
      <c r="H20" s="63" t="s">
        <v>1051</v>
      </c>
      <c r="J20" s="61" t="s">
        <v>787</v>
      </c>
      <c r="K20" s="64" t="s">
        <v>1052</v>
      </c>
      <c r="M20" s="62" t="str">
        <f aca="false">IF(COUNT('Reported Financials'!E20:H20)=0,"",IF(SUMPRODUCT(--ISNUMBER('Reported Financials'!E20:H20),--(E20:H20=""))=0,"OK","source missing"))</f>
        <v>OK</v>
      </c>
    </row>
    <row r="21" customFormat="false" ht="15" hidden="false" customHeight="false" outlineLevel="0" collapsed="false">
      <c r="B21" s="27" t="s">
        <v>789</v>
      </c>
      <c r="C21" s="28" t="s">
        <v>788</v>
      </c>
      <c r="F21" s="28" t="s">
        <v>1053</v>
      </c>
      <c r="G21" s="28" t="s">
        <v>1059</v>
      </c>
      <c r="H21" s="28" t="s">
        <v>1059</v>
      </c>
      <c r="J21" s="61" t="s">
        <v>1060</v>
      </c>
      <c r="K21" s="61" t="s">
        <v>1056</v>
      </c>
      <c r="M21" s="62" t="str">
        <f aca="false">IF(COUNT('Reported Financials'!E21:H21)=0,"",IF(SUMPRODUCT(--ISNUMBER('Reported Financials'!E21:H21),--(E21:H21=""))=0,"OK","source missing"))</f>
        <v>OK</v>
      </c>
    </row>
    <row r="22" customFormat="false" ht="15" hidden="false" customHeight="false" outlineLevel="0" collapsed="false">
      <c r="B22" s="27" t="s">
        <v>791</v>
      </c>
      <c r="C22" s="28" t="s">
        <v>788</v>
      </c>
      <c r="F22" s="28" t="s">
        <v>1053</v>
      </c>
      <c r="G22" s="28" t="s">
        <v>1059</v>
      </c>
      <c r="H22" s="28" t="s">
        <v>1059</v>
      </c>
      <c r="J22" s="61" t="s">
        <v>1061</v>
      </c>
      <c r="K22" s="61" t="s">
        <v>1056</v>
      </c>
      <c r="M22" s="62" t="str">
        <f aca="false">IF(COUNT('Reported Financials'!E22:H22)=0,"",IF(SUMPRODUCT(--ISNUMBER('Reported Financials'!E22:H22),--(E22:H22=""))=0,"OK","source missing"))</f>
        <v>OK</v>
      </c>
    </row>
    <row r="23" customFormat="false" ht="15" hidden="false" customHeight="false" outlineLevel="0" collapsed="false">
      <c r="B23" s="27" t="s">
        <v>792</v>
      </c>
      <c r="C23" s="28" t="s">
        <v>788</v>
      </c>
      <c r="F23" s="28" t="s">
        <v>1053</v>
      </c>
      <c r="G23" s="28" t="s">
        <v>1059</v>
      </c>
      <c r="H23" s="28" t="s">
        <v>1059</v>
      </c>
      <c r="J23" s="61" t="s">
        <v>1062</v>
      </c>
      <c r="K23" s="61" t="s">
        <v>1056</v>
      </c>
      <c r="M23" s="62" t="str">
        <f aca="false">IF(COUNT('Reported Financials'!E23:H23)=0,"",IF(SUMPRODUCT(--ISNUMBER('Reported Financials'!E23:H23),--(E23:H23=""))=0,"OK","source missing"))</f>
        <v>OK</v>
      </c>
    </row>
    <row r="24" customFormat="false" ht="15" hidden="false" customHeight="false" outlineLevel="0" collapsed="false">
      <c r="B24" s="27" t="s">
        <v>793</v>
      </c>
      <c r="C24" s="28" t="s">
        <v>788</v>
      </c>
      <c r="F24" s="28" t="s">
        <v>1053</v>
      </c>
      <c r="G24" s="28" t="s">
        <v>1059</v>
      </c>
      <c r="H24" s="28" t="s">
        <v>1059</v>
      </c>
      <c r="J24" s="61" t="s">
        <v>1063</v>
      </c>
      <c r="K24" s="61" t="s">
        <v>1056</v>
      </c>
      <c r="M24" s="62" t="str">
        <f aca="false">IF(COUNT('Reported Financials'!E24:H24)=0,"",IF(SUMPRODUCT(--ISNUMBER('Reported Financials'!E24:H24),--(E24:H24=""))=0,"OK","source missing"))</f>
        <v>OK</v>
      </c>
    </row>
    <row r="25" customFormat="false" ht="15" hidden="false" customHeight="false" outlineLevel="0" collapsed="false">
      <c r="B25" s="27" t="s">
        <v>794</v>
      </c>
      <c r="C25" s="28" t="s">
        <v>788</v>
      </c>
      <c r="F25" s="28" t="s">
        <v>1053</v>
      </c>
      <c r="G25" s="28" t="s">
        <v>1059</v>
      </c>
      <c r="H25" s="28" t="s">
        <v>1059</v>
      </c>
      <c r="J25" s="61" t="s">
        <v>1064</v>
      </c>
      <c r="K25" s="61" t="s">
        <v>1056</v>
      </c>
      <c r="M25" s="62" t="str">
        <f aca="false">IF(COUNT('Reported Financials'!E25:H25)=0,"",IF(SUMPRODUCT(--ISNUMBER('Reported Financials'!E25:H25),--(E25:H25=""))=0,"OK","source missing"))</f>
        <v>OK</v>
      </c>
    </row>
    <row r="26" customFormat="false" ht="15" hidden="false" customHeight="false" outlineLevel="0" collapsed="false">
      <c r="B26" s="27" t="s">
        <v>795</v>
      </c>
      <c r="C26" s="28" t="s">
        <v>788</v>
      </c>
      <c r="F26" s="28" t="s">
        <v>1053</v>
      </c>
      <c r="G26" s="28" t="s">
        <v>1059</v>
      </c>
      <c r="H26" s="28" t="s">
        <v>1059</v>
      </c>
      <c r="J26" s="61" t="s">
        <v>1065</v>
      </c>
      <c r="K26" s="61" t="s">
        <v>1056</v>
      </c>
      <c r="M26" s="62" t="str">
        <f aca="false">IF(COUNT('Reported Financials'!E26:H26)=0,"",IF(SUMPRODUCT(--ISNUMBER('Reported Financials'!E26:H26),--(E26:H26=""))=0,"OK","source missing"))</f>
        <v>OK</v>
      </c>
    </row>
    <row r="27" customFormat="false" ht="15" hidden="false" customHeight="false" outlineLevel="0" collapsed="false">
      <c r="B27" s="27" t="s">
        <v>796</v>
      </c>
      <c r="C27" s="28" t="s">
        <v>788</v>
      </c>
      <c r="F27" s="28" t="s">
        <v>1053</v>
      </c>
      <c r="G27" s="28" t="s">
        <v>1059</v>
      </c>
      <c r="H27" s="28" t="s">
        <v>1059</v>
      </c>
      <c r="J27" s="61" t="s">
        <v>1066</v>
      </c>
      <c r="K27" s="61" t="s">
        <v>1056</v>
      </c>
      <c r="M27" s="62" t="str">
        <f aca="false">IF(COUNT('Reported Financials'!E27:H27)=0,"",IF(SUMPRODUCT(--ISNUMBER('Reported Financials'!E27:H27),--(E27:H27=""))=0,"OK","source missing"))</f>
        <v>OK</v>
      </c>
    </row>
    <row r="28" customFormat="false" ht="15" hidden="false" customHeight="false" outlineLevel="0" collapsed="false">
      <c r="B28" s="27" t="s">
        <v>797</v>
      </c>
      <c r="C28" s="28" t="s">
        <v>788</v>
      </c>
      <c r="F28" s="28" t="s">
        <v>1053</v>
      </c>
      <c r="G28" s="28" t="s">
        <v>1059</v>
      </c>
      <c r="H28" s="28" t="s">
        <v>1059</v>
      </c>
      <c r="J28" s="61" t="s">
        <v>1067</v>
      </c>
      <c r="K28" s="61" t="s">
        <v>1056</v>
      </c>
      <c r="M28" s="62" t="str">
        <f aca="false">IF(COUNT('Reported Financials'!E28:H28)=0,"",IF(SUMPRODUCT(--ISNUMBER('Reported Financials'!E28:H28),--(E28:H28=""))=0,"OK","source missing"))</f>
        <v>OK</v>
      </c>
    </row>
    <row r="29" customFormat="false" ht="15" hidden="false" customHeight="false" outlineLevel="0" collapsed="false">
      <c r="B29" s="27" t="s">
        <v>784</v>
      </c>
      <c r="F29" s="63" t="s">
        <v>1049</v>
      </c>
      <c r="G29" s="63" t="s">
        <v>1049</v>
      </c>
      <c r="H29" s="63" t="s">
        <v>1049</v>
      </c>
      <c r="K29" s="64" t="s">
        <v>1058</v>
      </c>
    </row>
    <row r="31" customFormat="false" ht="15" hidden="false" customHeight="false" outlineLevel="0" collapsed="false">
      <c r="B31" s="27" t="s">
        <v>798</v>
      </c>
      <c r="C31" s="28" t="s">
        <v>799</v>
      </c>
      <c r="F31" s="63" t="s">
        <v>1051</v>
      </c>
      <c r="G31" s="63" t="s">
        <v>1051</v>
      </c>
      <c r="H31" s="63" t="s">
        <v>1051</v>
      </c>
      <c r="J31" s="61" t="s">
        <v>798</v>
      </c>
      <c r="K31" s="64" t="s">
        <v>1052</v>
      </c>
      <c r="M31" s="62" t="str">
        <f aca="false">IF(COUNT('Reported Financials'!E31:H31)=0,"",IF(SUMPRODUCT(--ISNUMBER('Reported Financials'!E31:H31),--(E31:H31=""))=0,"OK","source missing"))</f>
        <v>OK</v>
      </c>
    </row>
    <row r="32" customFormat="false" ht="15" hidden="false" customHeight="false" outlineLevel="0" collapsed="false">
      <c r="B32" s="27" t="s">
        <v>801</v>
      </c>
      <c r="C32" s="28" t="s">
        <v>799</v>
      </c>
      <c r="F32" s="28" t="s">
        <v>1068</v>
      </c>
      <c r="G32" s="28" t="s">
        <v>1059</v>
      </c>
      <c r="H32" s="28" t="s">
        <v>1059</v>
      </c>
      <c r="J32" s="61" t="s">
        <v>1069</v>
      </c>
      <c r="K32" s="61" t="s">
        <v>1056</v>
      </c>
      <c r="M32" s="62" t="str">
        <f aca="false">IF(COUNT('Reported Financials'!E32:H32)=0,"",IF(SUMPRODUCT(--ISNUMBER('Reported Financials'!E32:H32),--(E32:H32=""))=0,"OK","source missing"))</f>
        <v>OK</v>
      </c>
    </row>
    <row r="33" customFormat="false" ht="15" hidden="false" customHeight="false" outlineLevel="0" collapsed="false">
      <c r="B33" s="27" t="s">
        <v>802</v>
      </c>
      <c r="C33" s="28" t="s">
        <v>799</v>
      </c>
      <c r="F33" s="28" t="s">
        <v>1068</v>
      </c>
      <c r="G33" s="28" t="s">
        <v>1059</v>
      </c>
      <c r="H33" s="28" t="s">
        <v>1059</v>
      </c>
      <c r="J33" s="61" t="s">
        <v>1070</v>
      </c>
      <c r="K33" s="61" t="s">
        <v>1056</v>
      </c>
      <c r="M33" s="62" t="str">
        <f aca="false">IF(COUNT('Reported Financials'!E33:H33)=0,"",IF(SUMPRODUCT(--ISNUMBER('Reported Financials'!E33:H33),--(E33:H33=""))=0,"OK","source missing"))</f>
        <v>OK</v>
      </c>
    </row>
    <row r="34" customFormat="false" ht="15" hidden="false" customHeight="false" outlineLevel="0" collapsed="false">
      <c r="B34" s="27" t="s">
        <v>784</v>
      </c>
      <c r="F34" s="63" t="s">
        <v>1049</v>
      </c>
      <c r="G34" s="63" t="s">
        <v>1049</v>
      </c>
      <c r="H34" s="63" t="s">
        <v>1049</v>
      </c>
      <c r="K34" s="64" t="s">
        <v>1058</v>
      </c>
    </row>
    <row r="35" customFormat="false" ht="15" hidden="false" customHeight="false" outlineLevel="0" collapsed="false">
      <c r="B35" s="27" t="s">
        <v>803</v>
      </c>
      <c r="C35" s="28" t="s">
        <v>804</v>
      </c>
      <c r="F35" s="63" t="s">
        <v>1051</v>
      </c>
      <c r="G35" s="63" t="s">
        <v>1051</v>
      </c>
      <c r="H35" s="63" t="s">
        <v>1051</v>
      </c>
      <c r="J35" s="61" t="s">
        <v>803</v>
      </c>
      <c r="K35" s="64" t="s">
        <v>1052</v>
      </c>
      <c r="M35" s="62" t="str">
        <f aca="false">IF(COUNT('Reported Financials'!E35:H35)=0,"",IF(SUMPRODUCT(--ISNUMBER('Reported Financials'!E35:H35),--(E35:H35=""))=0,"OK","source missing"))</f>
        <v>OK</v>
      </c>
    </row>
    <row r="36" customFormat="false" ht="15" hidden="false" customHeight="false" outlineLevel="0" collapsed="false">
      <c r="B36" s="27" t="s">
        <v>805</v>
      </c>
      <c r="C36" s="28" t="s">
        <v>804</v>
      </c>
      <c r="F36" s="28" t="s">
        <v>1068</v>
      </c>
      <c r="G36" s="28" t="s">
        <v>1059</v>
      </c>
      <c r="H36" s="28" t="s">
        <v>1059</v>
      </c>
      <c r="J36" s="61" t="s">
        <v>1071</v>
      </c>
      <c r="K36" s="61" t="s">
        <v>1056</v>
      </c>
      <c r="M36" s="62" t="str">
        <f aca="false">IF(COUNT('Reported Financials'!E36:H36)=0,"",IF(SUMPRODUCT(--ISNUMBER('Reported Financials'!E36:H36),--(E36:H36=""))=0,"OK","source missing"))</f>
        <v>OK</v>
      </c>
    </row>
    <row r="37" customFormat="false" ht="15" hidden="false" customHeight="false" outlineLevel="0" collapsed="false">
      <c r="B37" s="27" t="s">
        <v>806</v>
      </c>
      <c r="C37" s="28" t="s">
        <v>804</v>
      </c>
      <c r="F37" s="28" t="s">
        <v>1068</v>
      </c>
      <c r="G37" s="28" t="s">
        <v>1059</v>
      </c>
      <c r="H37" s="28" t="s">
        <v>1059</v>
      </c>
      <c r="J37" s="61" t="s">
        <v>1072</v>
      </c>
      <c r="K37" s="61" t="s">
        <v>1056</v>
      </c>
      <c r="M37" s="62" t="str">
        <f aca="false">IF(COUNT('Reported Financials'!E37:H37)=0,"",IF(SUMPRODUCT(--ISNUMBER('Reported Financials'!E37:H37),--(E37:H37=""))=0,"OK","source missing"))</f>
        <v>OK</v>
      </c>
    </row>
    <row r="38" customFormat="false" ht="15" hidden="false" customHeight="false" outlineLevel="0" collapsed="false">
      <c r="B38" s="27" t="s">
        <v>807</v>
      </c>
      <c r="C38" s="28" t="s">
        <v>804</v>
      </c>
      <c r="F38" s="28" t="s">
        <v>1068</v>
      </c>
      <c r="G38" s="28" t="s">
        <v>1059</v>
      </c>
      <c r="H38" s="28" t="s">
        <v>1059</v>
      </c>
      <c r="J38" s="61" t="s">
        <v>1073</v>
      </c>
      <c r="K38" s="61" t="s">
        <v>1056</v>
      </c>
      <c r="M38" s="62" t="str">
        <f aca="false">IF(COUNT('Reported Financials'!E38:H38)=0,"",IF(SUMPRODUCT(--ISNUMBER('Reported Financials'!E38:H38),--(E38:H38=""))=0,"OK","source missing"))</f>
        <v>OK</v>
      </c>
    </row>
    <row r="39" customFormat="false" ht="15" hidden="false" customHeight="false" outlineLevel="0" collapsed="false">
      <c r="B39" s="27" t="s">
        <v>808</v>
      </c>
      <c r="C39" s="28" t="s">
        <v>804</v>
      </c>
      <c r="F39" s="28" t="s">
        <v>1068</v>
      </c>
      <c r="G39" s="28" t="s">
        <v>1059</v>
      </c>
      <c r="H39" s="28" t="s">
        <v>1059</v>
      </c>
      <c r="J39" s="61" t="s">
        <v>1074</v>
      </c>
      <c r="K39" s="61" t="s">
        <v>1056</v>
      </c>
      <c r="M39" s="62" t="str">
        <f aca="false">IF(COUNT('Reported Financials'!E39:H39)=0,"",IF(SUMPRODUCT(--ISNUMBER('Reported Financials'!E39:H39),--(E39:H39=""))=0,"OK","source missing"))</f>
        <v>OK</v>
      </c>
    </row>
    <row r="40" customFormat="false" ht="15" hidden="false" customHeight="false" outlineLevel="0" collapsed="false">
      <c r="B40" s="27" t="s">
        <v>784</v>
      </c>
      <c r="F40" s="63" t="s">
        <v>1049</v>
      </c>
      <c r="G40" s="63" t="s">
        <v>1049</v>
      </c>
      <c r="H40" s="63" t="s">
        <v>1049</v>
      </c>
      <c r="K40" s="64" t="s">
        <v>1058</v>
      </c>
    </row>
    <row r="41" customFormat="false" ht="15" hidden="false" customHeight="false" outlineLevel="0" collapsed="false">
      <c r="B41" s="27" t="s">
        <v>809</v>
      </c>
      <c r="C41" s="28" t="s">
        <v>810</v>
      </c>
      <c r="F41" s="63" t="s">
        <v>1051</v>
      </c>
      <c r="G41" s="63" t="s">
        <v>1051</v>
      </c>
      <c r="H41" s="63" t="s">
        <v>1051</v>
      </c>
      <c r="J41" s="61" t="s">
        <v>809</v>
      </c>
      <c r="K41" s="64" t="s">
        <v>1052</v>
      </c>
      <c r="M41" s="62" t="str">
        <f aca="false">IF(COUNT('Reported Financials'!E41:H41)=0,"",IF(SUMPRODUCT(--ISNUMBER('Reported Financials'!E41:H41),--(E41:H41=""))=0,"OK","source missing"))</f>
        <v>OK</v>
      </c>
    </row>
    <row r="42" customFormat="false" ht="15" hidden="false" customHeight="false" outlineLevel="0" collapsed="false">
      <c r="B42" s="27" t="s">
        <v>336</v>
      </c>
      <c r="C42" s="28" t="s">
        <v>810</v>
      </c>
      <c r="F42" s="28" t="s">
        <v>1068</v>
      </c>
      <c r="G42" s="28" t="s">
        <v>1075</v>
      </c>
      <c r="H42" s="28" t="s">
        <v>1075</v>
      </c>
      <c r="J42" s="61" t="s">
        <v>912</v>
      </c>
      <c r="K42" s="61" t="s">
        <v>1056</v>
      </c>
      <c r="M42" s="62" t="str">
        <f aca="false">IF(COUNT('Reported Financials'!E42:H42)=0,"",IF(SUMPRODUCT(--ISNUMBER('Reported Financials'!E42:H42),--(E42:H42=""))=0,"OK","source missing"))</f>
        <v>OK</v>
      </c>
    </row>
    <row r="43" customFormat="false" ht="15" hidden="false" customHeight="false" outlineLevel="0" collapsed="false">
      <c r="B43" s="27" t="s">
        <v>337</v>
      </c>
      <c r="C43" s="28" t="s">
        <v>810</v>
      </c>
      <c r="F43" s="28" t="s">
        <v>1068</v>
      </c>
      <c r="G43" s="28" t="s">
        <v>1075</v>
      </c>
      <c r="H43" s="28" t="s">
        <v>1075</v>
      </c>
      <c r="J43" s="61" t="s">
        <v>913</v>
      </c>
      <c r="K43" s="61" t="s">
        <v>1056</v>
      </c>
      <c r="M43" s="62" t="str">
        <f aca="false">IF(COUNT('Reported Financials'!E43:H43)=0,"",IF(SUMPRODUCT(--ISNUMBER('Reported Financials'!E43:H43),--(E43:H43=""))=0,"OK","source missing"))</f>
        <v>OK</v>
      </c>
    </row>
    <row r="44" customFormat="false" ht="15" hidden="false" customHeight="false" outlineLevel="0" collapsed="false">
      <c r="B44" s="27" t="s">
        <v>811</v>
      </c>
      <c r="C44" s="28" t="s">
        <v>810</v>
      </c>
      <c r="F44" s="28" t="s">
        <v>1068</v>
      </c>
      <c r="G44" s="28" t="s">
        <v>1075</v>
      </c>
      <c r="H44" s="28" t="s">
        <v>1075</v>
      </c>
      <c r="J44" s="61" t="s">
        <v>1076</v>
      </c>
      <c r="K44" s="61" t="s">
        <v>1056</v>
      </c>
      <c r="M44" s="62" t="str">
        <f aca="false">IF(COUNT('Reported Financials'!E44:H44)=0,"",IF(SUMPRODUCT(--ISNUMBER('Reported Financials'!E44:H44),--(E44:H44=""))=0,"OK","source missing"))</f>
        <v>OK</v>
      </c>
    </row>
    <row r="45" customFormat="false" ht="15" hidden="false" customHeight="false" outlineLevel="0" collapsed="false">
      <c r="B45" s="27" t="s">
        <v>784</v>
      </c>
      <c r="F45" s="63" t="s">
        <v>1049</v>
      </c>
      <c r="G45" s="63" t="s">
        <v>1049</v>
      </c>
      <c r="H45" s="63" t="s">
        <v>1049</v>
      </c>
      <c r="K45" s="64" t="s">
        <v>1058</v>
      </c>
    </row>
    <row r="46" customFormat="false" ht="15" hidden="false" customHeight="false" outlineLevel="0" collapsed="false">
      <c r="B46" s="31" t="s">
        <v>812</v>
      </c>
      <c r="F46" s="63" t="s">
        <v>1049</v>
      </c>
      <c r="G46" s="63" t="s">
        <v>1049</v>
      </c>
      <c r="H46" s="63" t="s">
        <v>1049</v>
      </c>
      <c r="K46" s="64" t="s">
        <v>1050</v>
      </c>
    </row>
    <row r="47" customFormat="false" ht="15" hidden="false" customHeight="false" outlineLevel="0" collapsed="false">
      <c r="B47" s="27" t="s">
        <v>813</v>
      </c>
      <c r="C47" s="28" t="s">
        <v>814</v>
      </c>
      <c r="F47" s="63" t="s">
        <v>1051</v>
      </c>
      <c r="G47" s="63" t="s">
        <v>1051</v>
      </c>
      <c r="H47" s="63" t="s">
        <v>1051</v>
      </c>
      <c r="J47" s="61" t="s">
        <v>813</v>
      </c>
      <c r="K47" s="64" t="s">
        <v>1052</v>
      </c>
      <c r="M47" s="62" t="str">
        <f aca="false">IF(COUNT('Reported Financials'!E47:H47)=0,"",IF(SUMPRODUCT(--ISNUMBER('Reported Financials'!E47:H47),--(E47:H47=""))=0,"OK","source missing"))</f>
        <v>OK</v>
      </c>
    </row>
    <row r="48" customFormat="false" ht="15" hidden="false" customHeight="false" outlineLevel="0" collapsed="false">
      <c r="B48" s="27" t="s">
        <v>815</v>
      </c>
      <c r="C48" s="28" t="s">
        <v>814</v>
      </c>
      <c r="F48" s="28" t="s">
        <v>1077</v>
      </c>
      <c r="G48" s="28" t="s">
        <v>1075</v>
      </c>
      <c r="H48" s="28" t="s">
        <v>1075</v>
      </c>
      <c r="J48" s="61" t="s">
        <v>1078</v>
      </c>
      <c r="K48" s="61" t="s">
        <v>1056</v>
      </c>
      <c r="M48" s="62" t="str">
        <f aca="false">IF(COUNT('Reported Financials'!E48:H48)=0,"",IF(SUMPRODUCT(--ISNUMBER('Reported Financials'!E48:H48),--(E48:H48=""))=0,"OK","source missing"))</f>
        <v>OK</v>
      </c>
    </row>
    <row r="49" customFormat="false" ht="15" hidden="false" customHeight="false" outlineLevel="0" collapsed="false">
      <c r="B49" s="27" t="s">
        <v>816</v>
      </c>
      <c r="C49" s="28" t="s">
        <v>814</v>
      </c>
      <c r="F49" s="28" t="s">
        <v>1077</v>
      </c>
      <c r="G49" s="28" t="s">
        <v>1075</v>
      </c>
      <c r="H49" s="28" t="s">
        <v>1075</v>
      </c>
      <c r="J49" s="61" t="s">
        <v>1079</v>
      </c>
      <c r="K49" s="61" t="s">
        <v>1056</v>
      </c>
      <c r="M49" s="62" t="str">
        <f aca="false">IF(COUNT('Reported Financials'!E49:H49)=0,"",IF(SUMPRODUCT(--ISNUMBER('Reported Financials'!E49:H49),--(E49:H49=""))=0,"OK","source missing"))</f>
        <v>OK</v>
      </c>
    </row>
    <row r="50" customFormat="false" ht="15" hidden="false" customHeight="false" outlineLevel="0" collapsed="false">
      <c r="B50" s="27" t="s">
        <v>817</v>
      </c>
      <c r="C50" s="28" t="s">
        <v>814</v>
      </c>
      <c r="F50" s="28" t="s">
        <v>1077</v>
      </c>
      <c r="G50" s="28" t="s">
        <v>1075</v>
      </c>
      <c r="H50" s="28" t="s">
        <v>1075</v>
      </c>
      <c r="J50" s="61" t="s">
        <v>1080</v>
      </c>
      <c r="K50" s="61" t="s">
        <v>1056</v>
      </c>
      <c r="M50" s="62" t="str">
        <f aca="false">IF(COUNT('Reported Financials'!E50:H50)=0,"",IF(SUMPRODUCT(--ISNUMBER('Reported Financials'!E50:H50),--(E50:H50=""))=0,"OK","source missing"))</f>
        <v>OK</v>
      </c>
    </row>
    <row r="51" customFormat="false" ht="15" hidden="false" customHeight="false" outlineLevel="0" collapsed="false">
      <c r="B51" s="27" t="s">
        <v>205</v>
      </c>
      <c r="C51" s="28" t="s">
        <v>814</v>
      </c>
      <c r="F51" s="28" t="s">
        <v>1077</v>
      </c>
      <c r="G51" s="28" t="s">
        <v>1075</v>
      </c>
      <c r="H51" s="28" t="s">
        <v>1075</v>
      </c>
      <c r="J51" s="61" t="s">
        <v>1081</v>
      </c>
      <c r="K51" s="61" t="s">
        <v>1056</v>
      </c>
      <c r="M51" s="62" t="str">
        <f aca="false">IF(COUNT('Reported Financials'!E51:H51)=0,"",IF(SUMPRODUCT(--ISNUMBER('Reported Financials'!E51:H51),--(E51:H51=""))=0,"OK","source missing"))</f>
        <v>OK</v>
      </c>
    </row>
    <row r="52" customFormat="false" ht="15" hidden="false" customHeight="false" outlineLevel="0" collapsed="false">
      <c r="B52" s="27" t="s">
        <v>818</v>
      </c>
      <c r="C52" s="28" t="s">
        <v>814</v>
      </c>
      <c r="F52" s="28" t="s">
        <v>1077</v>
      </c>
      <c r="G52" s="28" t="s">
        <v>1075</v>
      </c>
      <c r="H52" s="28" t="s">
        <v>1075</v>
      </c>
      <c r="J52" s="61" t="s">
        <v>1082</v>
      </c>
      <c r="K52" s="61" t="s">
        <v>1056</v>
      </c>
      <c r="M52" s="62" t="str">
        <f aca="false">IF(COUNT('Reported Financials'!E52:H52)=0,"",IF(SUMPRODUCT(--ISNUMBER('Reported Financials'!E52:H52),--(E52:H52=""))=0,"OK","source missing"))</f>
        <v>OK</v>
      </c>
    </row>
    <row r="53" customFormat="false" ht="15" hidden="false" customHeight="false" outlineLevel="0" collapsed="false">
      <c r="B53" s="27" t="s">
        <v>819</v>
      </c>
      <c r="C53" s="28" t="s">
        <v>814</v>
      </c>
      <c r="F53" s="28" t="s">
        <v>1077</v>
      </c>
      <c r="G53" s="28" t="s">
        <v>1075</v>
      </c>
      <c r="H53" s="28" t="s">
        <v>1075</v>
      </c>
      <c r="J53" s="61" t="s">
        <v>1083</v>
      </c>
      <c r="K53" s="61" t="s">
        <v>1056</v>
      </c>
      <c r="M53" s="62" t="str">
        <f aca="false">IF(COUNT('Reported Financials'!E53:H53)=0,"",IF(SUMPRODUCT(--ISNUMBER('Reported Financials'!E53:H53),--(E53:H53=""))=0,"OK","source missing"))</f>
        <v>OK</v>
      </c>
    </row>
    <row r="54" customFormat="false" ht="15" hidden="false" customHeight="false" outlineLevel="0" collapsed="false">
      <c r="B54" s="27" t="s">
        <v>820</v>
      </c>
      <c r="C54" s="28" t="s">
        <v>814</v>
      </c>
      <c r="F54" s="28" t="s">
        <v>1077</v>
      </c>
      <c r="G54" s="28" t="s">
        <v>1075</v>
      </c>
      <c r="H54" s="28" t="s">
        <v>1075</v>
      </c>
      <c r="J54" s="61" t="s">
        <v>1084</v>
      </c>
      <c r="K54" s="61" t="s">
        <v>1056</v>
      </c>
      <c r="M54" s="62" t="str">
        <f aca="false">IF(COUNT('Reported Financials'!E54:H54)=0,"",IF(SUMPRODUCT(--ISNUMBER('Reported Financials'!E54:H54),--(E54:H54=""))=0,"OK","source missing"))</f>
        <v>OK</v>
      </c>
    </row>
    <row r="55" customFormat="false" ht="15" hidden="false" customHeight="false" outlineLevel="0" collapsed="false">
      <c r="B55" s="27" t="s">
        <v>821</v>
      </c>
      <c r="C55" s="28" t="s">
        <v>814</v>
      </c>
      <c r="F55" s="28" t="s">
        <v>1077</v>
      </c>
      <c r="G55" s="28" t="s">
        <v>1075</v>
      </c>
      <c r="H55" s="28" t="s">
        <v>1075</v>
      </c>
      <c r="J55" s="61" t="s">
        <v>1085</v>
      </c>
      <c r="K55" s="61" t="s">
        <v>1056</v>
      </c>
      <c r="M55" s="62" t="str">
        <f aca="false">IF(COUNT('Reported Financials'!E55:H55)=0,"",IF(SUMPRODUCT(--ISNUMBER('Reported Financials'!E55:H55),--(E55:H55=""))=0,"OK","source missing"))</f>
        <v>OK</v>
      </c>
    </row>
    <row r="56" customFormat="false" ht="15" hidden="false" customHeight="false" outlineLevel="0" collapsed="false">
      <c r="B56" s="27" t="s">
        <v>822</v>
      </c>
      <c r="C56" s="28" t="s">
        <v>814</v>
      </c>
      <c r="F56" s="28" t="s">
        <v>1077</v>
      </c>
      <c r="G56" s="28" t="s">
        <v>1075</v>
      </c>
      <c r="H56" s="28" t="s">
        <v>1075</v>
      </c>
      <c r="J56" s="61" t="s">
        <v>1086</v>
      </c>
      <c r="K56" s="61" t="s">
        <v>1056</v>
      </c>
      <c r="M56" s="62" t="str">
        <f aca="false">IF(COUNT('Reported Financials'!E56:H56)=0,"",IF(SUMPRODUCT(--ISNUMBER('Reported Financials'!E56:H56),--(E56:H56=""))=0,"OK","source missing"))</f>
        <v>OK</v>
      </c>
    </row>
    <row r="57" customFormat="false" ht="15" hidden="false" customHeight="false" outlineLevel="0" collapsed="false">
      <c r="B57" s="27" t="s">
        <v>823</v>
      </c>
      <c r="C57" s="28" t="s">
        <v>814</v>
      </c>
      <c r="F57" s="28" t="s">
        <v>1077</v>
      </c>
      <c r="G57" s="28" t="s">
        <v>1075</v>
      </c>
      <c r="H57" s="28" t="s">
        <v>1075</v>
      </c>
      <c r="J57" s="61" t="s">
        <v>1087</v>
      </c>
      <c r="K57" s="61" t="s">
        <v>1056</v>
      </c>
      <c r="M57" s="62" t="str">
        <f aca="false">IF(COUNT('Reported Financials'!E57:H57)=0,"",IF(SUMPRODUCT(--ISNUMBER('Reported Financials'!E57:H57),--(E57:H57=""))=0,"OK","source missing"))</f>
        <v>OK</v>
      </c>
    </row>
    <row r="58" customFormat="false" ht="15" hidden="false" customHeight="false" outlineLevel="0" collapsed="false">
      <c r="B58" s="27" t="s">
        <v>824</v>
      </c>
      <c r="C58" s="28" t="s">
        <v>814</v>
      </c>
      <c r="F58" s="28" t="s">
        <v>1077</v>
      </c>
      <c r="G58" s="28" t="s">
        <v>1075</v>
      </c>
      <c r="H58" s="28" t="s">
        <v>1075</v>
      </c>
      <c r="J58" s="61" t="s">
        <v>1088</v>
      </c>
      <c r="K58" s="61" t="s">
        <v>1056</v>
      </c>
      <c r="M58" s="62" t="str">
        <f aca="false">IF(COUNT('Reported Financials'!E58:H58)=0,"",IF(SUMPRODUCT(--ISNUMBER('Reported Financials'!E58:H58),--(E58:H58=""))=0,"OK","source missing"))</f>
        <v>OK</v>
      </c>
    </row>
    <row r="59" customFormat="false" ht="15" hidden="false" customHeight="false" outlineLevel="0" collapsed="false">
      <c r="B59" s="27" t="s">
        <v>825</v>
      </c>
      <c r="C59" s="28" t="s">
        <v>814</v>
      </c>
      <c r="F59" s="28" t="s">
        <v>1077</v>
      </c>
      <c r="G59" s="28" t="s">
        <v>1075</v>
      </c>
      <c r="H59" s="28" t="s">
        <v>1075</v>
      </c>
      <c r="J59" s="61" t="s">
        <v>1089</v>
      </c>
      <c r="K59" s="61" t="s">
        <v>1056</v>
      </c>
      <c r="M59" s="62" t="str">
        <f aca="false">IF(COUNT('Reported Financials'!E59:H59)=0,"",IF(SUMPRODUCT(--ISNUMBER('Reported Financials'!E59:H59),--(E59:H59=""))=0,"OK","source missing"))</f>
        <v>OK</v>
      </c>
    </row>
    <row r="60" customFormat="false" ht="15" hidden="false" customHeight="false" outlineLevel="0" collapsed="false">
      <c r="B60" s="27" t="s">
        <v>826</v>
      </c>
      <c r="C60" s="28" t="s">
        <v>814</v>
      </c>
      <c r="F60" s="28" t="s">
        <v>1077</v>
      </c>
      <c r="G60" s="28" t="s">
        <v>1075</v>
      </c>
      <c r="H60" s="28" t="s">
        <v>1075</v>
      </c>
      <c r="J60" s="61" t="s">
        <v>1090</v>
      </c>
      <c r="K60" s="61" t="s">
        <v>1056</v>
      </c>
      <c r="M60" s="62" t="str">
        <f aca="false">IF(COUNT('Reported Financials'!E60:H60)=0,"",IF(SUMPRODUCT(--ISNUMBER('Reported Financials'!E60:H60),--(E60:H60=""))=0,"OK","source missing"))</f>
        <v>OK</v>
      </c>
    </row>
    <row r="61" customFormat="false" ht="15" hidden="false" customHeight="false" outlineLevel="0" collapsed="false">
      <c r="B61" s="27" t="s">
        <v>827</v>
      </c>
      <c r="C61" s="28" t="s">
        <v>814</v>
      </c>
      <c r="F61" s="28" t="s">
        <v>1077</v>
      </c>
      <c r="G61" s="28" t="s">
        <v>1075</v>
      </c>
      <c r="H61" s="28" t="s">
        <v>1075</v>
      </c>
      <c r="J61" s="61" t="s">
        <v>1091</v>
      </c>
      <c r="K61" s="61" t="s">
        <v>1056</v>
      </c>
      <c r="M61" s="62" t="str">
        <f aca="false">IF(COUNT('Reported Financials'!E61:H61)=0,"",IF(SUMPRODUCT(--ISNUMBER('Reported Financials'!E61:H61),--(E61:H61=""))=0,"OK","source missing"))</f>
        <v>OK</v>
      </c>
    </row>
    <row r="62" customFormat="false" ht="15" hidden="false" customHeight="false" outlineLevel="0" collapsed="false">
      <c r="B62" s="27" t="s">
        <v>828</v>
      </c>
      <c r="C62" s="28" t="s">
        <v>814</v>
      </c>
      <c r="F62" s="28" t="s">
        <v>1077</v>
      </c>
      <c r="G62" s="28" t="s">
        <v>1075</v>
      </c>
      <c r="H62" s="28" t="s">
        <v>1075</v>
      </c>
      <c r="J62" s="61" t="s">
        <v>1092</v>
      </c>
      <c r="K62" s="61" t="s">
        <v>1056</v>
      </c>
      <c r="M62" s="62" t="str">
        <f aca="false">IF(COUNT('Reported Financials'!E62:H62)=0,"",IF(SUMPRODUCT(--ISNUMBER('Reported Financials'!E62:H62),--(E62:H62=""))=0,"OK","source missing"))</f>
        <v>OK</v>
      </c>
    </row>
    <row r="63" customFormat="false" ht="15" hidden="false" customHeight="false" outlineLevel="0" collapsed="false">
      <c r="B63" s="27" t="s">
        <v>829</v>
      </c>
      <c r="C63" s="28" t="s">
        <v>814</v>
      </c>
      <c r="F63" s="28" t="s">
        <v>1077</v>
      </c>
      <c r="G63" s="28" t="s">
        <v>1075</v>
      </c>
      <c r="H63" s="28" t="s">
        <v>1075</v>
      </c>
      <c r="J63" s="61" t="s">
        <v>1093</v>
      </c>
      <c r="K63" s="61" t="s">
        <v>1056</v>
      </c>
      <c r="M63" s="62" t="str">
        <f aca="false">IF(COUNT('Reported Financials'!E63:H63)=0,"",IF(SUMPRODUCT(--ISNUMBER('Reported Financials'!E63:H63),--(E63:H63=""))=0,"OK","source missing"))</f>
        <v>OK</v>
      </c>
    </row>
    <row r="64" customFormat="false" ht="15" hidden="false" customHeight="false" outlineLevel="0" collapsed="false">
      <c r="B64" s="27" t="s">
        <v>784</v>
      </c>
      <c r="F64" s="63" t="s">
        <v>1049</v>
      </c>
      <c r="G64" s="63" t="s">
        <v>1049</v>
      </c>
      <c r="H64" s="63" t="s">
        <v>1049</v>
      </c>
      <c r="K64" s="64" t="s">
        <v>1058</v>
      </c>
    </row>
    <row r="66" customFormat="false" ht="15" hidden="false" customHeight="false" outlineLevel="0" collapsed="false">
      <c r="B66" s="27" t="s">
        <v>830</v>
      </c>
      <c r="C66" s="28" t="s">
        <v>831</v>
      </c>
      <c r="F66" s="28" t="s">
        <v>1046</v>
      </c>
      <c r="G66" s="28" t="s">
        <v>1047</v>
      </c>
      <c r="H66" s="28" t="s">
        <v>1047</v>
      </c>
      <c r="J66" s="61" t="s">
        <v>830</v>
      </c>
      <c r="K66" s="61" t="s">
        <v>1056</v>
      </c>
      <c r="M66" s="62" t="str">
        <f aca="false">IF(COUNT('Reported Financials'!E66:H66)=0,"",IF(SUMPRODUCT(--ISNUMBER('Reported Financials'!E66:H66),--(E66:H66=""))=0,"OK","source missing"))</f>
        <v>OK</v>
      </c>
    </row>
    <row r="67" customFormat="false" ht="15" hidden="false" customHeight="false" outlineLevel="0" collapsed="false">
      <c r="B67" s="27" t="s">
        <v>833</v>
      </c>
      <c r="F67" s="28" t="s">
        <v>1046</v>
      </c>
      <c r="G67" s="28" t="s">
        <v>1047</v>
      </c>
      <c r="H67" s="28" t="s">
        <v>1047</v>
      </c>
      <c r="J67" s="61" t="s">
        <v>833</v>
      </c>
      <c r="K67" s="61" t="s">
        <v>1056</v>
      </c>
      <c r="M67" s="62" t="str">
        <f aca="false">IF(COUNT('Reported Financials'!E67:H67)=0,"",IF(SUMPRODUCT(--ISNUMBER('Reported Financials'!E67:H67),--(E67:H67=""))=0,"OK","source missing"))</f>
        <v>OK</v>
      </c>
    </row>
    <row r="68" customFormat="false" ht="15" hidden="false" customHeight="false" outlineLevel="0" collapsed="false">
      <c r="B68" s="27" t="s">
        <v>835</v>
      </c>
      <c r="F68" s="63" t="s">
        <v>1049</v>
      </c>
      <c r="G68" s="63" t="s">
        <v>1049</v>
      </c>
      <c r="H68" s="63" t="s">
        <v>1049</v>
      </c>
      <c r="K68" s="64" t="s">
        <v>1058</v>
      </c>
    </row>
    <row r="69" customFormat="false" ht="15" hidden="false" customHeight="false" outlineLevel="0" collapsed="false">
      <c r="B69" s="33" t="s">
        <v>836</v>
      </c>
      <c r="C69" s="34"/>
      <c r="D69" s="34"/>
      <c r="E69" s="34"/>
      <c r="F69" s="65" t="s">
        <v>1049</v>
      </c>
      <c r="G69" s="65" t="s">
        <v>1049</v>
      </c>
      <c r="H69" s="65" t="s">
        <v>1049</v>
      </c>
      <c r="K69" s="64" t="s">
        <v>1050</v>
      </c>
    </row>
    <row r="70" customFormat="false" ht="15" hidden="false" customHeight="false" outlineLevel="0" collapsed="false">
      <c r="B70" s="31" t="s">
        <v>837</v>
      </c>
      <c r="F70" s="63" t="s">
        <v>1049</v>
      </c>
      <c r="G70" s="63" t="s">
        <v>1049</v>
      </c>
      <c r="H70" s="63" t="s">
        <v>1049</v>
      </c>
      <c r="K70" s="64" t="s">
        <v>1050</v>
      </c>
    </row>
    <row r="71" customFormat="false" ht="15" hidden="false" customHeight="false" outlineLevel="0" collapsed="false">
      <c r="B71" s="27" t="s">
        <v>838</v>
      </c>
      <c r="F71" s="28" t="s">
        <v>1046</v>
      </c>
      <c r="G71" s="28" t="s">
        <v>1047</v>
      </c>
      <c r="H71" s="28" t="s">
        <v>1047</v>
      </c>
      <c r="J71" s="61" t="s">
        <v>838</v>
      </c>
      <c r="K71" s="61" t="s">
        <v>1056</v>
      </c>
      <c r="M71" s="62" t="str">
        <f aca="false">IF(COUNT('Reported Financials'!E71:H71)=0,"",IF(SUMPRODUCT(--ISNUMBER('Reported Financials'!E71:H71),--(E71:H71=""))=0,"OK","source missing"))</f>
        <v>OK</v>
      </c>
    </row>
    <row r="72" customFormat="false" ht="15" hidden="false" customHeight="false" outlineLevel="0" collapsed="false">
      <c r="B72" s="27" t="s">
        <v>839</v>
      </c>
      <c r="F72" s="28" t="s">
        <v>1046</v>
      </c>
      <c r="G72" s="28" t="s">
        <v>1047</v>
      </c>
      <c r="H72" s="28" t="s">
        <v>1047</v>
      </c>
      <c r="J72" s="61" t="s">
        <v>839</v>
      </c>
      <c r="K72" s="61" t="s">
        <v>1056</v>
      </c>
      <c r="M72" s="62" t="str">
        <f aca="false">IF(COUNT('Reported Financials'!E72:H72)=0,"",IF(SUMPRODUCT(--ISNUMBER('Reported Financials'!E72:H72),--(E72:H72=""))=0,"OK","source missing"))</f>
        <v>OK</v>
      </c>
    </row>
    <row r="73" customFormat="false" ht="15" hidden="false" customHeight="false" outlineLevel="0" collapsed="false">
      <c r="B73" s="33" t="s">
        <v>841</v>
      </c>
      <c r="C73" s="34"/>
      <c r="D73" s="34"/>
      <c r="E73" s="34"/>
      <c r="F73" s="65" t="s">
        <v>1049</v>
      </c>
      <c r="G73" s="65" t="s">
        <v>1049</v>
      </c>
      <c r="H73" s="65" t="s">
        <v>1049</v>
      </c>
      <c r="K73" s="64" t="s">
        <v>1050</v>
      </c>
    </row>
    <row r="74" customFormat="false" ht="15" hidden="false" customHeight="false" outlineLevel="0" collapsed="false">
      <c r="B74" s="27" t="s">
        <v>124</v>
      </c>
      <c r="C74" s="28" t="s">
        <v>842</v>
      </c>
      <c r="F74" s="28" t="s">
        <v>1046</v>
      </c>
      <c r="G74" s="28" t="s">
        <v>1047</v>
      </c>
      <c r="H74" s="28" t="s">
        <v>1047</v>
      </c>
      <c r="J74" s="61" t="s">
        <v>124</v>
      </c>
      <c r="K74" s="61" t="s">
        <v>1056</v>
      </c>
      <c r="M74" s="62" t="str">
        <f aca="false">IF(COUNT('Reported Financials'!E74:H74)=0,"",IF(SUMPRODUCT(--ISNUMBER('Reported Financials'!E74:H74),--(E74:H74=""))=0,"OK","source missing"))</f>
        <v>OK</v>
      </c>
    </row>
    <row r="75" customFormat="false" ht="15" hidden="false" customHeight="false" outlineLevel="0" collapsed="false">
      <c r="B75" s="31" t="s">
        <v>843</v>
      </c>
      <c r="F75" s="63" t="s">
        <v>1049</v>
      </c>
      <c r="G75" s="63" t="s">
        <v>1049</v>
      </c>
      <c r="H75" s="63" t="s">
        <v>1049</v>
      </c>
      <c r="K75" s="64" t="s">
        <v>1050</v>
      </c>
    </row>
    <row r="76" customFormat="false" ht="15" hidden="false" customHeight="false" outlineLevel="0" collapsed="false">
      <c r="B76" s="33" t="s">
        <v>844</v>
      </c>
      <c r="C76" s="34"/>
      <c r="D76" s="34"/>
      <c r="E76" s="34"/>
      <c r="F76" s="65" t="s">
        <v>1049</v>
      </c>
      <c r="G76" s="65" t="s">
        <v>1049</v>
      </c>
      <c r="H76" s="65" t="s">
        <v>1049</v>
      </c>
      <c r="K76" s="64" t="s">
        <v>1050</v>
      </c>
    </row>
    <row r="77" customFormat="false" ht="15" hidden="false" customHeight="false" outlineLevel="0" collapsed="false">
      <c r="B77" s="27" t="s">
        <v>845</v>
      </c>
      <c r="C77" s="28" t="s">
        <v>846</v>
      </c>
      <c r="F77" s="28" t="s">
        <v>1046</v>
      </c>
      <c r="G77" s="28" t="s">
        <v>1047</v>
      </c>
      <c r="H77" s="28" t="s">
        <v>1047</v>
      </c>
      <c r="J77" s="61" t="s">
        <v>845</v>
      </c>
      <c r="K77" s="61" t="s">
        <v>1056</v>
      </c>
      <c r="M77" s="62" t="str">
        <f aca="false">IF(COUNT('Reported Financials'!E77:H77)=0,"",IF(SUMPRODUCT(--ISNUMBER('Reported Financials'!E77:H77),--(E77:H77=""))=0,"OK","source missing"))</f>
        <v>OK</v>
      </c>
    </row>
    <row r="78" customFormat="false" ht="15" hidden="false" customHeight="false" outlineLevel="0" collapsed="false">
      <c r="B78" s="33" t="s">
        <v>848</v>
      </c>
      <c r="C78" s="34"/>
      <c r="D78" s="34"/>
      <c r="E78" s="34"/>
      <c r="F78" s="65" t="s">
        <v>1049</v>
      </c>
      <c r="G78" s="65" t="s">
        <v>1049</v>
      </c>
      <c r="H78" s="65" t="s">
        <v>1049</v>
      </c>
      <c r="K78" s="64" t="s">
        <v>1050</v>
      </c>
    </row>
    <row r="79" customFormat="false" ht="15" hidden="false" customHeight="false" outlineLevel="0" collapsed="false">
      <c r="B79" s="27" t="s">
        <v>387</v>
      </c>
      <c r="F79" s="28" t="s">
        <v>1046</v>
      </c>
      <c r="G79" s="28" t="s">
        <v>1047</v>
      </c>
      <c r="H79" s="28" t="s">
        <v>1047</v>
      </c>
      <c r="J79" s="61" t="s">
        <v>944</v>
      </c>
      <c r="K79" s="61" t="s">
        <v>1056</v>
      </c>
      <c r="M79" s="62" t="str">
        <f aca="false">IF(COUNT('Reported Financials'!E79:H79)=0,"",IF(SUMPRODUCT(--ISNUMBER('Reported Financials'!E79:H79),--(E79:H79=""))=0,"OK","source missing"))</f>
        <v>OK</v>
      </c>
    </row>
    <row r="80" customFormat="false" ht="15" hidden="false" customHeight="false" outlineLevel="0" collapsed="false">
      <c r="B80" s="27" t="s">
        <v>849</v>
      </c>
      <c r="F80" s="63" t="s">
        <v>1049</v>
      </c>
      <c r="G80" s="63" t="s">
        <v>1049</v>
      </c>
      <c r="H80" s="63" t="s">
        <v>1049</v>
      </c>
      <c r="K80" s="64" t="s">
        <v>1050</v>
      </c>
    </row>
    <row r="81" customFormat="false" ht="15" hidden="false" customHeight="false" outlineLevel="0" collapsed="false">
      <c r="B81" s="31" t="s">
        <v>850</v>
      </c>
      <c r="F81" s="63" t="s">
        <v>1049</v>
      </c>
      <c r="G81" s="63" t="s">
        <v>1049</v>
      </c>
      <c r="H81" s="63" t="s">
        <v>1049</v>
      </c>
      <c r="K81" s="64" t="s">
        <v>1050</v>
      </c>
    </row>
    <row r="83" customFormat="false" ht="15" hidden="false" customHeight="false" outlineLevel="0" collapsed="false">
      <c r="A83" s="25" t="s">
        <v>11</v>
      </c>
      <c r="B83" s="26" t="s">
        <v>851</v>
      </c>
      <c r="C83" s="14"/>
      <c r="D83" s="14"/>
      <c r="E83" s="14"/>
      <c r="F83" s="14"/>
      <c r="G83" s="14"/>
      <c r="H83" s="14"/>
    </row>
    <row r="85" customFormat="false" ht="15" hidden="false" customHeight="false" outlineLevel="0" collapsed="false">
      <c r="B85" s="27" t="s">
        <v>852</v>
      </c>
      <c r="C85" s="28" t="s">
        <v>810</v>
      </c>
      <c r="F85" s="28" t="s">
        <v>1068</v>
      </c>
      <c r="G85" s="28" t="s">
        <v>1075</v>
      </c>
      <c r="H85" s="28" t="s">
        <v>1075</v>
      </c>
      <c r="J85" s="61" t="s">
        <v>852</v>
      </c>
      <c r="K85" s="61" t="s">
        <v>1056</v>
      </c>
      <c r="M85" s="62" t="str">
        <f aca="false">IF(COUNT('Reported Financials'!E85:H85)=0,"",IF(SUMPRODUCT(--ISNUMBER('Reported Financials'!E85:H85),--(E85:H85=""))=0,"OK","source missing"))</f>
        <v>OK</v>
      </c>
    </row>
    <row r="86" customFormat="false" ht="15" hidden="false" customHeight="false" outlineLevel="0" collapsed="false">
      <c r="B86" s="27" t="s">
        <v>854</v>
      </c>
      <c r="C86" s="28" t="s">
        <v>810</v>
      </c>
      <c r="F86" s="28" t="s">
        <v>1077</v>
      </c>
      <c r="G86" s="28" t="s">
        <v>1075</v>
      </c>
      <c r="H86" s="28" t="s">
        <v>1075</v>
      </c>
      <c r="J86" s="61" t="s">
        <v>854</v>
      </c>
      <c r="K86" s="61" t="s">
        <v>1056</v>
      </c>
      <c r="M86" s="62" t="str">
        <f aca="false">IF(COUNT('Reported Financials'!E86:H86)=0,"",IF(SUMPRODUCT(--ISNUMBER('Reported Financials'!E86:H86),--(E86:H86=""))=0,"OK","source missing"))</f>
        <v>OK</v>
      </c>
    </row>
    <row r="87" customFormat="false" ht="15" hidden="false" customHeight="false" outlineLevel="0" collapsed="false">
      <c r="B87" s="27" t="s">
        <v>855</v>
      </c>
      <c r="C87" s="28" t="s">
        <v>856</v>
      </c>
      <c r="F87" s="28" t="s">
        <v>1094</v>
      </c>
      <c r="G87" s="28" t="s">
        <v>1095</v>
      </c>
      <c r="H87" s="28" t="s">
        <v>1095</v>
      </c>
      <c r="J87" s="61" t="s">
        <v>855</v>
      </c>
      <c r="K87" s="61" t="s">
        <v>1056</v>
      </c>
      <c r="M87" s="62" t="str">
        <f aca="false">IF(COUNT('Reported Financials'!E87:H87)=0,"",IF(SUMPRODUCT(--ISNUMBER('Reported Financials'!E87:H87),--(E87:H87=""))=0,"OK","source missing"))</f>
        <v>OK</v>
      </c>
    </row>
    <row r="88" customFormat="false" ht="15" hidden="false" customHeight="false" outlineLevel="0" collapsed="false">
      <c r="B88" s="27" t="s">
        <v>858</v>
      </c>
      <c r="C88" s="28" t="s">
        <v>859</v>
      </c>
      <c r="F88" s="28" t="s">
        <v>1096</v>
      </c>
      <c r="G88" s="28" t="s">
        <v>1097</v>
      </c>
      <c r="H88" s="28" t="s">
        <v>1097</v>
      </c>
      <c r="J88" s="61" t="s">
        <v>858</v>
      </c>
      <c r="K88" s="61" t="s">
        <v>1056</v>
      </c>
      <c r="M88" s="62" t="str">
        <f aca="false">IF(COUNT('Reported Financials'!E88:H88)=0,"",IF(SUMPRODUCT(--ISNUMBER('Reported Financials'!E88:H88),--(E88:H88=""))=0,"OK","source missing"))</f>
        <v>OK</v>
      </c>
    </row>
    <row r="89" customFormat="false" ht="15" hidden="false" customHeight="false" outlineLevel="0" collapsed="false">
      <c r="B89" s="27" t="s">
        <v>861</v>
      </c>
      <c r="F89" s="28" t="s">
        <v>1098</v>
      </c>
      <c r="G89" s="28" t="s">
        <v>1099</v>
      </c>
      <c r="H89" s="28" t="s">
        <v>1099</v>
      </c>
      <c r="J89" s="61" t="s">
        <v>1100</v>
      </c>
      <c r="K89" s="61" t="s">
        <v>1056</v>
      </c>
      <c r="M89" s="62" t="str">
        <f aca="false">IF(COUNT('Reported Financials'!E89:H89)=0,"",IF(SUMPRODUCT(--ISNUMBER('Reported Financials'!E89:H89),--(E89:H89=""))=0,"OK","source missing"))</f>
        <v>OK</v>
      </c>
    </row>
    <row r="90" customFormat="false" ht="15" hidden="false" customHeight="false" outlineLevel="0" collapsed="false">
      <c r="B90" s="27" t="s">
        <v>863</v>
      </c>
      <c r="F90" s="28" t="s">
        <v>1101</v>
      </c>
      <c r="G90" s="28" t="s">
        <v>1099</v>
      </c>
      <c r="H90" s="28" t="s">
        <v>1099</v>
      </c>
      <c r="J90" s="61" t="s">
        <v>863</v>
      </c>
      <c r="K90" s="61" t="s">
        <v>1102</v>
      </c>
      <c r="M90" s="62" t="str">
        <f aca="false">IF(COUNT('Reported Financials'!E90:H90)=0,"",IF(SUMPRODUCT(--ISNUMBER('Reported Financials'!E90:H90),--(E90:H90=""))=0,"OK","source missing"))</f>
        <v>OK</v>
      </c>
    </row>
    <row r="91" customFormat="false" ht="15" hidden="false" customHeight="false" outlineLevel="0" collapsed="false">
      <c r="B91" s="27" t="s">
        <v>865</v>
      </c>
      <c r="F91" s="28" t="s">
        <v>1103</v>
      </c>
      <c r="G91" s="28" t="s">
        <v>1104</v>
      </c>
      <c r="H91" s="28" t="s">
        <v>1105</v>
      </c>
      <c r="J91" s="61" t="s">
        <v>1106</v>
      </c>
      <c r="K91" s="61" t="s">
        <v>1056</v>
      </c>
      <c r="M91" s="62" t="str">
        <f aca="false">IF(COUNT('Reported Financials'!E91:H91)=0,"",IF(SUMPRODUCT(--ISNUMBER('Reported Financials'!E91:H91),--(E91:H91=""))=0,"OK","source missing"))</f>
        <v>OK</v>
      </c>
    </row>
    <row r="92" customFormat="false" ht="15" hidden="false" customHeight="false" outlineLevel="0" collapsed="false">
      <c r="B92" s="27" t="s">
        <v>867</v>
      </c>
      <c r="F92" s="28" t="s">
        <v>1101</v>
      </c>
      <c r="G92" s="28" t="s">
        <v>1099</v>
      </c>
      <c r="H92" s="28" t="s">
        <v>1099</v>
      </c>
      <c r="J92" s="61" t="s">
        <v>1107</v>
      </c>
      <c r="K92" s="61" t="s">
        <v>1102</v>
      </c>
      <c r="M92" s="62" t="str">
        <f aca="false">IF(COUNT('Reported Financials'!E92:H92)=0,"",IF(SUMPRODUCT(--ISNUMBER('Reported Financials'!E92:H92),--(E92:H92=""))=0,"OK","source missing"))</f>
        <v>OK</v>
      </c>
    </row>
    <row r="93" customFormat="false" ht="15" hidden="false" customHeight="false" outlineLevel="0" collapsed="false">
      <c r="B93" s="27" t="s">
        <v>869</v>
      </c>
      <c r="C93" s="28" t="s">
        <v>842</v>
      </c>
      <c r="F93" s="28" t="s">
        <v>1077</v>
      </c>
      <c r="G93" s="28" t="s">
        <v>1075</v>
      </c>
      <c r="H93" s="28" t="s">
        <v>1075</v>
      </c>
      <c r="J93" s="61" t="s">
        <v>1108</v>
      </c>
      <c r="K93" s="61" t="s">
        <v>1056</v>
      </c>
      <c r="M93" s="62" t="str">
        <f aca="false">IF(COUNT('Reported Financials'!E93:H93)=0,"",IF(SUMPRODUCT(--ISNUMBER('Reported Financials'!E93:H93),--(E93:H93=""))=0,"OK","source missing"))</f>
        <v>OK</v>
      </c>
    </row>
    <row r="94" customFormat="false" ht="15" hidden="false" customHeight="false" outlineLevel="0" collapsed="false">
      <c r="B94" s="27" t="s">
        <v>871</v>
      </c>
      <c r="F94" s="28" t="s">
        <v>1109</v>
      </c>
      <c r="G94" s="28" t="s">
        <v>1110</v>
      </c>
      <c r="H94" s="66"/>
      <c r="J94" s="61" t="s">
        <v>1111</v>
      </c>
      <c r="K94" s="61" t="s">
        <v>1112</v>
      </c>
      <c r="M94" s="62" t="str">
        <f aca="false">IF(COUNT('Reported Financials'!E94:H94)=0,"",IF(SUMPRODUCT(--ISNUMBER('Reported Financials'!E94:H94),--(E94:H94=""))=0,"OK","source missing"))</f>
        <v>OK</v>
      </c>
    </row>
    <row r="95" customFormat="false" ht="15" hidden="false" customHeight="false" outlineLevel="0" collapsed="false">
      <c r="B95" s="27" t="s">
        <v>873</v>
      </c>
      <c r="F95" s="28" t="s">
        <v>1109</v>
      </c>
      <c r="G95" s="28" t="s">
        <v>1110</v>
      </c>
      <c r="H95" s="66"/>
      <c r="J95" s="61" t="s">
        <v>1113</v>
      </c>
      <c r="K95" s="61" t="s">
        <v>1112</v>
      </c>
      <c r="M95" s="62" t="str">
        <f aca="false">IF(COUNT('Reported Financials'!E95:H95)=0,"",IF(SUMPRODUCT(--ISNUMBER('Reported Financials'!E95:H95),--(E95:H95=""))=0,"OK","source missing"))</f>
        <v>OK</v>
      </c>
    </row>
    <row r="96" customFormat="false" ht="15" hidden="false" customHeight="false" outlineLevel="0" collapsed="false">
      <c r="B96" s="27" t="s">
        <v>875</v>
      </c>
      <c r="F96" s="28" t="s">
        <v>1101</v>
      </c>
      <c r="G96" s="28" t="s">
        <v>1099</v>
      </c>
      <c r="H96" s="28" t="s">
        <v>1099</v>
      </c>
      <c r="J96" s="61" t="s">
        <v>1114</v>
      </c>
      <c r="K96" s="61" t="s">
        <v>1102</v>
      </c>
      <c r="M96" s="62" t="str">
        <f aca="false">IF(COUNT('Reported Financials'!E96:H96)=0,"",IF(SUMPRODUCT(--ISNUMBER('Reported Financials'!E96:H96),--(E96:H96=""))=0,"OK","source missing"))</f>
        <v>OK</v>
      </c>
    </row>
    <row r="97" customFormat="false" ht="15" hidden="false" customHeight="false" outlineLevel="0" collapsed="false">
      <c r="B97" s="27" t="s">
        <v>877</v>
      </c>
      <c r="F97" s="28" t="s">
        <v>1101</v>
      </c>
      <c r="G97" s="28" t="s">
        <v>1099</v>
      </c>
      <c r="H97" s="28" t="s">
        <v>1099</v>
      </c>
      <c r="J97" s="61" t="s">
        <v>1115</v>
      </c>
      <c r="K97" s="61" t="s">
        <v>1102</v>
      </c>
      <c r="M97" s="62" t="str">
        <f aca="false">IF(COUNT('Reported Financials'!E97:H97)=0,"",IF(SUMPRODUCT(--ISNUMBER('Reported Financials'!E97:H97),--(E97:H97=""))=0,"OK","source missing"))</f>
        <v>OK</v>
      </c>
    </row>
    <row r="98" customFormat="false" ht="15" hidden="false" customHeight="false" outlineLevel="0" collapsed="false">
      <c r="B98" s="27" t="s">
        <v>879</v>
      </c>
      <c r="C98" s="28" t="s">
        <v>788</v>
      </c>
      <c r="F98" s="28" t="s">
        <v>1116</v>
      </c>
      <c r="G98" s="28" t="s">
        <v>1117</v>
      </c>
      <c r="H98" s="28" t="s">
        <v>1118</v>
      </c>
      <c r="J98" s="61" t="s">
        <v>1119</v>
      </c>
      <c r="K98" s="61" t="s">
        <v>1120</v>
      </c>
      <c r="M98" s="62" t="str">
        <f aca="false">IF(COUNT('Reported Financials'!E98:H98)=0,"",IF(SUMPRODUCT(--ISNUMBER('Reported Financials'!E98:H98),--(E98:H98=""))=0,"OK","source missing"))</f>
        <v>OK</v>
      </c>
    </row>
    <row r="99" customFormat="false" ht="15" hidden="false" customHeight="false" outlineLevel="0" collapsed="false">
      <c r="B99" s="27" t="s">
        <v>881</v>
      </c>
      <c r="C99" s="28" t="s">
        <v>882</v>
      </c>
      <c r="E99" s="28" t="s">
        <v>1121</v>
      </c>
      <c r="F99" s="28" t="s">
        <v>1122</v>
      </c>
      <c r="G99" s="28" t="s">
        <v>1123</v>
      </c>
      <c r="H99" s="28" t="s">
        <v>1123</v>
      </c>
      <c r="J99" s="61" t="s">
        <v>1124</v>
      </c>
      <c r="K99" s="61" t="s">
        <v>1056</v>
      </c>
      <c r="M99" s="62" t="str">
        <f aca="false">IF(COUNT('Reported Financials'!E99:H99)=0,"",IF(SUMPRODUCT(--ISNUMBER('Reported Financials'!E99:H99),--(E99:H99=""))=0,"OK","source missing"))</f>
        <v>OK</v>
      </c>
    </row>
    <row r="100" customFormat="false" ht="15" hidden="false" customHeight="false" outlineLevel="0" collapsed="false">
      <c r="B100" s="27" t="s">
        <v>884</v>
      </c>
      <c r="C100" s="28" t="s">
        <v>846</v>
      </c>
      <c r="F100" s="28" t="s">
        <v>1125</v>
      </c>
      <c r="G100" s="28" t="s">
        <v>1126</v>
      </c>
      <c r="H100" s="28" t="s">
        <v>1126</v>
      </c>
      <c r="J100" s="61" t="s">
        <v>884</v>
      </c>
      <c r="K100" s="61" t="s">
        <v>1056</v>
      </c>
      <c r="M100" s="62" t="str">
        <f aca="false">IF(COUNT('Reported Financials'!E100:H100)=0,"",IF(SUMPRODUCT(--ISNUMBER('Reported Financials'!E100:H100),--(E100:H100=""))=0,"OK","source missing"))</f>
        <v>OK</v>
      </c>
    </row>
    <row r="101" customFormat="false" ht="15" hidden="false" customHeight="false" outlineLevel="0" collapsed="false">
      <c r="B101" s="27" t="s">
        <v>886</v>
      </c>
      <c r="C101" s="28" t="s">
        <v>846</v>
      </c>
      <c r="F101" s="28" t="s">
        <v>1125</v>
      </c>
      <c r="G101" s="28" t="s">
        <v>1126</v>
      </c>
      <c r="H101" s="28" t="s">
        <v>1126</v>
      </c>
      <c r="J101" s="61" t="s">
        <v>886</v>
      </c>
      <c r="K101" s="61" t="s">
        <v>1056</v>
      </c>
      <c r="M101" s="62" t="str">
        <f aca="false">IF(COUNT('Reported Financials'!E101:H101)=0,"",IF(SUMPRODUCT(--ISNUMBER('Reported Financials'!E101:H101),--(E101:H101=""))=0,"OK","source missing"))</f>
        <v>OK</v>
      </c>
    </row>
    <row r="102" customFormat="false" ht="15" hidden="false" customHeight="false" outlineLevel="0" collapsed="false">
      <c r="B102" s="27" t="s">
        <v>888</v>
      </c>
      <c r="C102" s="28" t="s">
        <v>889</v>
      </c>
      <c r="F102" s="28" t="s">
        <v>1127</v>
      </c>
      <c r="G102" s="28" t="s">
        <v>1128</v>
      </c>
      <c r="H102" s="28" t="s">
        <v>1128</v>
      </c>
      <c r="J102" s="61" t="s">
        <v>888</v>
      </c>
      <c r="K102" s="61" t="s">
        <v>1056</v>
      </c>
      <c r="M102" s="62" t="str">
        <f aca="false">IF(COUNT('Reported Financials'!E102:H102)=0,"",IF(SUMPRODUCT(--ISNUMBER('Reported Financials'!E102:H102),--(E102:H102=""))=0,"OK","source missing"))</f>
        <v>OK</v>
      </c>
    </row>
    <row r="103" customFormat="false" ht="15" hidden="false" customHeight="false" outlineLevel="0" collapsed="false">
      <c r="B103" s="27" t="s">
        <v>890</v>
      </c>
      <c r="C103" s="28" t="s">
        <v>889</v>
      </c>
      <c r="F103" s="28" t="s">
        <v>1127</v>
      </c>
      <c r="G103" s="28" t="s">
        <v>1128</v>
      </c>
      <c r="H103" s="28" t="s">
        <v>1128</v>
      </c>
      <c r="J103" s="61" t="s">
        <v>890</v>
      </c>
      <c r="K103" s="61" t="s">
        <v>1056</v>
      </c>
      <c r="M103" s="62" t="str">
        <f aca="false">IF(COUNT('Reported Financials'!E103:H103)=0,"",IF(SUMPRODUCT(--ISNUMBER('Reported Financials'!E103:H103),--(E103:H103=""))=0,"OK","source missing"))</f>
        <v>OK</v>
      </c>
    </row>
    <row r="104" customFormat="false" ht="15" hidden="false" customHeight="false" outlineLevel="0" collapsed="false">
      <c r="B104" s="27" t="s">
        <v>891</v>
      </c>
      <c r="C104" s="28" t="s">
        <v>889</v>
      </c>
      <c r="F104" s="28" t="s">
        <v>1127</v>
      </c>
      <c r="G104" s="28" t="s">
        <v>1128</v>
      </c>
      <c r="H104" s="28" t="s">
        <v>1128</v>
      </c>
      <c r="J104" s="61" t="s">
        <v>891</v>
      </c>
      <c r="K104" s="61" t="s">
        <v>1056</v>
      </c>
      <c r="M104" s="62" t="str">
        <f aca="false">IF(COUNT('Reported Financials'!E104:H104)=0,"",IF(SUMPRODUCT(--ISNUMBER('Reported Financials'!E104:H104),--(E104:H104=""))=0,"OK","source missing"))</f>
        <v>OK</v>
      </c>
    </row>
    <row r="105" customFormat="false" ht="15" hidden="false" customHeight="false" outlineLevel="0" collapsed="false">
      <c r="B105" s="27" t="s">
        <v>892</v>
      </c>
      <c r="C105" s="28" t="s">
        <v>889</v>
      </c>
      <c r="F105" s="28" t="s">
        <v>1127</v>
      </c>
      <c r="G105" s="28" t="s">
        <v>1128</v>
      </c>
      <c r="H105" s="28" t="s">
        <v>1128</v>
      </c>
      <c r="J105" s="61" t="s">
        <v>892</v>
      </c>
      <c r="K105" s="61" t="s">
        <v>1056</v>
      </c>
      <c r="M105" s="62" t="str">
        <f aca="false">IF(COUNT('Reported Financials'!E105:H105)=0,"",IF(SUMPRODUCT(--ISNUMBER('Reported Financials'!E105:H105),--(E105:H105=""))=0,"OK","source missing"))</f>
        <v>OK</v>
      </c>
    </row>
    <row r="106" customFormat="false" ht="15" hidden="false" customHeight="false" outlineLevel="0" collapsed="false">
      <c r="B106" s="27" t="s">
        <v>893</v>
      </c>
      <c r="C106" s="28" t="s">
        <v>889</v>
      </c>
      <c r="F106" s="28" t="s">
        <v>1127</v>
      </c>
      <c r="G106" s="28" t="s">
        <v>1128</v>
      </c>
      <c r="H106" s="28" t="s">
        <v>1128</v>
      </c>
      <c r="J106" s="61" t="s">
        <v>893</v>
      </c>
      <c r="K106" s="61" t="s">
        <v>1056</v>
      </c>
      <c r="M106" s="62" t="str">
        <f aca="false">IF(COUNT('Reported Financials'!E106:H106)=0,"",IF(SUMPRODUCT(--ISNUMBER('Reported Financials'!E106:H106),--(E106:H106=""))=0,"OK","source missing"))</f>
        <v>OK</v>
      </c>
    </row>
    <row r="107" customFormat="false" ht="15" hidden="false" customHeight="false" outlineLevel="0" collapsed="false">
      <c r="B107" s="27" t="s">
        <v>894</v>
      </c>
      <c r="C107" s="28" t="s">
        <v>889</v>
      </c>
      <c r="F107" s="28" t="s">
        <v>1127</v>
      </c>
      <c r="G107" s="28" t="s">
        <v>1128</v>
      </c>
      <c r="H107" s="28" t="s">
        <v>1128</v>
      </c>
      <c r="J107" s="61" t="s">
        <v>894</v>
      </c>
      <c r="K107" s="61" t="s">
        <v>1056</v>
      </c>
      <c r="M107" s="62" t="str">
        <f aca="false">IF(COUNT('Reported Financials'!E107:H107)=0,"",IF(SUMPRODUCT(--ISNUMBER('Reported Financials'!E107:H107),--(E107:H107=""))=0,"OK","source missing"))</f>
        <v>OK</v>
      </c>
    </row>
    <row r="108" customFormat="false" ht="15" hidden="false" customHeight="false" outlineLevel="0" collapsed="false">
      <c r="B108" s="27" t="s">
        <v>896</v>
      </c>
      <c r="C108" s="28" t="s">
        <v>897</v>
      </c>
      <c r="F108" s="28" t="s">
        <v>1129</v>
      </c>
      <c r="G108" s="28" t="s">
        <v>1130</v>
      </c>
      <c r="H108" s="28" t="s">
        <v>1130</v>
      </c>
      <c r="J108" s="61" t="s">
        <v>896</v>
      </c>
      <c r="K108" s="61" t="s">
        <v>1056</v>
      </c>
      <c r="M108" s="62" t="str">
        <f aca="false">IF(COUNT('Reported Financials'!E108:H108)=0,"",IF(SUMPRODUCT(--ISNUMBER('Reported Financials'!E108:H108),--(E108:H108=""))=0,"OK","source missing"))</f>
        <v>OK</v>
      </c>
    </row>
    <row r="109" customFormat="false" ht="15" hidden="false" customHeight="false" outlineLevel="0" collapsed="false">
      <c r="B109" s="31" t="s">
        <v>899</v>
      </c>
      <c r="C109" s="28" t="s">
        <v>842</v>
      </c>
      <c r="F109" s="28" t="s">
        <v>1077</v>
      </c>
      <c r="G109" s="28" t="s">
        <v>1075</v>
      </c>
      <c r="H109" s="28" t="s">
        <v>1075</v>
      </c>
      <c r="J109" s="61" t="s">
        <v>899</v>
      </c>
      <c r="K109" s="61" t="s">
        <v>1056</v>
      </c>
      <c r="M109" s="62" t="str">
        <f aca="false">IF(COUNT('Reported Financials'!E109:H109)=0,"",IF(SUMPRODUCT(--ISNUMBER('Reported Financials'!E109:H109),--(E109:H109=""))=0,"OK","source missing"))</f>
        <v>OK</v>
      </c>
    </row>
    <row r="111" customFormat="false" ht="15" hidden="false" customHeight="false" outlineLevel="0" collapsed="false">
      <c r="A111" s="25" t="s">
        <v>11</v>
      </c>
      <c r="B111" s="26" t="s">
        <v>901</v>
      </c>
      <c r="C111" s="14"/>
      <c r="D111" s="14"/>
      <c r="E111" s="14"/>
      <c r="F111" s="14"/>
      <c r="G111" s="14"/>
      <c r="H111" s="14"/>
    </row>
    <row r="113" customFormat="false" ht="15" hidden="false" customHeight="false" outlineLevel="0" collapsed="false">
      <c r="B113" s="27" t="s">
        <v>902</v>
      </c>
      <c r="F113" s="28" t="s">
        <v>1046</v>
      </c>
      <c r="G113" s="28" t="s">
        <v>1047</v>
      </c>
      <c r="H113" s="28" t="s">
        <v>1047</v>
      </c>
      <c r="J113" s="61" t="s">
        <v>902</v>
      </c>
      <c r="K113" s="61" t="s">
        <v>1056</v>
      </c>
      <c r="M113" s="62" t="str">
        <f aca="false">IF(COUNT('Reported Financials'!E113:H113)=0,"",IF(SUMPRODUCT(--ISNUMBER('Reported Financials'!E113:H113),--(E113:H113=""))=0,"OK","source missing"))</f>
        <v>OK</v>
      </c>
    </row>
    <row r="114" customFormat="false" ht="15" hidden="false" customHeight="false" outlineLevel="0" collapsed="false">
      <c r="B114" s="27" t="s">
        <v>903</v>
      </c>
      <c r="F114" s="28" t="s">
        <v>1046</v>
      </c>
      <c r="G114" s="28" t="s">
        <v>1047</v>
      </c>
      <c r="H114" s="28" t="s">
        <v>1047</v>
      </c>
      <c r="J114" s="61" t="s">
        <v>903</v>
      </c>
      <c r="K114" s="61" t="s">
        <v>1056</v>
      </c>
      <c r="M114" s="62" t="str">
        <f aca="false">IF(COUNT('Reported Financials'!E114:H114)=0,"",IF(SUMPRODUCT(--ISNUMBER('Reported Financials'!E114:H114),--(E114:H114=""))=0,"OK","source missing"))</f>
        <v>OK</v>
      </c>
    </row>
    <row r="115" customFormat="false" ht="15" hidden="false" customHeight="false" outlineLevel="0" collapsed="false">
      <c r="B115" s="27" t="s">
        <v>904</v>
      </c>
      <c r="F115" s="28" t="s">
        <v>1046</v>
      </c>
      <c r="G115" s="28" t="s">
        <v>1047</v>
      </c>
      <c r="H115" s="28" t="s">
        <v>1047</v>
      </c>
      <c r="J115" s="61" t="s">
        <v>904</v>
      </c>
      <c r="K115" s="61" t="s">
        <v>1056</v>
      </c>
      <c r="M115" s="62" t="str">
        <f aca="false">IF(COUNT('Reported Financials'!E115:H115)=0,"",IF(SUMPRODUCT(--ISNUMBER('Reported Financials'!E115:H115),--(E115:H115=""))=0,"OK","source missing"))</f>
        <v>OK</v>
      </c>
    </row>
    <row r="116" customFormat="false" ht="15" hidden="false" customHeight="false" outlineLevel="0" collapsed="false">
      <c r="B116" s="27" t="s">
        <v>905</v>
      </c>
      <c r="F116" s="28" t="s">
        <v>1046</v>
      </c>
      <c r="G116" s="28" t="s">
        <v>1047</v>
      </c>
      <c r="H116" s="28" t="s">
        <v>1047</v>
      </c>
      <c r="J116" s="61" t="s">
        <v>905</v>
      </c>
      <c r="K116" s="61" t="s">
        <v>1056</v>
      </c>
      <c r="M116" s="62" t="str">
        <f aca="false">IF(COUNT('Reported Financials'!E116:H116)=0,"",IF(SUMPRODUCT(--ISNUMBER('Reported Financials'!E116:H116),--(E116:H116=""))=0,"OK","source missing"))</f>
        <v>OK</v>
      </c>
    </row>
    <row r="117" customFormat="false" ht="15" hidden="false" customHeight="false" outlineLevel="0" collapsed="false">
      <c r="B117" s="27" t="s">
        <v>906</v>
      </c>
      <c r="F117" s="28" t="s">
        <v>1046</v>
      </c>
      <c r="G117" s="28" t="s">
        <v>1047</v>
      </c>
      <c r="H117" s="28" t="s">
        <v>1047</v>
      </c>
      <c r="J117" s="61" t="s">
        <v>906</v>
      </c>
      <c r="K117" s="61" t="s">
        <v>1056</v>
      </c>
      <c r="M117" s="62" t="str">
        <f aca="false">IF(COUNT('Reported Financials'!E117:H117)=0,"",IF(SUMPRODUCT(--ISNUMBER('Reported Financials'!E117:H117),--(E117:H117=""))=0,"OK","source missing"))</f>
        <v>OK</v>
      </c>
    </row>
    <row r="118" customFormat="false" ht="15" hidden="false" customHeight="false" outlineLevel="0" collapsed="false">
      <c r="B118" s="27" t="s">
        <v>835</v>
      </c>
      <c r="F118" s="63" t="s">
        <v>1049</v>
      </c>
      <c r="G118" s="63" t="s">
        <v>1049</v>
      </c>
      <c r="H118" s="63" t="s">
        <v>1049</v>
      </c>
      <c r="K118" s="64" t="s">
        <v>1058</v>
      </c>
    </row>
    <row r="119" customFormat="false" ht="15" hidden="false" customHeight="false" outlineLevel="0" collapsed="false">
      <c r="B119" s="33" t="s">
        <v>908</v>
      </c>
      <c r="C119" s="34"/>
      <c r="D119" s="34"/>
      <c r="E119" s="34"/>
      <c r="F119" s="65" t="s">
        <v>1049</v>
      </c>
      <c r="G119" s="65" t="s">
        <v>1049</v>
      </c>
      <c r="H119" s="65" t="s">
        <v>1049</v>
      </c>
      <c r="K119" s="64" t="s">
        <v>1050</v>
      </c>
    </row>
    <row r="120" customFormat="false" ht="15" hidden="false" customHeight="false" outlineLevel="0" collapsed="false">
      <c r="B120" s="33" t="s">
        <v>909</v>
      </c>
      <c r="C120" s="34"/>
      <c r="D120" s="34"/>
      <c r="E120" s="34"/>
      <c r="F120" s="65" t="s">
        <v>1049</v>
      </c>
      <c r="G120" s="65" t="s">
        <v>1049</v>
      </c>
      <c r="H120" s="65" t="s">
        <v>1049</v>
      </c>
      <c r="K120" s="64" t="s">
        <v>1050</v>
      </c>
    </row>
    <row r="121" customFormat="false" ht="15" hidden="false" customHeight="false" outlineLevel="0" collapsed="false">
      <c r="B121" s="27" t="s">
        <v>387</v>
      </c>
      <c r="F121" s="28" t="s">
        <v>1046</v>
      </c>
      <c r="G121" s="28" t="s">
        <v>1047</v>
      </c>
      <c r="H121" s="28" t="s">
        <v>1047</v>
      </c>
      <c r="J121" s="61" t="s">
        <v>944</v>
      </c>
      <c r="K121" s="61" t="s">
        <v>1056</v>
      </c>
      <c r="M121" s="62" t="str">
        <f aca="false">IF(COUNT('Reported Financials'!E121:H121)=0,"",IF(SUMPRODUCT(--ISNUMBER('Reported Financials'!E121:H121),--(E121:H121=""))=0,"OK","source missing"))</f>
        <v>OK</v>
      </c>
    </row>
    <row r="122" customFormat="false" ht="15" hidden="false" customHeight="false" outlineLevel="0" collapsed="false">
      <c r="B122" s="27" t="s">
        <v>849</v>
      </c>
      <c r="F122" s="63" t="s">
        <v>1049</v>
      </c>
      <c r="G122" s="63" t="s">
        <v>1049</v>
      </c>
      <c r="H122" s="63" t="s">
        <v>1049</v>
      </c>
      <c r="K122" s="64" t="s">
        <v>1050</v>
      </c>
    </row>
    <row r="124" customFormat="false" ht="15" hidden="false" customHeight="false" outlineLevel="0" collapsed="false">
      <c r="A124" s="25" t="s">
        <v>11</v>
      </c>
      <c r="B124" s="26" t="s">
        <v>910</v>
      </c>
      <c r="C124" s="14"/>
      <c r="D124" s="14"/>
      <c r="E124" s="14"/>
      <c r="F124" s="14"/>
      <c r="G124" s="14"/>
      <c r="H124" s="14"/>
    </row>
    <row r="126" customFormat="false" ht="15" hidden="false" customHeight="false" outlineLevel="0" collapsed="false">
      <c r="B126" s="27" t="s">
        <v>911</v>
      </c>
      <c r="C126" s="28" t="s">
        <v>897</v>
      </c>
      <c r="E126" s="28" t="s">
        <v>1131</v>
      </c>
      <c r="F126" s="28" t="s">
        <v>1132</v>
      </c>
      <c r="G126" s="28" t="s">
        <v>1133</v>
      </c>
      <c r="H126" s="28" t="s">
        <v>1133</v>
      </c>
      <c r="J126" s="61" t="s">
        <v>911</v>
      </c>
      <c r="K126" s="61" t="s">
        <v>1056</v>
      </c>
      <c r="M126" s="62" t="str">
        <f aca="false">IF(COUNT('Reported Financials'!E126:H126)=0,"",IF(SUMPRODUCT(--ISNUMBER('Reported Financials'!E126:H126),--(E126:H126=""))=0,"OK","source missing"))</f>
        <v>OK</v>
      </c>
    </row>
    <row r="127" customFormat="false" ht="15" hidden="false" customHeight="false" outlineLevel="0" collapsed="false">
      <c r="B127" s="27" t="s">
        <v>912</v>
      </c>
      <c r="C127" s="28" t="s">
        <v>897</v>
      </c>
      <c r="E127" s="28" t="s">
        <v>1131</v>
      </c>
      <c r="F127" s="28" t="s">
        <v>1132</v>
      </c>
      <c r="G127" s="28" t="s">
        <v>1133</v>
      </c>
      <c r="H127" s="28" t="s">
        <v>1133</v>
      </c>
      <c r="J127" s="61" t="s">
        <v>912</v>
      </c>
      <c r="K127" s="61" t="s">
        <v>1056</v>
      </c>
      <c r="M127" s="62" t="str">
        <f aca="false">IF(COUNT('Reported Financials'!E127:H127)=0,"",IF(SUMPRODUCT(--ISNUMBER('Reported Financials'!E127:H127),--(E127:H127=""))=0,"OK","source missing"))</f>
        <v>OK</v>
      </c>
    </row>
    <row r="128" customFormat="false" ht="15" hidden="false" customHeight="false" outlineLevel="0" collapsed="false">
      <c r="B128" s="27" t="s">
        <v>913</v>
      </c>
      <c r="C128" s="28" t="s">
        <v>859</v>
      </c>
      <c r="E128" s="28" t="s">
        <v>1131</v>
      </c>
      <c r="F128" s="28" t="s">
        <v>1132</v>
      </c>
      <c r="G128" s="28" t="s">
        <v>1133</v>
      </c>
      <c r="H128" s="28" t="s">
        <v>1133</v>
      </c>
      <c r="J128" s="61" t="s">
        <v>913</v>
      </c>
      <c r="K128" s="61" t="s">
        <v>1056</v>
      </c>
      <c r="M128" s="62" t="str">
        <f aca="false">IF(COUNT('Reported Financials'!E128:H128)=0,"",IF(SUMPRODUCT(--ISNUMBER('Reported Financials'!E128:H128),--(E128:H128=""))=0,"OK","source missing"))</f>
        <v>OK</v>
      </c>
    </row>
    <row r="129" customFormat="false" ht="15" hidden="false" customHeight="false" outlineLevel="0" collapsed="false">
      <c r="B129" s="27" t="s">
        <v>914</v>
      </c>
      <c r="C129" s="28" t="s">
        <v>915</v>
      </c>
      <c r="E129" s="28" t="s">
        <v>1131</v>
      </c>
      <c r="F129" s="28" t="s">
        <v>1132</v>
      </c>
      <c r="G129" s="28" t="s">
        <v>1133</v>
      </c>
      <c r="H129" s="28" t="s">
        <v>1133</v>
      </c>
      <c r="J129" s="61" t="s">
        <v>914</v>
      </c>
      <c r="K129" s="61" t="s">
        <v>1056</v>
      </c>
      <c r="M129" s="62" t="str">
        <f aca="false">IF(COUNT('Reported Financials'!E129:H129)=0,"",IF(SUMPRODUCT(--ISNUMBER('Reported Financials'!E129:H129),--(E129:H129=""))=0,"OK","source missing"))</f>
        <v>OK</v>
      </c>
    </row>
    <row r="130" customFormat="false" ht="15" hidden="false" customHeight="false" outlineLevel="0" collapsed="false">
      <c r="B130" s="27" t="s">
        <v>916</v>
      </c>
      <c r="C130" s="28" t="s">
        <v>917</v>
      </c>
      <c r="E130" s="28" t="s">
        <v>1131</v>
      </c>
      <c r="F130" s="28" t="s">
        <v>1132</v>
      </c>
      <c r="G130" s="28" t="s">
        <v>1133</v>
      </c>
      <c r="H130" s="28" t="s">
        <v>1133</v>
      </c>
      <c r="J130" s="61" t="s">
        <v>916</v>
      </c>
      <c r="K130" s="61" t="s">
        <v>1056</v>
      </c>
      <c r="M130" s="62" t="str">
        <f aca="false">IF(COUNT('Reported Financials'!E130:H130)=0,"",IF(SUMPRODUCT(--ISNUMBER('Reported Financials'!E130:H130),--(E130:H130=""))=0,"OK","source missing"))</f>
        <v>OK</v>
      </c>
    </row>
    <row r="131" customFormat="false" ht="15" hidden="false" customHeight="false" outlineLevel="0" collapsed="false">
      <c r="B131" s="27" t="s">
        <v>918</v>
      </c>
      <c r="C131" s="28" t="s">
        <v>831</v>
      </c>
      <c r="E131" s="28" t="s">
        <v>1131</v>
      </c>
      <c r="F131" s="28" t="s">
        <v>1132</v>
      </c>
      <c r="G131" s="28" t="s">
        <v>1133</v>
      </c>
      <c r="H131" s="28" t="s">
        <v>1133</v>
      </c>
      <c r="J131" s="61" t="s">
        <v>918</v>
      </c>
      <c r="K131" s="61" t="s">
        <v>1056</v>
      </c>
      <c r="M131" s="62" t="str">
        <f aca="false">IF(COUNT('Reported Financials'!E131:H131)=0,"",IF(SUMPRODUCT(--ISNUMBER('Reported Financials'!E131:H131),--(E131:H131=""))=0,"OK","source missing"))</f>
        <v>OK</v>
      </c>
    </row>
    <row r="132" customFormat="false" ht="15" hidden="false" customHeight="false" outlineLevel="0" collapsed="false">
      <c r="B132" s="27" t="s">
        <v>919</v>
      </c>
      <c r="C132" s="28" t="s">
        <v>920</v>
      </c>
      <c r="E132" s="28" t="s">
        <v>1131</v>
      </c>
      <c r="F132" s="28" t="s">
        <v>1132</v>
      </c>
      <c r="G132" s="28" t="s">
        <v>1133</v>
      </c>
      <c r="H132" s="28" t="s">
        <v>1133</v>
      </c>
      <c r="J132" s="61" t="s">
        <v>919</v>
      </c>
      <c r="K132" s="61" t="s">
        <v>1056</v>
      </c>
      <c r="M132" s="62" t="str">
        <f aca="false">IF(COUNT('Reported Financials'!E132:H132)=0,"",IF(SUMPRODUCT(--ISNUMBER('Reported Financials'!E132:H132),--(E132:H132=""))=0,"OK","source missing"))</f>
        <v>OK</v>
      </c>
    </row>
    <row r="133" customFormat="false" ht="15" hidden="false" customHeight="false" outlineLevel="0" collapsed="false">
      <c r="B133" s="27" t="s">
        <v>922</v>
      </c>
      <c r="C133" s="28" t="s">
        <v>842</v>
      </c>
      <c r="E133" s="28" t="s">
        <v>1131</v>
      </c>
      <c r="F133" s="28" t="s">
        <v>1132</v>
      </c>
      <c r="G133" s="28" t="s">
        <v>1133</v>
      </c>
      <c r="H133" s="28" t="s">
        <v>1133</v>
      </c>
      <c r="J133" s="61" t="s">
        <v>1134</v>
      </c>
      <c r="K133" s="61" t="s">
        <v>1056</v>
      </c>
      <c r="M133" s="62" t="str">
        <f aca="false">IF(COUNT('Reported Financials'!E133:H133)=0,"",IF(SUMPRODUCT(--ISNUMBER('Reported Financials'!E133:H133),--(E133:H133=""))=0,"OK","source missing"))</f>
        <v>OK</v>
      </c>
    </row>
    <row r="134" customFormat="false" ht="15" hidden="false" customHeight="false" outlineLevel="0" collapsed="false">
      <c r="B134" s="27" t="s">
        <v>835</v>
      </c>
      <c r="E134" s="63" t="s">
        <v>1049</v>
      </c>
      <c r="F134" s="63" t="s">
        <v>1049</v>
      </c>
      <c r="G134" s="63" t="s">
        <v>1049</v>
      </c>
      <c r="H134" s="63" t="s">
        <v>1049</v>
      </c>
      <c r="K134" s="64" t="s">
        <v>1058</v>
      </c>
    </row>
    <row r="135" customFormat="false" ht="15" hidden="false" customHeight="false" outlineLevel="0" collapsed="false">
      <c r="B135" s="33" t="s">
        <v>923</v>
      </c>
      <c r="C135" s="34"/>
      <c r="D135" s="34"/>
      <c r="E135" s="65" t="s">
        <v>1049</v>
      </c>
      <c r="F135" s="65" t="s">
        <v>1049</v>
      </c>
      <c r="G135" s="65" t="s">
        <v>1049</v>
      </c>
      <c r="H135" s="65" t="s">
        <v>1049</v>
      </c>
      <c r="K135" s="64" t="s">
        <v>1050</v>
      </c>
    </row>
    <row r="136" customFormat="false" ht="15" hidden="false" customHeight="false" outlineLevel="0" collapsed="false">
      <c r="B136" s="27" t="s">
        <v>924</v>
      </c>
      <c r="C136" s="28" t="s">
        <v>925</v>
      </c>
      <c r="E136" s="28" t="s">
        <v>1131</v>
      </c>
      <c r="F136" s="28" t="s">
        <v>1132</v>
      </c>
      <c r="G136" s="28" t="s">
        <v>1133</v>
      </c>
      <c r="H136" s="28" t="s">
        <v>1133</v>
      </c>
      <c r="J136" s="61" t="s">
        <v>924</v>
      </c>
      <c r="K136" s="61" t="s">
        <v>1056</v>
      </c>
      <c r="M136" s="62" t="str">
        <f aca="false">IF(COUNT('Reported Financials'!E136:H136)=0,"",IF(SUMPRODUCT(--ISNUMBER('Reported Financials'!E136:H136),--(E136:H136=""))=0,"OK","source missing"))</f>
        <v>OK</v>
      </c>
    </row>
    <row r="137" customFormat="false" ht="15" hidden="false" customHeight="false" outlineLevel="0" collapsed="false">
      <c r="B137" s="27" t="s">
        <v>926</v>
      </c>
      <c r="C137" s="28" t="s">
        <v>777</v>
      </c>
      <c r="E137" s="28" t="s">
        <v>1131</v>
      </c>
      <c r="F137" s="28" t="s">
        <v>1132</v>
      </c>
      <c r="G137" s="28" t="s">
        <v>1133</v>
      </c>
      <c r="H137" s="28" t="s">
        <v>1133</v>
      </c>
      <c r="J137" s="61" t="s">
        <v>926</v>
      </c>
      <c r="K137" s="61" t="s">
        <v>1056</v>
      </c>
      <c r="M137" s="62" t="str">
        <f aca="false">IF(COUNT('Reported Financials'!E137:H137)=0,"",IF(SUMPRODUCT(--ISNUMBER('Reported Financials'!E137:H137),--(E137:H137=""))=0,"OK","source missing"))</f>
        <v>OK</v>
      </c>
    </row>
    <row r="138" customFormat="false" ht="15" hidden="false" customHeight="false" outlineLevel="0" collapsed="false">
      <c r="B138" s="27" t="s">
        <v>927</v>
      </c>
      <c r="C138" s="28" t="s">
        <v>777</v>
      </c>
      <c r="E138" s="28" t="s">
        <v>1131</v>
      </c>
      <c r="F138" s="28" t="s">
        <v>1132</v>
      </c>
      <c r="G138" s="28" t="s">
        <v>1133</v>
      </c>
      <c r="H138" s="28" t="s">
        <v>1133</v>
      </c>
      <c r="J138" s="61" t="s">
        <v>927</v>
      </c>
      <c r="K138" s="61" t="s">
        <v>1056</v>
      </c>
      <c r="M138" s="62" t="str">
        <f aca="false">IF(COUNT('Reported Financials'!E138:H138)=0,"",IF(SUMPRODUCT(--ISNUMBER('Reported Financials'!E138:H138),--(E138:H138=""))=0,"OK","source missing"))</f>
        <v>OK</v>
      </c>
    </row>
    <row r="139" customFormat="false" ht="15" hidden="false" customHeight="false" outlineLevel="0" collapsed="false">
      <c r="B139" s="27" t="s">
        <v>928</v>
      </c>
      <c r="C139" s="28" t="s">
        <v>920</v>
      </c>
      <c r="E139" s="28" t="s">
        <v>1131</v>
      </c>
      <c r="F139" s="28" t="s">
        <v>1132</v>
      </c>
      <c r="G139" s="28" t="s">
        <v>1133</v>
      </c>
      <c r="H139" s="28" t="s">
        <v>1133</v>
      </c>
      <c r="J139" s="61" t="s">
        <v>928</v>
      </c>
      <c r="K139" s="61" t="s">
        <v>1056</v>
      </c>
      <c r="M139" s="62" t="str">
        <f aca="false">IF(COUNT('Reported Financials'!E139:H139)=0,"",IF(SUMPRODUCT(--ISNUMBER('Reported Financials'!E139:H139),--(E139:H139=""))=0,"OK","source missing"))</f>
        <v>OK</v>
      </c>
    </row>
    <row r="140" customFormat="false" ht="15" hidden="false" customHeight="false" outlineLevel="0" collapsed="false">
      <c r="B140" s="27" t="s">
        <v>929</v>
      </c>
      <c r="E140" s="28" t="s">
        <v>1131</v>
      </c>
      <c r="F140" s="28" t="s">
        <v>1132</v>
      </c>
      <c r="G140" s="28" t="s">
        <v>1133</v>
      </c>
      <c r="H140" s="28" t="s">
        <v>1133</v>
      </c>
      <c r="J140" s="61" t="s">
        <v>929</v>
      </c>
      <c r="K140" s="61" t="s">
        <v>1056</v>
      </c>
      <c r="M140" s="62" t="str">
        <f aca="false">IF(COUNT('Reported Financials'!E140:H140)=0,"",IF(SUMPRODUCT(--ISNUMBER('Reported Financials'!E140:H140),--(E140:H140=""))=0,"OK","source missing"))</f>
        <v>OK</v>
      </c>
    </row>
    <row r="141" customFormat="false" ht="15" hidden="false" customHeight="false" outlineLevel="0" collapsed="false">
      <c r="B141" s="27" t="s">
        <v>930</v>
      </c>
      <c r="C141" s="28" t="s">
        <v>931</v>
      </c>
      <c r="E141" s="28" t="s">
        <v>1131</v>
      </c>
      <c r="F141" s="28" t="s">
        <v>1132</v>
      </c>
      <c r="G141" s="28" t="s">
        <v>1133</v>
      </c>
      <c r="H141" s="28" t="s">
        <v>1133</v>
      </c>
      <c r="J141" s="61" t="s">
        <v>930</v>
      </c>
      <c r="K141" s="61" t="s">
        <v>1056</v>
      </c>
      <c r="M141" s="62" t="str">
        <f aca="false">IF(COUNT('Reported Financials'!E141:H141)=0,"",IF(SUMPRODUCT(--ISNUMBER('Reported Financials'!E141:H141),--(E141:H141=""))=0,"OK","source missing"))</f>
        <v>OK</v>
      </c>
    </row>
    <row r="142" customFormat="false" ht="15" hidden="false" customHeight="false" outlineLevel="0" collapsed="false">
      <c r="B142" s="27" t="s">
        <v>933</v>
      </c>
      <c r="C142" s="28" t="s">
        <v>931</v>
      </c>
      <c r="E142" s="28" t="s">
        <v>1131</v>
      </c>
      <c r="F142" s="28" t="s">
        <v>1132</v>
      </c>
      <c r="G142" s="28" t="s">
        <v>1133</v>
      </c>
      <c r="H142" s="28" t="s">
        <v>1133</v>
      </c>
      <c r="J142" s="61" t="s">
        <v>933</v>
      </c>
      <c r="K142" s="61" t="s">
        <v>1056</v>
      </c>
      <c r="M142" s="62" t="str">
        <f aca="false">IF(COUNT('Reported Financials'!E142:H142)=0,"",IF(SUMPRODUCT(--ISNUMBER('Reported Financials'!E142:H142),--(E142:H142=""))=0,"OK","source missing"))</f>
        <v>OK</v>
      </c>
    </row>
    <row r="143" customFormat="false" ht="15" hidden="false" customHeight="false" outlineLevel="0" collapsed="false">
      <c r="B143" s="27" t="s">
        <v>934</v>
      </c>
      <c r="C143" s="28" t="s">
        <v>846</v>
      </c>
      <c r="E143" s="28" t="s">
        <v>1131</v>
      </c>
      <c r="F143" s="28" t="s">
        <v>1132</v>
      </c>
      <c r="G143" s="28" t="s">
        <v>1133</v>
      </c>
      <c r="H143" s="28" t="s">
        <v>1133</v>
      </c>
      <c r="J143" s="61" t="s">
        <v>934</v>
      </c>
      <c r="K143" s="61" t="s">
        <v>1056</v>
      </c>
      <c r="M143" s="62" t="str">
        <f aca="false">IF(COUNT('Reported Financials'!E143:H143)=0,"",IF(SUMPRODUCT(--ISNUMBER('Reported Financials'!E143:H143),--(E143:H143=""))=0,"OK","source missing"))</f>
        <v>OK</v>
      </c>
    </row>
    <row r="144" customFormat="false" ht="15" hidden="false" customHeight="false" outlineLevel="0" collapsed="false">
      <c r="B144" s="27" t="s">
        <v>835</v>
      </c>
      <c r="E144" s="63" t="s">
        <v>1049</v>
      </c>
      <c r="F144" s="63" t="s">
        <v>1049</v>
      </c>
      <c r="G144" s="63" t="s">
        <v>1049</v>
      </c>
      <c r="H144" s="63" t="s">
        <v>1049</v>
      </c>
      <c r="K144" s="64" t="s">
        <v>1058</v>
      </c>
    </row>
    <row r="145" customFormat="false" ht="15" hidden="false" customHeight="false" outlineLevel="0" collapsed="false">
      <c r="B145" s="33" t="s">
        <v>935</v>
      </c>
      <c r="C145" s="34"/>
      <c r="D145" s="34"/>
      <c r="E145" s="65" t="s">
        <v>1049</v>
      </c>
      <c r="F145" s="65" t="s">
        <v>1049</v>
      </c>
      <c r="G145" s="65" t="s">
        <v>1049</v>
      </c>
      <c r="H145" s="65" t="s">
        <v>1049</v>
      </c>
      <c r="K145" s="64" t="s">
        <v>1050</v>
      </c>
    </row>
    <row r="146" customFormat="false" ht="15" hidden="false" customHeight="false" outlineLevel="0" collapsed="false">
      <c r="B146" s="27" t="s">
        <v>835</v>
      </c>
      <c r="E146" s="63" t="s">
        <v>1049</v>
      </c>
      <c r="F146" s="63" t="s">
        <v>1049</v>
      </c>
      <c r="G146" s="63" t="s">
        <v>1049</v>
      </c>
      <c r="H146" s="63" t="s">
        <v>1049</v>
      </c>
      <c r="K146" s="64" t="s">
        <v>1058</v>
      </c>
    </row>
    <row r="147" customFormat="false" ht="15" hidden="false" customHeight="false" outlineLevel="0" collapsed="false">
      <c r="B147" s="33" t="s">
        <v>936</v>
      </c>
      <c r="C147" s="34"/>
      <c r="D147" s="34"/>
      <c r="E147" s="65" t="s">
        <v>1049</v>
      </c>
      <c r="F147" s="65" t="s">
        <v>1049</v>
      </c>
      <c r="G147" s="65" t="s">
        <v>1049</v>
      </c>
      <c r="H147" s="65" t="s">
        <v>1049</v>
      </c>
      <c r="K147" s="64" t="s">
        <v>1050</v>
      </c>
    </row>
    <row r="149" customFormat="false" ht="15" hidden="false" customHeight="false" outlineLevel="0" collapsed="false">
      <c r="A149" s="25" t="s">
        <v>11</v>
      </c>
      <c r="B149" s="26" t="s">
        <v>937</v>
      </c>
      <c r="C149" s="14"/>
      <c r="D149" s="14"/>
      <c r="E149" s="14"/>
      <c r="F149" s="14"/>
      <c r="G149" s="14"/>
      <c r="H149" s="14"/>
    </row>
    <row r="151" customFormat="false" ht="15" hidden="false" customHeight="false" outlineLevel="0" collapsed="false">
      <c r="B151" s="27" t="s">
        <v>938</v>
      </c>
      <c r="C151" s="28" t="s">
        <v>889</v>
      </c>
      <c r="E151" s="28" t="s">
        <v>1131</v>
      </c>
      <c r="F151" s="28" t="s">
        <v>1132</v>
      </c>
      <c r="G151" s="28" t="s">
        <v>1133</v>
      </c>
      <c r="H151" s="28" t="s">
        <v>1133</v>
      </c>
      <c r="J151" s="61" t="s">
        <v>938</v>
      </c>
      <c r="K151" s="61" t="s">
        <v>1056</v>
      </c>
      <c r="M151" s="62" t="str">
        <f aca="false">IF(COUNT('Reported Financials'!E151:H151)=0,"",IF(SUMPRODUCT(--ISNUMBER('Reported Financials'!E151:H151),--(E151:H151=""))=0,"OK","source missing"))</f>
        <v>OK</v>
      </c>
    </row>
    <row r="152" customFormat="false" ht="15" hidden="false" customHeight="false" outlineLevel="0" collapsed="false">
      <c r="B152" s="27" t="s">
        <v>939</v>
      </c>
      <c r="C152" s="28" t="s">
        <v>889</v>
      </c>
      <c r="E152" s="28" t="s">
        <v>1131</v>
      </c>
      <c r="F152" s="28" t="s">
        <v>1132</v>
      </c>
      <c r="G152" s="28" t="s">
        <v>1133</v>
      </c>
      <c r="H152" s="28" t="s">
        <v>1133</v>
      </c>
      <c r="J152" s="61" t="s">
        <v>939</v>
      </c>
      <c r="K152" s="61" t="s">
        <v>1056</v>
      </c>
      <c r="M152" s="62" t="str">
        <f aca="false">IF(COUNT('Reported Financials'!E152:H152)=0,"",IF(SUMPRODUCT(--ISNUMBER('Reported Financials'!E152:H152),--(E152:H152=""))=0,"OK","source missing"))</f>
        <v>OK</v>
      </c>
    </row>
    <row r="153" customFormat="false" ht="15" hidden="false" customHeight="false" outlineLevel="0" collapsed="false">
      <c r="B153" s="27" t="s">
        <v>941</v>
      </c>
      <c r="C153" s="28" t="s">
        <v>889</v>
      </c>
      <c r="E153" s="28" t="s">
        <v>1131</v>
      </c>
      <c r="F153" s="28" t="s">
        <v>1132</v>
      </c>
      <c r="G153" s="28" t="s">
        <v>1133</v>
      </c>
      <c r="H153" s="28" t="s">
        <v>1133</v>
      </c>
      <c r="J153" s="61" t="s">
        <v>941</v>
      </c>
      <c r="K153" s="61" t="s">
        <v>1056</v>
      </c>
      <c r="M153" s="62" t="str">
        <f aca="false">IF(COUNT('Reported Financials'!E153:H153)=0,"",IF(SUMPRODUCT(--ISNUMBER('Reported Financials'!E153:H153),--(E153:H153=""))=0,"OK","source missing"))</f>
        <v>OK</v>
      </c>
    </row>
    <row r="154" customFormat="false" ht="15" hidden="false" customHeight="false" outlineLevel="0" collapsed="false">
      <c r="B154" s="27" t="s">
        <v>942</v>
      </c>
      <c r="C154" s="28" t="s">
        <v>889</v>
      </c>
      <c r="E154" s="28" t="s">
        <v>1131</v>
      </c>
      <c r="F154" s="28" t="s">
        <v>1132</v>
      </c>
      <c r="G154" s="28" t="s">
        <v>1133</v>
      </c>
      <c r="H154" s="28" t="s">
        <v>1133</v>
      </c>
      <c r="J154" s="61" t="s">
        <v>942</v>
      </c>
      <c r="K154" s="61" t="s">
        <v>1056</v>
      </c>
      <c r="M154" s="62" t="str">
        <f aca="false">IF(COUNT('Reported Financials'!E154:H154)=0,"",IF(SUMPRODUCT(--ISNUMBER('Reported Financials'!E154:H154),--(E154:H154=""))=0,"OK","source missing"))</f>
        <v>OK</v>
      </c>
    </row>
    <row r="155" customFormat="false" ht="15" hidden="false" customHeight="false" outlineLevel="0" collapsed="false">
      <c r="B155" s="27" t="s">
        <v>835</v>
      </c>
      <c r="E155" s="63" t="s">
        <v>1049</v>
      </c>
      <c r="F155" s="63" t="s">
        <v>1049</v>
      </c>
      <c r="G155" s="63" t="s">
        <v>1049</v>
      </c>
      <c r="H155" s="63" t="s">
        <v>1049</v>
      </c>
      <c r="K155" s="64" t="s">
        <v>1058</v>
      </c>
    </row>
    <row r="156" customFormat="false" ht="15" hidden="false" customHeight="false" outlineLevel="0" collapsed="false">
      <c r="B156" s="33" t="s">
        <v>943</v>
      </c>
      <c r="C156" s="34"/>
      <c r="D156" s="34"/>
      <c r="E156" s="65" t="s">
        <v>1049</v>
      </c>
      <c r="F156" s="65" t="s">
        <v>1049</v>
      </c>
      <c r="G156" s="65" t="s">
        <v>1049</v>
      </c>
      <c r="H156" s="65" t="s">
        <v>1049</v>
      </c>
      <c r="K156" s="64" t="s">
        <v>1050</v>
      </c>
    </row>
    <row r="157" customFormat="false" ht="15" hidden="false" customHeight="false" outlineLevel="0" collapsed="false">
      <c r="B157" s="27" t="s">
        <v>944</v>
      </c>
      <c r="E157" s="28" t="s">
        <v>1131</v>
      </c>
      <c r="F157" s="28" t="s">
        <v>1132</v>
      </c>
      <c r="G157" s="28" t="s">
        <v>1133</v>
      </c>
      <c r="H157" s="28" t="s">
        <v>1133</v>
      </c>
      <c r="J157" s="61" t="s">
        <v>944</v>
      </c>
      <c r="K157" s="61" t="s">
        <v>1056</v>
      </c>
      <c r="M157" s="62" t="str">
        <f aca="false">IF(COUNT('Reported Financials'!E157:H157)=0,"",IF(SUMPRODUCT(--ISNUMBER('Reported Financials'!E157:H157),--(E157:H157=""))=0,"OK","source missing"))</f>
        <v>OK</v>
      </c>
    </row>
    <row r="158" customFormat="false" ht="15" hidden="false" customHeight="false" outlineLevel="0" collapsed="false">
      <c r="B158" s="27" t="s">
        <v>835</v>
      </c>
      <c r="E158" s="63" t="s">
        <v>1049</v>
      </c>
      <c r="F158" s="63" t="s">
        <v>1049</v>
      </c>
      <c r="G158" s="63" t="s">
        <v>1049</v>
      </c>
      <c r="H158" s="63" t="s">
        <v>1049</v>
      </c>
      <c r="K158" s="64" t="s">
        <v>1058</v>
      </c>
    </row>
    <row r="159" customFormat="false" ht="15" hidden="false" customHeight="false" outlineLevel="0" collapsed="false">
      <c r="B159" s="33" t="s">
        <v>945</v>
      </c>
      <c r="C159" s="34"/>
      <c r="D159" s="34"/>
      <c r="E159" s="65" t="s">
        <v>1049</v>
      </c>
      <c r="F159" s="65" t="s">
        <v>1049</v>
      </c>
      <c r="G159" s="65" t="s">
        <v>1049</v>
      </c>
      <c r="H159" s="65" t="s">
        <v>1049</v>
      </c>
      <c r="K159" s="64" t="s">
        <v>1050</v>
      </c>
    </row>
    <row r="160" customFormat="false" ht="15" hidden="false" customHeight="false" outlineLevel="0" collapsed="false">
      <c r="B160" s="27" t="s">
        <v>946</v>
      </c>
      <c r="C160" s="28" t="s">
        <v>856</v>
      </c>
      <c r="E160" s="28" t="s">
        <v>1131</v>
      </c>
      <c r="F160" s="28" t="s">
        <v>1132</v>
      </c>
      <c r="G160" s="28" t="s">
        <v>1133</v>
      </c>
      <c r="H160" s="28" t="s">
        <v>1133</v>
      </c>
      <c r="J160" s="61" t="s">
        <v>946</v>
      </c>
      <c r="K160" s="61" t="s">
        <v>1056</v>
      </c>
      <c r="M160" s="62" t="str">
        <f aca="false">IF(COUNT('Reported Financials'!E160:H160)=0,"",IF(SUMPRODUCT(--ISNUMBER('Reported Financials'!E160:H160),--(E160:H160=""))=0,"OK","source missing"))</f>
        <v>OK</v>
      </c>
    </row>
    <row r="161" customFormat="false" ht="15" hidden="false" customHeight="false" outlineLevel="0" collapsed="false">
      <c r="B161" s="27" t="s">
        <v>947</v>
      </c>
      <c r="C161" s="28" t="s">
        <v>882</v>
      </c>
      <c r="E161" s="28" t="s">
        <v>1131</v>
      </c>
      <c r="F161" s="28" t="s">
        <v>1132</v>
      </c>
      <c r="G161" s="28" t="s">
        <v>1133</v>
      </c>
      <c r="H161" s="28" t="s">
        <v>1133</v>
      </c>
      <c r="J161" s="61" t="s">
        <v>947</v>
      </c>
      <c r="K161" s="61" t="s">
        <v>1056</v>
      </c>
      <c r="M161" s="62" t="str">
        <f aca="false">IF(COUNT('Reported Financials'!E161:H161)=0,"",IF(SUMPRODUCT(--ISNUMBER('Reported Financials'!E161:H161),--(E161:H161=""))=0,"OK","source missing"))</f>
        <v>OK</v>
      </c>
    </row>
    <row r="162" customFormat="false" ht="15" hidden="false" customHeight="false" outlineLevel="0" collapsed="false">
      <c r="B162" s="27" t="s">
        <v>948</v>
      </c>
      <c r="C162" s="28" t="s">
        <v>949</v>
      </c>
      <c r="E162" s="28" t="s">
        <v>1131</v>
      </c>
      <c r="F162" s="28" t="s">
        <v>1132</v>
      </c>
      <c r="G162" s="28" t="s">
        <v>1133</v>
      </c>
      <c r="H162" s="28" t="s">
        <v>1133</v>
      </c>
      <c r="J162" s="61" t="s">
        <v>948</v>
      </c>
      <c r="K162" s="61" t="s">
        <v>1056</v>
      </c>
      <c r="M162" s="62" t="str">
        <f aca="false">IF(COUNT('Reported Financials'!E162:H162)=0,"",IF(SUMPRODUCT(--ISNUMBER('Reported Financials'!E162:H162),--(E162:H162=""))=0,"OK","source missing"))</f>
        <v>OK</v>
      </c>
    </row>
    <row r="163" customFormat="false" ht="15" hidden="false" customHeight="false" outlineLevel="0" collapsed="false">
      <c r="B163" s="27" t="s">
        <v>950</v>
      </c>
      <c r="C163" s="28" t="s">
        <v>951</v>
      </c>
      <c r="E163" s="28" t="s">
        <v>1131</v>
      </c>
      <c r="F163" s="28" t="s">
        <v>1132</v>
      </c>
      <c r="G163" s="28" t="s">
        <v>1133</v>
      </c>
      <c r="H163" s="28" t="s">
        <v>1133</v>
      </c>
      <c r="J163" s="61" t="s">
        <v>950</v>
      </c>
      <c r="K163" s="61" t="s">
        <v>1056</v>
      </c>
      <c r="M163" s="62" t="str">
        <f aca="false">IF(COUNT('Reported Financials'!E163:H163)=0,"",IF(SUMPRODUCT(--ISNUMBER('Reported Financials'!E163:H163),--(E163:H163=""))=0,"OK","source missing"))</f>
        <v>OK</v>
      </c>
    </row>
    <row r="164" customFormat="false" ht="15" hidden="false" customHeight="false" outlineLevel="0" collapsed="false">
      <c r="B164" s="27" t="s">
        <v>922</v>
      </c>
      <c r="C164" s="28" t="s">
        <v>842</v>
      </c>
      <c r="E164" s="28" t="s">
        <v>1131</v>
      </c>
      <c r="F164" s="28" t="s">
        <v>1132</v>
      </c>
      <c r="G164" s="28" t="s">
        <v>1133</v>
      </c>
      <c r="H164" s="28" t="s">
        <v>1133</v>
      </c>
      <c r="J164" s="61" t="s">
        <v>1135</v>
      </c>
      <c r="K164" s="61" t="s">
        <v>1056</v>
      </c>
      <c r="M164" s="62" t="str">
        <f aca="false">IF(COUNT('Reported Financials'!E164:H164)=0,"",IF(SUMPRODUCT(--ISNUMBER('Reported Financials'!E164:H164),--(E164:H164=""))=0,"OK","source missing"))</f>
        <v>OK</v>
      </c>
    </row>
    <row r="165" customFormat="false" ht="15" hidden="false" customHeight="false" outlineLevel="0" collapsed="false">
      <c r="B165" s="27" t="s">
        <v>835</v>
      </c>
      <c r="E165" s="63" t="s">
        <v>1049</v>
      </c>
      <c r="F165" s="63" t="s">
        <v>1049</v>
      </c>
      <c r="G165" s="63" t="s">
        <v>1049</v>
      </c>
      <c r="H165" s="63" t="s">
        <v>1049</v>
      </c>
      <c r="K165" s="64" t="s">
        <v>1058</v>
      </c>
    </row>
    <row r="166" customFormat="false" ht="15" hidden="false" customHeight="false" outlineLevel="0" collapsed="false">
      <c r="B166" s="33" t="s">
        <v>952</v>
      </c>
      <c r="C166" s="34"/>
      <c r="D166" s="34"/>
      <c r="E166" s="65" t="s">
        <v>1049</v>
      </c>
      <c r="F166" s="65" t="s">
        <v>1049</v>
      </c>
      <c r="G166" s="65" t="s">
        <v>1049</v>
      </c>
      <c r="H166" s="65" t="s">
        <v>1049</v>
      </c>
      <c r="K166" s="64" t="s">
        <v>1050</v>
      </c>
    </row>
    <row r="167" customFormat="false" ht="15" hidden="false" customHeight="false" outlineLevel="0" collapsed="false">
      <c r="B167" s="27" t="s">
        <v>953</v>
      </c>
      <c r="C167" s="28" t="s">
        <v>882</v>
      </c>
      <c r="E167" s="28" t="s">
        <v>1131</v>
      </c>
      <c r="F167" s="28" t="s">
        <v>1132</v>
      </c>
      <c r="G167" s="28" t="s">
        <v>1133</v>
      </c>
      <c r="H167" s="28" t="s">
        <v>1133</v>
      </c>
      <c r="J167" s="61" t="s">
        <v>953</v>
      </c>
      <c r="K167" s="61" t="s">
        <v>1056</v>
      </c>
      <c r="M167" s="62" t="str">
        <f aca="false">IF(COUNT('Reported Financials'!E167:H167)=0,"",IF(SUMPRODUCT(--ISNUMBER('Reported Financials'!E167:H167),--(E167:H167=""))=0,"OK","source missing"))</f>
        <v>OK</v>
      </c>
    </row>
    <row r="168" customFormat="false" ht="15" hidden="false" customHeight="false" outlineLevel="0" collapsed="false">
      <c r="B168" s="27" t="s">
        <v>954</v>
      </c>
      <c r="C168" s="28" t="s">
        <v>949</v>
      </c>
      <c r="E168" s="28" t="s">
        <v>1131</v>
      </c>
      <c r="F168" s="28" t="s">
        <v>1132</v>
      </c>
      <c r="G168" s="28" t="s">
        <v>1133</v>
      </c>
      <c r="H168" s="28" t="s">
        <v>1133</v>
      </c>
      <c r="J168" s="61" t="s">
        <v>954</v>
      </c>
      <c r="K168" s="61" t="s">
        <v>1056</v>
      </c>
      <c r="M168" s="62" t="str">
        <f aca="false">IF(COUNT('Reported Financials'!E168:H168)=0,"",IF(SUMPRODUCT(--ISNUMBER('Reported Financials'!E168:H168),--(E168:H168=""))=0,"OK","source missing"))</f>
        <v>OK</v>
      </c>
    </row>
    <row r="169" customFormat="false" ht="15" hidden="false" customHeight="false" outlineLevel="0" collapsed="false">
      <c r="B169" s="27" t="s">
        <v>955</v>
      </c>
      <c r="C169" s="28" t="s">
        <v>777</v>
      </c>
      <c r="E169" s="28" t="s">
        <v>1131</v>
      </c>
      <c r="F169" s="28" t="s">
        <v>1132</v>
      </c>
      <c r="G169" s="28" t="s">
        <v>1133</v>
      </c>
      <c r="H169" s="28" t="s">
        <v>1133</v>
      </c>
      <c r="J169" s="61" t="s">
        <v>955</v>
      </c>
      <c r="K169" s="61" t="s">
        <v>1056</v>
      </c>
      <c r="M169" s="62" t="str">
        <f aca="false">IF(COUNT('Reported Financials'!E169:H169)=0,"",IF(SUMPRODUCT(--ISNUMBER('Reported Financials'!E169:H169),--(E169:H169=""))=0,"OK","source missing"))</f>
        <v>OK</v>
      </c>
    </row>
    <row r="170" customFormat="false" ht="15" hidden="false" customHeight="false" outlineLevel="0" collapsed="false">
      <c r="B170" s="27" t="s">
        <v>957</v>
      </c>
      <c r="E170" s="28" t="s">
        <v>1131</v>
      </c>
      <c r="F170" s="28" t="s">
        <v>1132</v>
      </c>
      <c r="G170" s="28" t="s">
        <v>1133</v>
      </c>
      <c r="H170" s="28" t="s">
        <v>1133</v>
      </c>
      <c r="J170" s="61" t="s">
        <v>957</v>
      </c>
      <c r="K170" s="61" t="s">
        <v>1056</v>
      </c>
      <c r="M170" s="62" t="str">
        <f aca="false">IF(COUNT('Reported Financials'!E170:H170)=0,"",IF(SUMPRODUCT(--ISNUMBER('Reported Financials'!E170:H170),--(E170:H170=""))=0,"OK","source missing"))</f>
        <v>OK</v>
      </c>
    </row>
    <row r="171" customFormat="false" ht="15" hidden="false" customHeight="false" outlineLevel="0" collapsed="false">
      <c r="B171" s="27" t="s">
        <v>958</v>
      </c>
      <c r="C171" s="28" t="s">
        <v>951</v>
      </c>
      <c r="E171" s="28" t="s">
        <v>1131</v>
      </c>
      <c r="F171" s="28" t="s">
        <v>1132</v>
      </c>
      <c r="G171" s="28" t="s">
        <v>1133</v>
      </c>
      <c r="H171" s="28" t="s">
        <v>1133</v>
      </c>
      <c r="J171" s="61" t="s">
        <v>958</v>
      </c>
      <c r="K171" s="61" t="s">
        <v>1056</v>
      </c>
      <c r="M171" s="62" t="str">
        <f aca="false">IF(COUNT('Reported Financials'!E171:H171)=0,"",IF(SUMPRODUCT(--ISNUMBER('Reported Financials'!E171:H171),--(E171:H171=""))=0,"OK","source missing"))</f>
        <v>OK</v>
      </c>
    </row>
    <row r="172" customFormat="false" ht="15" hidden="false" customHeight="false" outlineLevel="0" collapsed="false">
      <c r="B172" s="27" t="s">
        <v>959</v>
      </c>
      <c r="E172" s="28" t="s">
        <v>1131</v>
      </c>
      <c r="F172" s="28" t="s">
        <v>1132</v>
      </c>
      <c r="G172" s="28" t="s">
        <v>1133</v>
      </c>
      <c r="H172" s="28" t="s">
        <v>1133</v>
      </c>
      <c r="J172" s="61" t="s">
        <v>959</v>
      </c>
      <c r="K172" s="61" t="s">
        <v>1056</v>
      </c>
      <c r="M172" s="62" t="str">
        <f aca="false">IF(COUNT('Reported Financials'!E172:H172)=0,"",IF(SUMPRODUCT(--ISNUMBER('Reported Financials'!E172:H172),--(E172:H172=""))=0,"OK","source missing"))</f>
        <v>OK</v>
      </c>
    </row>
    <row r="173" customFormat="false" ht="15" hidden="false" customHeight="false" outlineLevel="0" collapsed="false">
      <c r="B173" s="27" t="s">
        <v>960</v>
      </c>
      <c r="C173" s="28" t="s">
        <v>846</v>
      </c>
      <c r="E173" s="28" t="s">
        <v>1131</v>
      </c>
      <c r="F173" s="28" t="s">
        <v>1132</v>
      </c>
      <c r="G173" s="28" t="s">
        <v>1133</v>
      </c>
      <c r="H173" s="28" t="s">
        <v>1133</v>
      </c>
      <c r="J173" s="61" t="s">
        <v>960</v>
      </c>
      <c r="K173" s="61" t="s">
        <v>1056</v>
      </c>
      <c r="M173" s="62" t="str">
        <f aca="false">IF(COUNT('Reported Financials'!E173:H173)=0,"",IF(SUMPRODUCT(--ISNUMBER('Reported Financials'!E173:H173),--(E173:H173=""))=0,"OK","source missing"))</f>
        <v>OK</v>
      </c>
    </row>
    <row r="174" customFormat="false" ht="15" hidden="false" customHeight="false" outlineLevel="0" collapsed="false">
      <c r="B174" s="27" t="s">
        <v>835</v>
      </c>
      <c r="E174" s="63" t="s">
        <v>1049</v>
      </c>
      <c r="F174" s="63" t="s">
        <v>1049</v>
      </c>
      <c r="G174" s="63" t="s">
        <v>1049</v>
      </c>
      <c r="H174" s="63" t="s">
        <v>1049</v>
      </c>
      <c r="K174" s="64" t="s">
        <v>1058</v>
      </c>
    </row>
    <row r="175" customFormat="false" ht="15" hidden="false" customHeight="false" outlineLevel="0" collapsed="false">
      <c r="B175" s="33" t="s">
        <v>961</v>
      </c>
      <c r="C175" s="34"/>
      <c r="D175" s="34"/>
      <c r="E175" s="65" t="s">
        <v>1049</v>
      </c>
      <c r="F175" s="65" t="s">
        <v>1049</v>
      </c>
      <c r="G175" s="65" t="s">
        <v>1049</v>
      </c>
      <c r="H175" s="65" t="s">
        <v>1049</v>
      </c>
      <c r="K175" s="64" t="s">
        <v>1050</v>
      </c>
    </row>
    <row r="176" customFormat="false" ht="15" hidden="false" customHeight="false" outlineLevel="0" collapsed="false">
      <c r="B176" s="27" t="s">
        <v>835</v>
      </c>
      <c r="E176" s="63" t="s">
        <v>1049</v>
      </c>
      <c r="F176" s="63" t="s">
        <v>1049</v>
      </c>
      <c r="G176" s="63" t="s">
        <v>1049</v>
      </c>
      <c r="H176" s="63" t="s">
        <v>1049</v>
      </c>
      <c r="K176" s="64" t="s">
        <v>1058</v>
      </c>
    </row>
    <row r="177" customFormat="false" ht="15" hidden="false" customHeight="false" outlineLevel="0" collapsed="false">
      <c r="B177" s="33" t="s">
        <v>962</v>
      </c>
      <c r="C177" s="34"/>
      <c r="D177" s="34"/>
      <c r="E177" s="65" t="s">
        <v>1049</v>
      </c>
      <c r="F177" s="65" t="s">
        <v>1049</v>
      </c>
      <c r="G177" s="65" t="s">
        <v>1049</v>
      </c>
      <c r="H177" s="65" t="s">
        <v>1049</v>
      </c>
      <c r="K177" s="64" t="s">
        <v>1050</v>
      </c>
    </row>
    <row r="179" customFormat="false" ht="15" hidden="false" customHeight="false" outlineLevel="0" collapsed="false">
      <c r="A179" s="25" t="s">
        <v>11</v>
      </c>
      <c r="B179" s="26" t="s">
        <v>963</v>
      </c>
      <c r="C179" s="14"/>
      <c r="D179" s="14"/>
      <c r="E179" s="14"/>
      <c r="F179" s="14"/>
      <c r="G179" s="14"/>
      <c r="H179" s="14"/>
    </row>
    <row r="181" customFormat="false" ht="15" hidden="false" customHeight="false" outlineLevel="0" collapsed="false">
      <c r="B181" s="27" t="s">
        <v>964</v>
      </c>
      <c r="C181" s="28" t="s">
        <v>920</v>
      </c>
      <c r="E181" s="63" t="s">
        <v>1051</v>
      </c>
      <c r="F181" s="63" t="s">
        <v>1051</v>
      </c>
      <c r="G181" s="63" t="s">
        <v>1051</v>
      </c>
      <c r="H181" s="63" t="s">
        <v>1051</v>
      </c>
      <c r="J181" s="61" t="s">
        <v>964</v>
      </c>
      <c r="K181" s="64" t="s">
        <v>1052</v>
      </c>
      <c r="M181" s="62" t="str">
        <f aca="false">IF(COUNT('Reported Financials'!E181:H181)=0,"",IF(SUMPRODUCT(--ISNUMBER('Reported Financials'!E181:H181),--(E181:H181=""))=0,"OK","source missing"))</f>
        <v>OK</v>
      </c>
    </row>
    <row r="182" customFormat="false" ht="15" hidden="false" customHeight="false" outlineLevel="0" collapsed="false">
      <c r="B182" s="27" t="s">
        <v>965</v>
      </c>
      <c r="C182" s="28" t="s">
        <v>920</v>
      </c>
      <c r="E182" s="28" t="s">
        <v>1136</v>
      </c>
      <c r="F182" s="28" t="s">
        <v>1137</v>
      </c>
      <c r="G182" s="28" t="s">
        <v>1138</v>
      </c>
      <c r="H182" s="28" t="s">
        <v>1138</v>
      </c>
      <c r="J182" s="61" t="s">
        <v>1139</v>
      </c>
      <c r="K182" s="61" t="s">
        <v>1056</v>
      </c>
      <c r="M182" s="62" t="str">
        <f aca="false">IF(COUNT('Reported Financials'!E182:H182)=0,"",IF(SUMPRODUCT(--ISNUMBER('Reported Financials'!E182:H182),--(E182:H182=""))=0,"OK","source missing"))</f>
        <v>OK</v>
      </c>
    </row>
    <row r="183" customFormat="false" ht="15" hidden="false" customHeight="false" outlineLevel="0" collapsed="false">
      <c r="B183" s="27" t="s">
        <v>966</v>
      </c>
      <c r="C183" s="28" t="s">
        <v>920</v>
      </c>
      <c r="E183" s="28" t="s">
        <v>1136</v>
      </c>
      <c r="F183" s="28" t="s">
        <v>1137</v>
      </c>
      <c r="G183" s="28" t="s">
        <v>1138</v>
      </c>
      <c r="H183" s="28" t="s">
        <v>1138</v>
      </c>
      <c r="J183" s="61" t="s">
        <v>1140</v>
      </c>
      <c r="K183" s="61" t="s">
        <v>1056</v>
      </c>
      <c r="M183" s="62" t="str">
        <f aca="false">IF(COUNT('Reported Financials'!E183:H183)=0,"",IF(SUMPRODUCT(--ISNUMBER('Reported Financials'!E183:H183),--(E183:H183=""))=0,"OK","source missing"))</f>
        <v>OK</v>
      </c>
    </row>
    <row r="184" customFormat="false" ht="15" hidden="false" customHeight="false" outlineLevel="0" collapsed="false">
      <c r="B184" s="27" t="s">
        <v>967</v>
      </c>
      <c r="C184" s="28" t="s">
        <v>920</v>
      </c>
      <c r="E184" s="28" t="s">
        <v>1136</v>
      </c>
      <c r="F184" s="28" t="s">
        <v>1137</v>
      </c>
      <c r="G184" s="28" t="s">
        <v>1138</v>
      </c>
      <c r="H184" s="28" t="s">
        <v>1138</v>
      </c>
      <c r="J184" s="61" t="s">
        <v>1141</v>
      </c>
      <c r="K184" s="61" t="s">
        <v>1056</v>
      </c>
      <c r="M184" s="62" t="str">
        <f aca="false">IF(COUNT('Reported Financials'!E184:H184)=0,"",IF(SUMPRODUCT(--ISNUMBER('Reported Financials'!E184:H184),--(E184:H184=""))=0,"OK","source missing"))</f>
        <v>OK</v>
      </c>
    </row>
    <row r="185" customFormat="false" ht="15" hidden="false" customHeight="false" outlineLevel="0" collapsed="false">
      <c r="B185" s="27" t="s">
        <v>969</v>
      </c>
      <c r="C185" s="28" t="s">
        <v>920</v>
      </c>
      <c r="E185" s="28" t="s">
        <v>1136</v>
      </c>
      <c r="F185" s="28" t="s">
        <v>1137</v>
      </c>
      <c r="G185" s="28" t="s">
        <v>1138</v>
      </c>
      <c r="H185" s="28" t="s">
        <v>1138</v>
      </c>
      <c r="J185" s="61" t="s">
        <v>1142</v>
      </c>
      <c r="K185" s="61" t="s">
        <v>1056</v>
      </c>
      <c r="M185" s="62" t="str">
        <f aca="false">IF(COUNT('Reported Financials'!E185:H185)=0,"",IF(SUMPRODUCT(--ISNUMBER('Reported Financials'!E185:H185),--(E185:H185=""))=0,"OK","source missing"))</f>
        <v>OK</v>
      </c>
    </row>
    <row r="186" customFormat="false" ht="15" hidden="false" customHeight="false" outlineLevel="0" collapsed="false">
      <c r="B186" s="27" t="s">
        <v>828</v>
      </c>
      <c r="C186" s="28" t="s">
        <v>920</v>
      </c>
      <c r="E186" s="28" t="s">
        <v>1136</v>
      </c>
      <c r="F186" s="28" t="s">
        <v>1137</v>
      </c>
      <c r="G186" s="28" t="s">
        <v>1138</v>
      </c>
      <c r="H186" s="28" t="s">
        <v>1138</v>
      </c>
      <c r="J186" s="61" t="s">
        <v>1092</v>
      </c>
      <c r="K186" s="61" t="s">
        <v>1056</v>
      </c>
      <c r="M186" s="62" t="str">
        <f aca="false">IF(COUNT('Reported Financials'!E186:H186)=0,"",IF(SUMPRODUCT(--ISNUMBER('Reported Financials'!E186:H186),--(E186:H186=""))=0,"OK","source missing"))</f>
        <v>OK</v>
      </c>
    </row>
    <row r="187" customFormat="false" ht="15" hidden="false" customHeight="false" outlineLevel="0" collapsed="false">
      <c r="B187" s="27" t="s">
        <v>971</v>
      </c>
      <c r="C187" s="28" t="s">
        <v>920</v>
      </c>
      <c r="E187" s="28" t="s">
        <v>1136</v>
      </c>
      <c r="F187" s="28" t="s">
        <v>1137</v>
      </c>
      <c r="G187" s="28" t="s">
        <v>1138</v>
      </c>
      <c r="H187" s="28" t="s">
        <v>1138</v>
      </c>
      <c r="J187" s="61" t="s">
        <v>1143</v>
      </c>
      <c r="K187" s="61" t="s">
        <v>1056</v>
      </c>
      <c r="M187" s="62" t="str">
        <f aca="false">IF(COUNT('Reported Financials'!E187:H187)=0,"",IF(SUMPRODUCT(--ISNUMBER('Reported Financials'!E187:H187),--(E187:H187=""))=0,"OK","source missing"))</f>
        <v>OK</v>
      </c>
    </row>
    <row r="188" customFormat="false" ht="15" hidden="false" customHeight="false" outlineLevel="0" collapsed="false">
      <c r="B188" s="27" t="s">
        <v>972</v>
      </c>
      <c r="C188" s="28" t="s">
        <v>920</v>
      </c>
      <c r="E188" s="28" t="s">
        <v>1136</v>
      </c>
      <c r="F188" s="28" t="s">
        <v>1137</v>
      </c>
      <c r="G188" s="28" t="s">
        <v>1138</v>
      </c>
      <c r="H188" s="28" t="s">
        <v>1138</v>
      </c>
      <c r="J188" s="61" t="s">
        <v>1144</v>
      </c>
      <c r="K188" s="61" t="s">
        <v>1056</v>
      </c>
      <c r="M188" s="62" t="str">
        <f aca="false">IF(COUNT('Reported Financials'!E188:H188)=0,"",IF(SUMPRODUCT(--ISNUMBER('Reported Financials'!E188:H188),--(E188:H188=""))=0,"OK","source missing"))</f>
        <v>OK</v>
      </c>
    </row>
    <row r="189" customFormat="false" ht="15" hidden="false" customHeight="false" outlineLevel="0" collapsed="false">
      <c r="B189" s="27" t="s">
        <v>973</v>
      </c>
      <c r="C189" s="28" t="s">
        <v>920</v>
      </c>
      <c r="E189" s="28" t="s">
        <v>1136</v>
      </c>
      <c r="F189" s="28" t="s">
        <v>1137</v>
      </c>
      <c r="G189" s="28" t="s">
        <v>1138</v>
      </c>
      <c r="H189" s="28" t="s">
        <v>1138</v>
      </c>
      <c r="J189" s="61" t="s">
        <v>1145</v>
      </c>
      <c r="K189" s="61" t="s">
        <v>1056</v>
      </c>
      <c r="M189" s="62" t="str">
        <f aca="false">IF(COUNT('Reported Financials'!E189:H189)=0,"",IF(SUMPRODUCT(--ISNUMBER('Reported Financials'!E189:H189),--(E189:H189=""))=0,"OK","source missing"))</f>
        <v>OK</v>
      </c>
    </row>
    <row r="190" customFormat="false" ht="15" hidden="false" customHeight="false" outlineLevel="0" collapsed="false">
      <c r="B190" s="27" t="s">
        <v>974</v>
      </c>
      <c r="C190" s="28" t="s">
        <v>920</v>
      </c>
      <c r="E190" s="28" t="s">
        <v>1136</v>
      </c>
      <c r="F190" s="28" t="s">
        <v>1137</v>
      </c>
      <c r="G190" s="28" t="s">
        <v>1138</v>
      </c>
      <c r="H190" s="28" t="s">
        <v>1138</v>
      </c>
      <c r="J190" s="61" t="s">
        <v>1146</v>
      </c>
      <c r="K190" s="61" t="s">
        <v>1056</v>
      </c>
      <c r="M190" s="62" t="str">
        <f aca="false">IF(COUNT('Reported Financials'!E190:H190)=0,"",IF(SUMPRODUCT(--ISNUMBER('Reported Financials'!E190:H190),--(E190:H190=""))=0,"OK","source missing"))</f>
        <v>OK</v>
      </c>
    </row>
    <row r="191" customFormat="false" ht="15" hidden="false" customHeight="false" outlineLevel="0" collapsed="false">
      <c r="B191" s="27" t="s">
        <v>975</v>
      </c>
      <c r="C191" s="28" t="s">
        <v>920</v>
      </c>
      <c r="E191" s="28" t="s">
        <v>1136</v>
      </c>
      <c r="F191" s="28" t="s">
        <v>1137</v>
      </c>
      <c r="G191" s="28" t="s">
        <v>1138</v>
      </c>
      <c r="H191" s="28" t="s">
        <v>1138</v>
      </c>
      <c r="J191" s="61" t="s">
        <v>1147</v>
      </c>
      <c r="K191" s="61" t="s">
        <v>1056</v>
      </c>
      <c r="M191" s="62" t="str">
        <f aca="false">IF(COUNT('Reported Financials'!E191:H191)=0,"",IF(SUMPRODUCT(--ISNUMBER('Reported Financials'!E191:H191),--(E191:H191=""))=0,"OK","source missing"))</f>
        <v>OK</v>
      </c>
    </row>
    <row r="192" customFormat="false" ht="15" hidden="false" customHeight="false" outlineLevel="0" collapsed="false">
      <c r="B192" s="27" t="s">
        <v>784</v>
      </c>
      <c r="E192" s="63" t="s">
        <v>1049</v>
      </c>
      <c r="F192" s="63" t="s">
        <v>1049</v>
      </c>
      <c r="G192" s="63" t="s">
        <v>1049</v>
      </c>
      <c r="H192" s="63" t="s">
        <v>1049</v>
      </c>
      <c r="K192" s="64" t="s">
        <v>1058</v>
      </c>
    </row>
    <row r="194" customFormat="false" ht="15" hidden="false" customHeight="false" outlineLevel="0" collapsed="false">
      <c r="B194" s="27" t="s">
        <v>977</v>
      </c>
      <c r="C194" s="28" t="s">
        <v>949</v>
      </c>
      <c r="E194" s="63" t="s">
        <v>1051</v>
      </c>
      <c r="F194" s="63" t="s">
        <v>1051</v>
      </c>
      <c r="G194" s="63" t="s">
        <v>1051</v>
      </c>
      <c r="H194" s="63" t="s">
        <v>1051</v>
      </c>
      <c r="J194" s="61" t="s">
        <v>977</v>
      </c>
      <c r="K194" s="64" t="s">
        <v>1052</v>
      </c>
      <c r="M194" s="62" t="str">
        <f aca="false">IF(COUNT('Reported Financials'!E194:H194)=0,"",IF(SUMPRODUCT(--ISNUMBER('Reported Financials'!E194:H194),--(E194:H194=""))=0,"OK","source missing"))</f>
        <v>OK</v>
      </c>
    </row>
    <row r="195" customFormat="false" ht="15" hidden="false" customHeight="false" outlineLevel="0" collapsed="false">
      <c r="B195" s="27" t="s">
        <v>978</v>
      </c>
      <c r="C195" s="28" t="s">
        <v>949</v>
      </c>
      <c r="E195" s="28" t="s">
        <v>1148</v>
      </c>
      <c r="F195" s="28" t="s">
        <v>1149</v>
      </c>
      <c r="G195" s="28" t="s">
        <v>1123</v>
      </c>
      <c r="H195" s="28" t="s">
        <v>1123</v>
      </c>
      <c r="J195" s="61" t="s">
        <v>1150</v>
      </c>
      <c r="K195" s="61" t="s">
        <v>1056</v>
      </c>
      <c r="M195" s="62" t="str">
        <f aca="false">IF(COUNT('Reported Financials'!E195:H195)=0,"",IF(SUMPRODUCT(--ISNUMBER('Reported Financials'!E195:H195),--(E195:H195=""))=0,"OK","source missing"))</f>
        <v>OK</v>
      </c>
    </row>
    <row r="196" customFormat="false" ht="15" hidden="false" customHeight="false" outlineLevel="0" collapsed="false">
      <c r="B196" s="27" t="s">
        <v>979</v>
      </c>
      <c r="C196" s="28" t="s">
        <v>949</v>
      </c>
      <c r="E196" s="28" t="s">
        <v>1148</v>
      </c>
      <c r="F196" s="28" t="s">
        <v>1149</v>
      </c>
      <c r="G196" s="28" t="s">
        <v>1123</v>
      </c>
      <c r="H196" s="28" t="s">
        <v>1123</v>
      </c>
      <c r="J196" s="61" t="s">
        <v>1151</v>
      </c>
      <c r="K196" s="61" t="s">
        <v>1056</v>
      </c>
      <c r="M196" s="62" t="str">
        <f aca="false">IF(COUNT('Reported Financials'!E196:H196)=0,"",IF(SUMPRODUCT(--ISNUMBER('Reported Financials'!E196:H196),--(E196:H196=""))=0,"OK","source missing"))</f>
        <v>OK</v>
      </c>
    </row>
    <row r="197" customFormat="false" ht="15" hidden="false" customHeight="false" outlineLevel="0" collapsed="false">
      <c r="B197" s="27" t="s">
        <v>980</v>
      </c>
      <c r="C197" s="28" t="s">
        <v>949</v>
      </c>
      <c r="E197" s="28" t="s">
        <v>1148</v>
      </c>
      <c r="F197" s="28" t="s">
        <v>1149</v>
      </c>
      <c r="G197" s="28" t="s">
        <v>1123</v>
      </c>
      <c r="H197" s="28" t="s">
        <v>1123</v>
      </c>
      <c r="J197" s="61" t="s">
        <v>1152</v>
      </c>
      <c r="K197" s="61" t="s">
        <v>1056</v>
      </c>
      <c r="M197" s="62" t="str">
        <f aca="false">IF(COUNT('Reported Financials'!E197:H197)=0,"",IF(SUMPRODUCT(--ISNUMBER('Reported Financials'!E197:H197),--(E197:H197=""))=0,"OK","source missing"))</f>
        <v>OK</v>
      </c>
    </row>
    <row r="198" customFormat="false" ht="15" hidden="false" customHeight="false" outlineLevel="0" collapsed="false">
      <c r="B198" s="27" t="s">
        <v>981</v>
      </c>
      <c r="C198" s="28" t="s">
        <v>949</v>
      </c>
      <c r="E198" s="28" t="s">
        <v>1148</v>
      </c>
      <c r="F198" s="28" t="s">
        <v>1149</v>
      </c>
      <c r="G198" s="28" t="s">
        <v>1123</v>
      </c>
      <c r="H198" s="28" t="s">
        <v>1123</v>
      </c>
      <c r="J198" s="61" t="s">
        <v>1153</v>
      </c>
      <c r="K198" s="61" t="s">
        <v>1056</v>
      </c>
      <c r="M198" s="62" t="str">
        <f aca="false">IF(COUNT('Reported Financials'!E198:H198)=0,"",IF(SUMPRODUCT(--ISNUMBER('Reported Financials'!E198:H198),--(E198:H198=""))=0,"OK","source missing"))</f>
        <v>OK</v>
      </c>
    </row>
    <row r="199" customFormat="false" ht="15" hidden="false" customHeight="false" outlineLevel="0" collapsed="false">
      <c r="B199" s="27" t="s">
        <v>982</v>
      </c>
      <c r="C199" s="28" t="s">
        <v>949</v>
      </c>
      <c r="E199" s="28" t="s">
        <v>1148</v>
      </c>
      <c r="F199" s="28" t="s">
        <v>1149</v>
      </c>
      <c r="G199" s="28" t="s">
        <v>1123</v>
      </c>
      <c r="H199" s="28" t="s">
        <v>1123</v>
      </c>
      <c r="J199" s="61" t="s">
        <v>1154</v>
      </c>
      <c r="K199" s="61" t="s">
        <v>1056</v>
      </c>
      <c r="M199" s="62" t="str">
        <f aca="false">IF(COUNT('Reported Financials'!E199:H199)=0,"",IF(SUMPRODUCT(--ISNUMBER('Reported Financials'!E199:H199),--(E199:H199=""))=0,"OK","source missing"))</f>
        <v>OK</v>
      </c>
    </row>
    <row r="200" customFormat="false" ht="15" hidden="false" customHeight="false" outlineLevel="0" collapsed="false">
      <c r="B200" s="27" t="s">
        <v>983</v>
      </c>
      <c r="C200" s="28" t="s">
        <v>949</v>
      </c>
      <c r="E200" s="28" t="s">
        <v>1148</v>
      </c>
      <c r="F200" s="28" t="s">
        <v>1149</v>
      </c>
      <c r="G200" s="28" t="s">
        <v>1123</v>
      </c>
      <c r="H200" s="28" t="s">
        <v>1123</v>
      </c>
      <c r="J200" s="61" t="s">
        <v>1155</v>
      </c>
      <c r="K200" s="61" t="s">
        <v>1056</v>
      </c>
      <c r="M200" s="62" t="str">
        <f aca="false">IF(COUNT('Reported Financials'!E200:H200)=0,"",IF(SUMPRODUCT(--ISNUMBER('Reported Financials'!E200:H200),--(E200:H200=""))=0,"OK","source missing"))</f>
        <v>OK</v>
      </c>
    </row>
    <row r="201" customFormat="false" ht="15" hidden="false" customHeight="false" outlineLevel="0" collapsed="false">
      <c r="B201" s="27" t="s">
        <v>784</v>
      </c>
      <c r="E201" s="63" t="s">
        <v>1049</v>
      </c>
      <c r="F201" s="63" t="s">
        <v>1049</v>
      </c>
      <c r="G201" s="63" t="s">
        <v>1049</v>
      </c>
      <c r="H201" s="63" t="s">
        <v>1049</v>
      </c>
      <c r="K201" s="64" t="s">
        <v>1058</v>
      </c>
    </row>
    <row r="203" customFormat="false" ht="15" hidden="false" customHeight="false" outlineLevel="0" collapsed="false">
      <c r="B203" s="27" t="s">
        <v>984</v>
      </c>
      <c r="C203" s="28" t="s">
        <v>951</v>
      </c>
      <c r="E203" s="63" t="s">
        <v>1051</v>
      </c>
      <c r="F203" s="63" t="s">
        <v>1051</v>
      </c>
      <c r="G203" s="63" t="s">
        <v>1051</v>
      </c>
      <c r="H203" s="63" t="s">
        <v>1051</v>
      </c>
      <c r="J203" s="61" t="s">
        <v>984</v>
      </c>
      <c r="K203" s="64" t="s">
        <v>1052</v>
      </c>
      <c r="M203" s="62" t="str">
        <f aca="false">IF(COUNT('Reported Financials'!E203:H203)=0,"",IF(SUMPRODUCT(--ISNUMBER('Reported Financials'!E203:H203),--(E203:H203=""))=0,"OK","source missing"))</f>
        <v>OK</v>
      </c>
    </row>
    <row r="204" customFormat="false" ht="15" hidden="false" customHeight="false" outlineLevel="0" collapsed="false">
      <c r="B204" s="27" t="s">
        <v>965</v>
      </c>
      <c r="C204" s="28" t="s">
        <v>951</v>
      </c>
      <c r="E204" s="28" t="s">
        <v>1156</v>
      </c>
      <c r="F204" s="28" t="s">
        <v>1157</v>
      </c>
      <c r="G204" s="28" t="s">
        <v>1158</v>
      </c>
      <c r="H204" s="28" t="s">
        <v>1158</v>
      </c>
      <c r="J204" s="61" t="s">
        <v>1139</v>
      </c>
      <c r="K204" s="61" t="s">
        <v>1056</v>
      </c>
      <c r="M204" s="62" t="str">
        <f aca="false">IF(COUNT('Reported Financials'!E204:H204)=0,"",IF(SUMPRODUCT(--ISNUMBER('Reported Financials'!E204:H204),--(E204:H204=""))=0,"OK","source missing"))</f>
        <v>OK</v>
      </c>
    </row>
    <row r="205" customFormat="false" ht="15" hidden="false" customHeight="false" outlineLevel="0" collapsed="false">
      <c r="B205" s="27" t="s">
        <v>985</v>
      </c>
      <c r="C205" s="28" t="s">
        <v>951</v>
      </c>
      <c r="E205" s="28" t="s">
        <v>1156</v>
      </c>
      <c r="F205" s="28" t="s">
        <v>1157</v>
      </c>
      <c r="G205" s="28" t="s">
        <v>1158</v>
      </c>
      <c r="H205" s="28" t="s">
        <v>1158</v>
      </c>
      <c r="J205" s="61" t="s">
        <v>1159</v>
      </c>
      <c r="K205" s="61" t="s">
        <v>1056</v>
      </c>
      <c r="M205" s="62" t="str">
        <f aca="false">IF(COUNT('Reported Financials'!E205:H205)=0,"",IF(SUMPRODUCT(--ISNUMBER('Reported Financials'!E205:H205),--(E205:H205=""))=0,"OK","source missing"))</f>
        <v>OK</v>
      </c>
    </row>
    <row r="206" customFormat="false" ht="15" hidden="false" customHeight="false" outlineLevel="0" collapsed="false">
      <c r="B206" s="27" t="s">
        <v>987</v>
      </c>
      <c r="C206" s="28" t="s">
        <v>951</v>
      </c>
      <c r="E206" s="28" t="s">
        <v>1156</v>
      </c>
      <c r="F206" s="28" t="s">
        <v>1157</v>
      </c>
      <c r="G206" s="28" t="s">
        <v>1158</v>
      </c>
      <c r="H206" s="28" t="s">
        <v>1158</v>
      </c>
      <c r="J206" s="61" t="s">
        <v>1160</v>
      </c>
      <c r="K206" s="61" t="s">
        <v>1056</v>
      </c>
      <c r="M206" s="62" t="str">
        <f aca="false">IF(COUNT('Reported Financials'!E206:H206)=0,"",IF(SUMPRODUCT(--ISNUMBER('Reported Financials'!E206:H206),--(E206:H206=""))=0,"OK","source missing"))</f>
        <v>OK</v>
      </c>
    </row>
    <row r="207" customFormat="false" ht="15" hidden="false" customHeight="false" outlineLevel="0" collapsed="false">
      <c r="B207" s="27" t="s">
        <v>988</v>
      </c>
      <c r="C207" s="28" t="s">
        <v>951</v>
      </c>
      <c r="E207" s="28" t="s">
        <v>1156</v>
      </c>
      <c r="F207" s="28" t="s">
        <v>1157</v>
      </c>
      <c r="G207" s="28" t="s">
        <v>1158</v>
      </c>
      <c r="H207" s="28" t="s">
        <v>1158</v>
      </c>
      <c r="J207" s="61" t="s">
        <v>1161</v>
      </c>
      <c r="K207" s="61" t="s">
        <v>1056</v>
      </c>
      <c r="M207" s="62" t="str">
        <f aca="false">IF(COUNT('Reported Financials'!E207:H207)=0,"",IF(SUMPRODUCT(--ISNUMBER('Reported Financials'!E207:H207),--(E207:H207=""))=0,"OK","source missing"))</f>
        <v>OK</v>
      </c>
    </row>
    <row r="208" customFormat="false" ht="15" hidden="false" customHeight="false" outlineLevel="0" collapsed="false">
      <c r="B208" s="27" t="s">
        <v>989</v>
      </c>
      <c r="C208" s="28" t="s">
        <v>951</v>
      </c>
      <c r="E208" s="28" t="s">
        <v>1156</v>
      </c>
      <c r="F208" s="28" t="s">
        <v>1157</v>
      </c>
      <c r="G208" s="28" t="s">
        <v>1158</v>
      </c>
      <c r="H208" s="28" t="s">
        <v>1158</v>
      </c>
      <c r="J208" s="61" t="s">
        <v>1162</v>
      </c>
      <c r="K208" s="61" t="s">
        <v>1056</v>
      </c>
      <c r="M208" s="62" t="str">
        <f aca="false">IF(COUNT('Reported Financials'!E208:H208)=0,"",IF(SUMPRODUCT(--ISNUMBER('Reported Financials'!E208:H208),--(E208:H208=""))=0,"OK","source missing"))</f>
        <v>OK</v>
      </c>
    </row>
    <row r="209" customFormat="false" ht="15" hidden="false" customHeight="false" outlineLevel="0" collapsed="false">
      <c r="B209" s="27" t="s">
        <v>784</v>
      </c>
      <c r="E209" s="63" t="s">
        <v>1049</v>
      </c>
      <c r="F209" s="63" t="s">
        <v>1049</v>
      </c>
      <c r="G209" s="63" t="s">
        <v>1049</v>
      </c>
      <c r="H209" s="63" t="s">
        <v>1049</v>
      </c>
      <c r="K209" s="64" t="s">
        <v>1058</v>
      </c>
    </row>
    <row r="211" customFormat="false" ht="15" hidden="false" customHeight="false" outlineLevel="0" collapsed="false">
      <c r="B211" s="27" t="s">
        <v>990</v>
      </c>
      <c r="C211" s="28" t="s">
        <v>991</v>
      </c>
      <c r="E211" s="63" t="s">
        <v>1051</v>
      </c>
      <c r="F211" s="63" t="s">
        <v>1051</v>
      </c>
      <c r="G211" s="63" t="s">
        <v>1051</v>
      </c>
      <c r="H211" s="63" t="s">
        <v>1051</v>
      </c>
      <c r="J211" s="61" t="s">
        <v>990</v>
      </c>
      <c r="K211" s="64" t="s">
        <v>1052</v>
      </c>
      <c r="M211" s="62" t="str">
        <f aca="false">IF(COUNT('Reported Financials'!E211:H211)=0,"",IF(SUMPRODUCT(--ISNUMBER('Reported Financials'!E211:H211),--(E211:H211=""))=0,"OK","source missing"))</f>
        <v>OK</v>
      </c>
    </row>
    <row r="212" customFormat="false" ht="15" hidden="false" customHeight="false" outlineLevel="0" collapsed="false">
      <c r="B212" s="27" t="s">
        <v>992</v>
      </c>
      <c r="C212" s="28" t="s">
        <v>897</v>
      </c>
      <c r="E212" s="28" t="s">
        <v>1163</v>
      </c>
      <c r="F212" s="28" t="s">
        <v>1164</v>
      </c>
      <c r="G212" s="28" t="s">
        <v>1165</v>
      </c>
      <c r="H212" s="28" t="s">
        <v>1165</v>
      </c>
      <c r="J212" s="61" t="s">
        <v>1166</v>
      </c>
      <c r="K212" s="61" t="s">
        <v>1056</v>
      </c>
      <c r="M212" s="62" t="str">
        <f aca="false">IF(COUNT('Reported Financials'!E212:H212)=0,"",IF(SUMPRODUCT(--ISNUMBER('Reported Financials'!E212:H212),--(E212:H212=""))=0,"OK","source missing"))</f>
        <v>OK</v>
      </c>
    </row>
    <row r="213" customFormat="false" ht="15" hidden="false" customHeight="false" outlineLevel="0" collapsed="false">
      <c r="B213" s="27" t="s">
        <v>337</v>
      </c>
      <c r="C213" s="28" t="s">
        <v>859</v>
      </c>
      <c r="E213" s="28" t="s">
        <v>1167</v>
      </c>
      <c r="F213" s="28" t="s">
        <v>1096</v>
      </c>
      <c r="G213" s="28" t="s">
        <v>1097</v>
      </c>
      <c r="H213" s="28" t="s">
        <v>1097</v>
      </c>
      <c r="J213" s="61" t="s">
        <v>1166</v>
      </c>
      <c r="K213" s="61" t="s">
        <v>1056</v>
      </c>
      <c r="M213" s="62" t="str">
        <f aca="false">IF(COUNT('Reported Financials'!E213:H213)=0,"",IF(SUMPRODUCT(--ISNUMBER('Reported Financials'!E213:H213),--(E213:H213=""))=0,"OK","source missing"))</f>
        <v>OK</v>
      </c>
    </row>
    <row r="214" customFormat="false" ht="15" hidden="false" customHeight="false" outlineLevel="0" collapsed="false">
      <c r="B214" s="27" t="s">
        <v>339</v>
      </c>
      <c r="C214" s="28" t="s">
        <v>915</v>
      </c>
      <c r="E214" s="28" t="s">
        <v>1168</v>
      </c>
      <c r="F214" s="28" t="s">
        <v>1169</v>
      </c>
      <c r="G214" s="28" t="s">
        <v>1170</v>
      </c>
      <c r="H214" s="28" t="s">
        <v>1170</v>
      </c>
      <c r="J214" s="61" t="s">
        <v>1166</v>
      </c>
      <c r="K214" s="61" t="s">
        <v>1056</v>
      </c>
      <c r="M214" s="62" t="str">
        <f aca="false">IF(COUNT('Reported Financials'!E214:H214)=0,"",IF(SUMPRODUCT(--ISNUMBER('Reported Financials'!E214:H214),--(E214:H214=""))=0,"OK","source missing"))</f>
        <v>OK</v>
      </c>
    </row>
    <row r="215" customFormat="false" ht="15" hidden="false" customHeight="false" outlineLevel="0" collapsed="false">
      <c r="B215" s="27" t="s">
        <v>341</v>
      </c>
      <c r="C215" s="28" t="s">
        <v>917</v>
      </c>
      <c r="E215" s="28" t="s">
        <v>1168</v>
      </c>
      <c r="F215" s="28" t="s">
        <v>1171</v>
      </c>
      <c r="G215" s="28" t="s">
        <v>1172</v>
      </c>
      <c r="H215" s="28" t="s">
        <v>1172</v>
      </c>
      <c r="J215" s="61" t="s">
        <v>1173</v>
      </c>
      <c r="K215" s="61" t="s">
        <v>1056</v>
      </c>
      <c r="M215" s="62" t="str">
        <f aca="false">IF(COUNT('Reported Financials'!E215:H215)=0,"",IF(SUMPRODUCT(--ISNUMBER('Reported Financials'!E215:H215),--(E215:H215=""))=0,"OK","source missing"))</f>
        <v>OK</v>
      </c>
    </row>
    <row r="217" customFormat="false" ht="15" hidden="false" customHeight="false" outlineLevel="0" collapsed="false">
      <c r="A217" s="25" t="s">
        <v>11</v>
      </c>
      <c r="B217" s="26" t="s">
        <v>994</v>
      </c>
      <c r="C217" s="14"/>
      <c r="D217" s="14"/>
      <c r="E217" s="14"/>
      <c r="F217" s="14"/>
      <c r="G217" s="14"/>
      <c r="H217" s="14"/>
    </row>
    <row r="219" customFormat="false" ht="15" hidden="false" customHeight="false" outlineLevel="0" collapsed="false">
      <c r="B219" s="27" t="s">
        <v>995</v>
      </c>
      <c r="F219" s="28" t="s">
        <v>1174</v>
      </c>
      <c r="G219" s="28" t="s">
        <v>1175</v>
      </c>
      <c r="H219" s="28" t="s">
        <v>1175</v>
      </c>
      <c r="J219" s="61" t="s">
        <v>995</v>
      </c>
      <c r="K219" s="61" t="s">
        <v>1056</v>
      </c>
      <c r="M219" s="62" t="str">
        <f aca="false">IF(COUNT('Reported Financials'!E219:H219)=0,"",IF(SUMPRODUCT(--ISNUMBER('Reported Financials'!E219:H219),--(E219:H219=""))=0,"OK","source missing"))</f>
        <v>OK</v>
      </c>
    </row>
    <row r="220" customFormat="false" ht="15" hidden="false" customHeight="false" outlineLevel="0" collapsed="false">
      <c r="B220" s="27" t="s">
        <v>997</v>
      </c>
      <c r="F220" s="28" t="s">
        <v>1174</v>
      </c>
      <c r="G220" s="28" t="s">
        <v>1175</v>
      </c>
      <c r="H220" s="28" t="s">
        <v>1175</v>
      </c>
      <c r="J220" s="61" t="s">
        <v>997</v>
      </c>
      <c r="K220" s="61" t="s">
        <v>1056</v>
      </c>
      <c r="M220" s="62" t="str">
        <f aca="false">IF(COUNT('Reported Financials'!E220:H220)=0,"",IF(SUMPRODUCT(--ISNUMBER('Reported Financials'!E220:H220),--(E220:H220=""))=0,"OK","source missing"))</f>
        <v>OK</v>
      </c>
    </row>
    <row r="221" customFormat="false" ht="15" hidden="false" customHeight="false" outlineLevel="0" collapsed="false">
      <c r="B221" s="27" t="s">
        <v>998</v>
      </c>
      <c r="F221" s="28" t="s">
        <v>1174</v>
      </c>
      <c r="G221" s="28" t="s">
        <v>1175</v>
      </c>
      <c r="H221" s="28" t="s">
        <v>1175</v>
      </c>
      <c r="J221" s="61" t="s">
        <v>998</v>
      </c>
      <c r="K221" s="61" t="s">
        <v>1056</v>
      </c>
      <c r="M221" s="62" t="str">
        <f aca="false">IF(COUNT('Reported Financials'!E221:H221)=0,"",IF(SUMPRODUCT(--ISNUMBER('Reported Financials'!E221:H221),--(E221:H221=""))=0,"OK","source missing"))</f>
        <v>OK</v>
      </c>
    </row>
    <row r="222" customFormat="false" ht="15" hidden="false" customHeight="false" outlineLevel="0" collapsed="false">
      <c r="B222" s="27" t="s">
        <v>1000</v>
      </c>
      <c r="F222" s="28" t="s">
        <v>1174</v>
      </c>
      <c r="G222" s="28" t="s">
        <v>1175</v>
      </c>
      <c r="H222" s="28" t="s">
        <v>1175</v>
      </c>
      <c r="J222" s="61" t="s">
        <v>1000</v>
      </c>
      <c r="K222" s="61" t="s">
        <v>1056</v>
      </c>
      <c r="M222" s="62" t="str">
        <f aca="false">IF(COUNT('Reported Financials'!E222:H222)=0,"",IF(SUMPRODUCT(--ISNUMBER('Reported Financials'!E222:H222),--(E222:H222=""))=0,"OK","source missing"))</f>
        <v>OK</v>
      </c>
    </row>
    <row r="224" customFormat="false" ht="15" hidden="false" customHeight="false" outlineLevel="0" collapsed="false">
      <c r="A224" s="25" t="s">
        <v>11</v>
      </c>
      <c r="B224" s="26" t="s">
        <v>1001</v>
      </c>
      <c r="C224" s="14"/>
      <c r="D224" s="14"/>
      <c r="E224" s="14"/>
      <c r="F224" s="14"/>
      <c r="G224" s="14"/>
      <c r="H224" s="14"/>
    </row>
    <row r="226" customFormat="false" ht="15" hidden="false" customHeight="false" outlineLevel="0" collapsed="false">
      <c r="B226" s="27" t="s">
        <v>1002</v>
      </c>
      <c r="F226" s="28" t="s">
        <v>1101</v>
      </c>
      <c r="G226" s="28" t="s">
        <v>1099</v>
      </c>
      <c r="H226" s="28" t="s">
        <v>1099</v>
      </c>
      <c r="J226" s="61" t="s">
        <v>1002</v>
      </c>
      <c r="K226" s="61" t="s">
        <v>1102</v>
      </c>
      <c r="M226" s="62" t="str">
        <f aca="false">IF(COUNT('Reported Financials'!E226:H226)=0,"",IF(SUMPRODUCT(--ISNUMBER('Reported Financials'!E226:H226),--(E226:H226=""))=0,"OK","source missing"))</f>
        <v>OK</v>
      </c>
    </row>
    <row r="227" customFormat="false" ht="15" hidden="false" customHeight="false" outlineLevel="0" collapsed="false">
      <c r="B227" s="27" t="s">
        <v>1004</v>
      </c>
      <c r="F227" s="28" t="s">
        <v>1101</v>
      </c>
      <c r="G227" s="28" t="s">
        <v>1099</v>
      </c>
      <c r="H227" s="28" t="s">
        <v>1099</v>
      </c>
      <c r="J227" s="61" t="s">
        <v>1004</v>
      </c>
      <c r="K227" s="61" t="s">
        <v>1102</v>
      </c>
      <c r="M227" s="62" t="str">
        <f aca="false">IF(COUNT('Reported Financials'!E227:H227)=0,"",IF(SUMPRODUCT(--ISNUMBER('Reported Financials'!E227:H227),--(E227:H227=""))=0,"OK","source missing"))</f>
        <v>OK</v>
      </c>
    </row>
    <row r="228" customFormat="false" ht="15" hidden="false" customHeight="false" outlineLevel="0" collapsed="false">
      <c r="B228" s="27" t="s">
        <v>1005</v>
      </c>
      <c r="F228" s="28" t="s">
        <v>1101</v>
      </c>
      <c r="G228" s="28" t="s">
        <v>1099</v>
      </c>
      <c r="H228" s="28" t="s">
        <v>1099</v>
      </c>
      <c r="J228" s="61" t="s">
        <v>1005</v>
      </c>
      <c r="K228" s="61" t="s">
        <v>1102</v>
      </c>
      <c r="M228" s="62" t="str">
        <f aca="false">IF(COUNT('Reported Financials'!E228:H228)=0,"",IF(SUMPRODUCT(--ISNUMBER('Reported Financials'!E228:H228),--(E228:H228=""))=0,"OK","source missing"))</f>
        <v>OK</v>
      </c>
    </row>
    <row r="229" customFormat="false" ht="15" hidden="false" customHeight="false" outlineLevel="0" collapsed="false">
      <c r="B229" s="33" t="s">
        <v>1006</v>
      </c>
      <c r="C229" s="34"/>
      <c r="D229" s="34"/>
      <c r="E229" s="34"/>
      <c r="F229" s="65" t="s">
        <v>1049</v>
      </c>
      <c r="G229" s="65" t="s">
        <v>1049</v>
      </c>
      <c r="H229" s="65" t="s">
        <v>1049</v>
      </c>
      <c r="K229" s="64" t="s">
        <v>1050</v>
      </c>
    </row>
    <row r="231" customFormat="false" ht="15" hidden="false" customHeight="false" outlineLevel="0" collapsed="false">
      <c r="A231" s="25" t="s">
        <v>11</v>
      </c>
      <c r="B231" s="26" t="s">
        <v>1007</v>
      </c>
      <c r="C231" s="14"/>
      <c r="D231" s="14"/>
      <c r="E231" s="14"/>
      <c r="F231" s="14"/>
      <c r="G231" s="14"/>
      <c r="H231" s="14"/>
    </row>
    <row r="235" customFormat="false" ht="15" hidden="false" customHeight="false" outlineLevel="0" collapsed="false">
      <c r="B235" s="37" t="s">
        <v>1009</v>
      </c>
    </row>
    <row r="236" customFormat="false" ht="15" hidden="false" customHeight="false" outlineLevel="0" collapsed="false">
      <c r="B236" s="27" t="s">
        <v>780</v>
      </c>
      <c r="F236" s="28" t="s">
        <v>1046</v>
      </c>
      <c r="G236" s="28" t="s">
        <v>1047</v>
      </c>
      <c r="H236" s="28" t="s">
        <v>1047</v>
      </c>
      <c r="J236" s="61" t="s">
        <v>780</v>
      </c>
      <c r="K236" s="61" t="s">
        <v>1056</v>
      </c>
      <c r="M236" s="62" t="str">
        <f aca="false">IF(COUNT('Reported Financials'!E236:H236)=0,"",IF(SUMPRODUCT(--ISNUMBER('Reported Financials'!E236:H236),--(E236:H236=""))=0,"OK","source missing"))</f>
        <v>OK</v>
      </c>
    </row>
    <row r="237" customFormat="false" ht="15" hidden="false" customHeight="false" outlineLevel="0" collapsed="false">
      <c r="B237" s="27" t="s">
        <v>786</v>
      </c>
      <c r="F237" s="28" t="s">
        <v>1046</v>
      </c>
      <c r="G237" s="28" t="s">
        <v>1047</v>
      </c>
      <c r="H237" s="28" t="s">
        <v>1047</v>
      </c>
      <c r="J237" s="61" t="s">
        <v>786</v>
      </c>
      <c r="K237" s="61" t="s">
        <v>1056</v>
      </c>
      <c r="M237" s="62" t="str">
        <f aca="false">IF(COUNT('Reported Financials'!E237:H237)=0,"",IF(SUMPRODUCT(--ISNUMBER('Reported Financials'!E237:H237),--(E237:H237=""))=0,"OK","source missing"))</f>
        <v>OK</v>
      </c>
    </row>
    <row r="238" customFormat="false" ht="15" hidden="false" customHeight="false" outlineLevel="0" collapsed="false">
      <c r="B238" s="27" t="s">
        <v>787</v>
      </c>
      <c r="F238" s="28" t="s">
        <v>1046</v>
      </c>
      <c r="G238" s="28" t="s">
        <v>1047</v>
      </c>
      <c r="H238" s="28" t="s">
        <v>1047</v>
      </c>
      <c r="J238" s="61" t="s">
        <v>787</v>
      </c>
      <c r="K238" s="61" t="s">
        <v>1056</v>
      </c>
      <c r="M238" s="62" t="str">
        <f aca="false">IF(COUNT('Reported Financials'!E238:H238)=0,"",IF(SUMPRODUCT(--ISNUMBER('Reported Financials'!E238:H238),--(E238:H238=""))=0,"OK","source missing"))</f>
        <v>OK</v>
      </c>
    </row>
    <row r="239" customFormat="false" ht="15" hidden="false" customHeight="false" outlineLevel="0" collapsed="false">
      <c r="B239" s="27" t="s">
        <v>798</v>
      </c>
      <c r="F239" s="28" t="s">
        <v>1046</v>
      </c>
      <c r="G239" s="28" t="s">
        <v>1047</v>
      </c>
      <c r="H239" s="28" t="s">
        <v>1047</v>
      </c>
      <c r="J239" s="61" t="s">
        <v>798</v>
      </c>
      <c r="K239" s="61" t="s">
        <v>1056</v>
      </c>
      <c r="M239" s="62" t="str">
        <f aca="false">IF(COUNT('Reported Financials'!E239:H239)=0,"",IF(SUMPRODUCT(--ISNUMBER('Reported Financials'!E239:H239),--(E239:H239=""))=0,"OK","source missing"))</f>
        <v>OK</v>
      </c>
    </row>
    <row r="240" customFormat="false" ht="15" hidden="false" customHeight="false" outlineLevel="0" collapsed="false">
      <c r="B240" s="27" t="s">
        <v>803</v>
      </c>
      <c r="F240" s="28" t="s">
        <v>1046</v>
      </c>
      <c r="G240" s="28" t="s">
        <v>1047</v>
      </c>
      <c r="H240" s="28" t="s">
        <v>1047</v>
      </c>
      <c r="J240" s="61" t="s">
        <v>803</v>
      </c>
      <c r="K240" s="61" t="s">
        <v>1056</v>
      </c>
      <c r="M240" s="62" t="str">
        <f aca="false">IF(COUNT('Reported Financials'!E240:H240)=0,"",IF(SUMPRODUCT(--ISNUMBER('Reported Financials'!E240:H240),--(E240:H240=""))=0,"OK","source missing"))</f>
        <v>OK</v>
      </c>
    </row>
    <row r="241" customFormat="false" ht="15" hidden="false" customHeight="false" outlineLevel="0" collapsed="false">
      <c r="B241" s="27" t="s">
        <v>809</v>
      </c>
      <c r="F241" s="28" t="s">
        <v>1046</v>
      </c>
      <c r="G241" s="28" t="s">
        <v>1047</v>
      </c>
      <c r="H241" s="28" t="s">
        <v>1047</v>
      </c>
      <c r="J241" s="61" t="s">
        <v>809</v>
      </c>
      <c r="K241" s="61" t="s">
        <v>1056</v>
      </c>
      <c r="M241" s="62" t="str">
        <f aca="false">IF(COUNT('Reported Financials'!E241:H241)=0,"",IF(SUMPRODUCT(--ISNUMBER('Reported Financials'!E241:H241),--(E241:H241=""))=0,"OK","source missing"))</f>
        <v>OK</v>
      </c>
    </row>
    <row r="242" customFormat="false" ht="15" hidden="false" customHeight="false" outlineLevel="0" collapsed="false">
      <c r="B242" s="27" t="s">
        <v>813</v>
      </c>
      <c r="F242" s="28" t="s">
        <v>1046</v>
      </c>
      <c r="G242" s="28" t="s">
        <v>1047</v>
      </c>
      <c r="H242" s="28" t="s">
        <v>1047</v>
      </c>
      <c r="J242" s="61" t="s">
        <v>813</v>
      </c>
      <c r="K242" s="61" t="s">
        <v>1056</v>
      </c>
      <c r="M242" s="62" t="str">
        <f aca="false">IF(COUNT('Reported Financials'!E242:H242)=0,"",IF(SUMPRODUCT(--ISNUMBER('Reported Financials'!E242:H242),--(E242:H242=""))=0,"OK","source missing"))</f>
        <v>OK</v>
      </c>
    </row>
    <row r="243" customFormat="false" ht="15" hidden="false" customHeight="false" outlineLevel="0" collapsed="false">
      <c r="B243" s="27" t="s">
        <v>1010</v>
      </c>
      <c r="F243" s="28" t="s">
        <v>1046</v>
      </c>
      <c r="G243" s="28" t="s">
        <v>1047</v>
      </c>
      <c r="H243" s="28" t="s">
        <v>1047</v>
      </c>
      <c r="J243" s="61" t="s">
        <v>1010</v>
      </c>
      <c r="K243" s="61" t="s">
        <v>1056</v>
      </c>
      <c r="M243" s="62" t="str">
        <f aca="false">IF(COUNT('Reported Financials'!E243:H243)=0,"",IF(SUMPRODUCT(--ISNUMBER('Reported Financials'!E243:H243),--(E243:H243=""))=0,"OK","source missing"))</f>
        <v>OK</v>
      </c>
    </row>
    <row r="244" customFormat="false" ht="15" hidden="false" customHeight="false" outlineLevel="0" collapsed="false">
      <c r="B244" s="27" t="s">
        <v>1011</v>
      </c>
      <c r="F244" s="28" t="s">
        <v>1046</v>
      </c>
      <c r="G244" s="28" t="s">
        <v>1047</v>
      </c>
      <c r="H244" s="28" t="s">
        <v>1047</v>
      </c>
      <c r="J244" s="61" t="s">
        <v>1011</v>
      </c>
      <c r="K244" s="61" t="s">
        <v>1056</v>
      </c>
      <c r="M244" s="62" t="str">
        <f aca="false">IF(COUNT('Reported Financials'!E244:H244)=0,"",IF(SUMPRODUCT(--ISNUMBER('Reported Financials'!E244:H244),--(E244:H244=""))=0,"OK","source missing"))</f>
        <v>OK</v>
      </c>
    </row>
    <row r="245" customFormat="false" ht="15" hidden="false" customHeight="false" outlineLevel="0" collapsed="false">
      <c r="B245" s="27" t="s">
        <v>844</v>
      </c>
      <c r="F245" s="28" t="s">
        <v>1046</v>
      </c>
      <c r="G245" s="28" t="s">
        <v>1047</v>
      </c>
      <c r="H245" s="28" t="s">
        <v>1047</v>
      </c>
      <c r="J245" s="61" t="s">
        <v>844</v>
      </c>
      <c r="K245" s="61" t="s">
        <v>1056</v>
      </c>
      <c r="M245" s="62" t="str">
        <f aca="false">IF(COUNT('Reported Financials'!E245:H245)=0,"",IF(SUMPRODUCT(--ISNUMBER('Reported Financials'!E245:H245),--(E245:H245=""))=0,"OK","source missing"))</f>
        <v>OK</v>
      </c>
    </row>
    <row r="246" customFormat="false" ht="15" hidden="false" customHeight="false" outlineLevel="0" collapsed="false">
      <c r="B246" s="27" t="s">
        <v>848</v>
      </c>
      <c r="F246" s="28" t="s">
        <v>1046</v>
      </c>
      <c r="G246" s="28" t="s">
        <v>1047</v>
      </c>
      <c r="H246" s="28" t="s">
        <v>1047</v>
      </c>
      <c r="J246" s="61" t="s">
        <v>848</v>
      </c>
      <c r="K246" s="61" t="s">
        <v>1056</v>
      </c>
      <c r="M246" s="62" t="str">
        <f aca="false">IF(COUNT('Reported Financials'!E246:H246)=0,"",IF(SUMPRODUCT(--ISNUMBER('Reported Financials'!E246:H246),--(E246:H246=""))=0,"OK","source missing"))</f>
        <v>OK</v>
      </c>
    </row>
    <row r="247" customFormat="false" ht="15" hidden="false" customHeight="false" outlineLevel="0" collapsed="false">
      <c r="B247" s="27" t="s">
        <v>908</v>
      </c>
      <c r="F247" s="28" t="s">
        <v>1046</v>
      </c>
      <c r="G247" s="28" t="s">
        <v>1047</v>
      </c>
      <c r="H247" s="28" t="s">
        <v>1047</v>
      </c>
      <c r="J247" s="61" t="s">
        <v>908</v>
      </c>
      <c r="K247" s="61" t="s">
        <v>1056</v>
      </c>
      <c r="M247" s="62" t="str">
        <f aca="false">IF(COUNT('Reported Financials'!E247:H247)=0,"",IF(SUMPRODUCT(--ISNUMBER('Reported Financials'!E247:H247),--(E247:H247=""))=0,"OK","source missing"))</f>
        <v>OK</v>
      </c>
    </row>
    <row r="248" customFormat="false" ht="15" hidden="false" customHeight="false" outlineLevel="0" collapsed="false">
      <c r="B248" s="27" t="s">
        <v>909</v>
      </c>
      <c r="F248" s="28" t="s">
        <v>1046</v>
      </c>
      <c r="G248" s="28" t="s">
        <v>1047</v>
      </c>
      <c r="H248" s="28" t="s">
        <v>1047</v>
      </c>
      <c r="J248" s="61" t="s">
        <v>909</v>
      </c>
      <c r="K248" s="61" t="s">
        <v>1056</v>
      </c>
      <c r="M248" s="62" t="str">
        <f aca="false">IF(COUNT('Reported Financials'!E248:H248)=0,"",IF(SUMPRODUCT(--ISNUMBER('Reported Financials'!E248:H248),--(E248:H248=""))=0,"OK","source missing"))</f>
        <v>OK</v>
      </c>
    </row>
    <row r="249" customFormat="false" ht="15" hidden="false" customHeight="false" outlineLevel="0" collapsed="false">
      <c r="B249" s="27" t="s">
        <v>923</v>
      </c>
      <c r="E249" s="28" t="s">
        <v>1131</v>
      </c>
      <c r="F249" s="28" t="s">
        <v>1132</v>
      </c>
      <c r="G249" s="28" t="s">
        <v>1133</v>
      </c>
      <c r="H249" s="28" t="s">
        <v>1133</v>
      </c>
      <c r="J249" s="61" t="s">
        <v>923</v>
      </c>
      <c r="K249" s="61" t="s">
        <v>1056</v>
      </c>
      <c r="M249" s="62" t="str">
        <f aca="false">IF(COUNT('Reported Financials'!E249:H249)=0,"",IF(SUMPRODUCT(--ISNUMBER('Reported Financials'!E249:H249),--(E249:H249=""))=0,"OK","source missing"))</f>
        <v>OK</v>
      </c>
    </row>
    <row r="250" customFormat="false" ht="15" hidden="false" customHeight="false" outlineLevel="0" collapsed="false">
      <c r="B250" s="27" t="s">
        <v>935</v>
      </c>
      <c r="E250" s="28" t="s">
        <v>1131</v>
      </c>
      <c r="F250" s="28" t="s">
        <v>1132</v>
      </c>
      <c r="G250" s="28" t="s">
        <v>1133</v>
      </c>
      <c r="H250" s="28" t="s">
        <v>1133</v>
      </c>
      <c r="J250" s="61" t="s">
        <v>935</v>
      </c>
      <c r="K250" s="61" t="s">
        <v>1056</v>
      </c>
      <c r="M250" s="62" t="str">
        <f aca="false">IF(COUNT('Reported Financials'!E250:H250)=0,"",IF(SUMPRODUCT(--ISNUMBER('Reported Financials'!E250:H250),--(E250:H250=""))=0,"OK","source missing"))</f>
        <v>OK</v>
      </c>
    </row>
    <row r="251" customFormat="false" ht="15" hidden="false" customHeight="false" outlineLevel="0" collapsed="false">
      <c r="B251" s="27" t="s">
        <v>936</v>
      </c>
      <c r="E251" s="28" t="s">
        <v>1131</v>
      </c>
      <c r="F251" s="28" t="s">
        <v>1132</v>
      </c>
      <c r="G251" s="28" t="s">
        <v>1133</v>
      </c>
      <c r="H251" s="28" t="s">
        <v>1133</v>
      </c>
      <c r="J251" s="61" t="s">
        <v>936</v>
      </c>
      <c r="K251" s="61" t="s">
        <v>1056</v>
      </c>
      <c r="M251" s="62" t="str">
        <f aca="false">IF(COUNT('Reported Financials'!E251:H251)=0,"",IF(SUMPRODUCT(--ISNUMBER('Reported Financials'!E251:H251),--(E251:H251=""))=0,"OK","source missing"))</f>
        <v>OK</v>
      </c>
    </row>
    <row r="252" customFormat="false" ht="15" hidden="false" customHeight="false" outlineLevel="0" collapsed="false">
      <c r="B252" s="27" t="s">
        <v>943</v>
      </c>
      <c r="E252" s="28" t="s">
        <v>1131</v>
      </c>
      <c r="F252" s="28" t="s">
        <v>1132</v>
      </c>
      <c r="G252" s="28" t="s">
        <v>1133</v>
      </c>
      <c r="H252" s="28" t="s">
        <v>1133</v>
      </c>
      <c r="J252" s="61" t="s">
        <v>943</v>
      </c>
      <c r="K252" s="61" t="s">
        <v>1056</v>
      </c>
      <c r="M252" s="62" t="str">
        <f aca="false">IF(COUNT('Reported Financials'!E252:H252)=0,"",IF(SUMPRODUCT(--ISNUMBER('Reported Financials'!E252:H252),--(E252:H252=""))=0,"OK","source missing"))</f>
        <v>OK</v>
      </c>
    </row>
    <row r="253" customFormat="false" ht="15" hidden="false" customHeight="false" outlineLevel="0" collapsed="false">
      <c r="B253" s="27" t="s">
        <v>945</v>
      </c>
      <c r="E253" s="28" t="s">
        <v>1131</v>
      </c>
      <c r="F253" s="28" t="s">
        <v>1132</v>
      </c>
      <c r="G253" s="28" t="s">
        <v>1133</v>
      </c>
      <c r="H253" s="28" t="s">
        <v>1133</v>
      </c>
      <c r="J253" s="61" t="s">
        <v>945</v>
      </c>
      <c r="K253" s="61" t="s">
        <v>1056</v>
      </c>
      <c r="M253" s="62" t="str">
        <f aca="false">IF(COUNT('Reported Financials'!E253:H253)=0,"",IF(SUMPRODUCT(--ISNUMBER('Reported Financials'!E253:H253),--(E253:H253=""))=0,"OK","source missing"))</f>
        <v>OK</v>
      </c>
    </row>
    <row r="254" customFormat="false" ht="15" hidden="false" customHeight="false" outlineLevel="0" collapsed="false">
      <c r="B254" s="27" t="s">
        <v>952</v>
      </c>
      <c r="E254" s="28" t="s">
        <v>1131</v>
      </c>
      <c r="F254" s="28" t="s">
        <v>1132</v>
      </c>
      <c r="G254" s="28" t="s">
        <v>1133</v>
      </c>
      <c r="H254" s="28" t="s">
        <v>1133</v>
      </c>
      <c r="J254" s="61" t="s">
        <v>952</v>
      </c>
      <c r="K254" s="61" t="s">
        <v>1056</v>
      </c>
      <c r="M254" s="62" t="str">
        <f aca="false">IF(COUNT('Reported Financials'!E254:H254)=0,"",IF(SUMPRODUCT(--ISNUMBER('Reported Financials'!E254:H254),--(E254:H254=""))=0,"OK","source missing"))</f>
        <v>OK</v>
      </c>
    </row>
    <row r="255" customFormat="false" ht="15" hidden="false" customHeight="false" outlineLevel="0" collapsed="false">
      <c r="B255" s="27" t="s">
        <v>961</v>
      </c>
      <c r="E255" s="28" t="s">
        <v>1131</v>
      </c>
      <c r="F255" s="28" t="s">
        <v>1132</v>
      </c>
      <c r="G255" s="28" t="s">
        <v>1133</v>
      </c>
      <c r="H255" s="28" t="s">
        <v>1133</v>
      </c>
      <c r="J255" s="61" t="s">
        <v>961</v>
      </c>
      <c r="K255" s="61" t="s">
        <v>1056</v>
      </c>
      <c r="M255" s="62" t="str">
        <f aca="false">IF(COUNT('Reported Financials'!E255:H255)=0,"",IF(SUMPRODUCT(--ISNUMBER('Reported Financials'!E255:H255),--(E255:H255=""))=0,"OK","source missing"))</f>
        <v>OK</v>
      </c>
    </row>
    <row r="256" customFormat="false" ht="15" hidden="false" customHeight="false" outlineLevel="0" collapsed="false">
      <c r="B256" s="27" t="s">
        <v>962</v>
      </c>
      <c r="E256" s="28" t="s">
        <v>1131</v>
      </c>
      <c r="F256" s="28" t="s">
        <v>1132</v>
      </c>
      <c r="G256" s="28" t="s">
        <v>1133</v>
      </c>
      <c r="H256" s="28" t="s">
        <v>1133</v>
      </c>
      <c r="J256" s="61" t="s">
        <v>962</v>
      </c>
      <c r="K256" s="61" t="s">
        <v>1056</v>
      </c>
      <c r="M256" s="62" t="str">
        <f aca="false">IF(COUNT('Reported Financials'!E256:H256)=0,"",IF(SUMPRODUCT(--ISNUMBER('Reported Financials'!E256:H256),--(E256:H256=""))=0,"OK","source missing"))</f>
        <v>OK</v>
      </c>
    </row>
    <row r="257" customFormat="false" ht="15" hidden="false" customHeight="false" outlineLevel="0" collapsed="false">
      <c r="B257" s="27" t="s">
        <v>1012</v>
      </c>
      <c r="E257" s="28" t="s">
        <v>1136</v>
      </c>
      <c r="F257" s="28" t="s">
        <v>1137</v>
      </c>
      <c r="G257" s="28" t="s">
        <v>1138</v>
      </c>
      <c r="H257" s="28" t="s">
        <v>1138</v>
      </c>
      <c r="J257" s="61" t="s">
        <v>1012</v>
      </c>
      <c r="K257" s="61" t="s">
        <v>1056</v>
      </c>
      <c r="M257" s="62" t="str">
        <f aca="false">IF(COUNT('Reported Financials'!E257:H257)=0,"",IF(SUMPRODUCT(--ISNUMBER('Reported Financials'!E257:H257),--(E257:H257=""))=0,"OK","source missing"))</f>
        <v>OK</v>
      </c>
    </row>
    <row r="258" customFormat="false" ht="15" hidden="false" customHeight="false" outlineLevel="0" collapsed="false">
      <c r="B258" s="27" t="s">
        <v>1013</v>
      </c>
      <c r="E258" s="28" t="s">
        <v>1148</v>
      </c>
      <c r="F258" s="28" t="s">
        <v>1149</v>
      </c>
      <c r="G258" s="28" t="s">
        <v>1123</v>
      </c>
      <c r="H258" s="28" t="s">
        <v>1123</v>
      </c>
      <c r="J258" s="61" t="s">
        <v>1013</v>
      </c>
      <c r="K258" s="61" t="s">
        <v>1056</v>
      </c>
      <c r="M258" s="62" t="str">
        <f aca="false">IF(COUNT('Reported Financials'!E258:H258)=0,"",IF(SUMPRODUCT(--ISNUMBER('Reported Financials'!E258:H258),--(E258:H258=""))=0,"OK","source missing"))</f>
        <v>OK</v>
      </c>
    </row>
    <row r="259" customFormat="false" ht="15" hidden="false" customHeight="false" outlineLevel="0" collapsed="false">
      <c r="B259" s="27" t="s">
        <v>1014</v>
      </c>
      <c r="E259" s="28" t="s">
        <v>1156</v>
      </c>
      <c r="F259" s="28" t="s">
        <v>1157</v>
      </c>
      <c r="G259" s="28" t="s">
        <v>1158</v>
      </c>
      <c r="H259" s="28" t="s">
        <v>1158</v>
      </c>
      <c r="J259" s="61" t="s">
        <v>1014</v>
      </c>
      <c r="K259" s="61" t="s">
        <v>1056</v>
      </c>
      <c r="M259" s="62" t="str">
        <f aca="false">IF(COUNT('Reported Financials'!E259:H259)=0,"",IF(SUMPRODUCT(--ISNUMBER('Reported Financials'!E259:H259),--(E259:H259=""))=0,"OK","source missing"))</f>
        <v>OK</v>
      </c>
    </row>
    <row r="261" customFormat="false" ht="15" hidden="false" customHeight="false" outlineLevel="0" collapsed="false">
      <c r="B261" s="37" t="s">
        <v>1015</v>
      </c>
    </row>
    <row r="262" customFormat="false" ht="15" hidden="false" customHeight="false" outlineLevel="0" collapsed="false">
      <c r="B262" s="27" t="s">
        <v>1016</v>
      </c>
      <c r="E262" s="63" t="s">
        <v>1049</v>
      </c>
      <c r="F262" s="63" t="s">
        <v>1049</v>
      </c>
      <c r="G262" s="63" t="s">
        <v>1049</v>
      </c>
      <c r="H262" s="63" t="s">
        <v>1049</v>
      </c>
      <c r="K262" s="64" t="s">
        <v>1050</v>
      </c>
    </row>
    <row r="263" customFormat="false" ht="15" hidden="false" customHeight="false" outlineLevel="0" collapsed="false">
      <c r="B263" s="27" t="s">
        <v>1017</v>
      </c>
      <c r="F263" s="63" t="s">
        <v>1049</v>
      </c>
      <c r="G263" s="63" t="s">
        <v>1049</v>
      </c>
      <c r="H263" s="63" t="s">
        <v>1049</v>
      </c>
      <c r="K263" s="64" t="s">
        <v>1050</v>
      </c>
    </row>
    <row r="264" customFormat="false" ht="15" hidden="false" customHeight="false" outlineLevel="0" collapsed="false">
      <c r="B264" s="27" t="s">
        <v>1018</v>
      </c>
      <c r="F264" s="63" t="s">
        <v>1049</v>
      </c>
      <c r="G264" s="63" t="s">
        <v>1049</v>
      </c>
      <c r="H264" s="63" t="s">
        <v>1049</v>
      </c>
      <c r="K264" s="64" t="s">
        <v>1050</v>
      </c>
    </row>
    <row r="265" customFormat="false" ht="15" hidden="false" customHeight="false" outlineLevel="0" collapsed="false">
      <c r="B265" s="27" t="s">
        <v>1019</v>
      </c>
      <c r="F265" s="63" t="s">
        <v>1049</v>
      </c>
      <c r="G265" s="63" t="s">
        <v>1049</v>
      </c>
      <c r="H265" s="63" t="s">
        <v>1049</v>
      </c>
      <c r="K265" s="64" t="s">
        <v>1050</v>
      </c>
    </row>
    <row r="266" customFormat="false" ht="15" hidden="false" customHeight="false" outlineLevel="0" collapsed="false">
      <c r="B266" s="27" t="s">
        <v>1020</v>
      </c>
      <c r="F266" s="63" t="s">
        <v>1049</v>
      </c>
      <c r="G266" s="63" t="s">
        <v>1049</v>
      </c>
      <c r="H266" s="63" t="s">
        <v>1049</v>
      </c>
      <c r="K266" s="64" t="s">
        <v>1050</v>
      </c>
    </row>
    <row r="267" customFormat="false" ht="15" hidden="false" customHeight="false" outlineLevel="0" collapsed="false">
      <c r="B267" s="27" t="s">
        <v>1021</v>
      </c>
      <c r="F267" s="63" t="s">
        <v>1049</v>
      </c>
      <c r="G267" s="63" t="s">
        <v>1049</v>
      </c>
      <c r="H267" s="63" t="s">
        <v>1049</v>
      </c>
      <c r="K267" s="64" t="s">
        <v>1050</v>
      </c>
    </row>
    <row r="268" customFormat="false" ht="15" hidden="false" customHeight="false" outlineLevel="0" collapsed="false">
      <c r="B268" s="27" t="s">
        <v>1022</v>
      </c>
      <c r="F268" s="63" t="s">
        <v>1049</v>
      </c>
      <c r="G268" s="63" t="s">
        <v>1049</v>
      </c>
      <c r="H268" s="63" t="s">
        <v>1049</v>
      </c>
      <c r="K268" s="64" t="s">
        <v>1050</v>
      </c>
    </row>
    <row r="269" customFormat="false" ht="15" hidden="false" customHeight="false" outlineLevel="0" collapsed="false">
      <c r="B269" s="27" t="s">
        <v>1023</v>
      </c>
      <c r="F269" s="63" t="s">
        <v>1049</v>
      </c>
      <c r="G269" s="63" t="s">
        <v>1049</v>
      </c>
      <c r="H269" s="63" t="s">
        <v>1049</v>
      </c>
      <c r="K269" s="64" t="s">
        <v>1050</v>
      </c>
    </row>
    <row r="270" customFormat="false" ht="15" hidden="false" customHeight="false" outlineLevel="0" collapsed="false">
      <c r="B270" s="27" t="s">
        <v>1024</v>
      </c>
      <c r="F270" s="63" t="s">
        <v>1049</v>
      </c>
      <c r="G270" s="63" t="s">
        <v>1049</v>
      </c>
      <c r="H270" s="63" t="s">
        <v>1049</v>
      </c>
      <c r="K270" s="64" t="s">
        <v>1050</v>
      </c>
    </row>
    <row r="271" customFormat="false" ht="15" hidden="false" customHeight="false" outlineLevel="0" collapsed="false">
      <c r="B271" s="27" t="s">
        <v>1025</v>
      </c>
      <c r="E271" s="63" t="s">
        <v>1049</v>
      </c>
      <c r="F271" s="63" t="s">
        <v>1049</v>
      </c>
      <c r="G271" s="63" t="s">
        <v>1049</v>
      </c>
      <c r="H271" s="63" t="s">
        <v>1049</v>
      </c>
      <c r="K271" s="64" t="s">
        <v>1050</v>
      </c>
    </row>
    <row r="272" customFormat="false" ht="15" hidden="false" customHeight="false" outlineLevel="0" collapsed="false">
      <c r="B272" s="27" t="s">
        <v>1026</v>
      </c>
      <c r="E272" s="63" t="s">
        <v>1049</v>
      </c>
      <c r="F272" s="63" t="s">
        <v>1049</v>
      </c>
      <c r="G272" s="63" t="s">
        <v>1049</v>
      </c>
      <c r="H272" s="63" t="s">
        <v>1049</v>
      </c>
      <c r="K272" s="64" t="s">
        <v>1050</v>
      </c>
    </row>
    <row r="273" customFormat="false" ht="15" hidden="false" customHeight="false" outlineLevel="0" collapsed="false">
      <c r="B273" s="27" t="s">
        <v>1027</v>
      </c>
      <c r="E273" s="63" t="s">
        <v>1049</v>
      </c>
      <c r="F273" s="63" t="s">
        <v>1049</v>
      </c>
      <c r="G273" s="63" t="s">
        <v>1049</v>
      </c>
      <c r="H273" s="63" t="s">
        <v>1049</v>
      </c>
      <c r="K273" s="64" t="s">
        <v>1050</v>
      </c>
    </row>
    <row r="274" customFormat="false" ht="15" hidden="false" customHeight="false" outlineLevel="0" collapsed="false">
      <c r="B274" s="27" t="s">
        <v>1028</v>
      </c>
      <c r="E274" s="63" t="s">
        <v>1049</v>
      </c>
      <c r="F274" s="63" t="s">
        <v>1049</v>
      </c>
      <c r="G274" s="63" t="s">
        <v>1049</v>
      </c>
      <c r="H274" s="63" t="s">
        <v>1049</v>
      </c>
      <c r="K274" s="64" t="s">
        <v>1050</v>
      </c>
    </row>
    <row r="275" customFormat="false" ht="15" hidden="false" customHeight="false" outlineLevel="0" collapsed="false">
      <c r="B275" s="27" t="s">
        <v>1029</v>
      </c>
      <c r="E275" s="63" t="s">
        <v>1049</v>
      </c>
      <c r="F275" s="63" t="s">
        <v>1049</v>
      </c>
      <c r="G275" s="63" t="s">
        <v>1049</v>
      </c>
      <c r="H275" s="63" t="s">
        <v>1049</v>
      </c>
      <c r="K275" s="64" t="s">
        <v>1050</v>
      </c>
    </row>
    <row r="276" customFormat="false" ht="15" hidden="false" customHeight="false" outlineLevel="0" collapsed="false">
      <c r="B276" s="27" t="s">
        <v>1030</v>
      </c>
      <c r="E276" s="63" t="s">
        <v>1049</v>
      </c>
      <c r="F276" s="63" t="s">
        <v>1049</v>
      </c>
      <c r="G276" s="63" t="s">
        <v>1049</v>
      </c>
      <c r="H276" s="63" t="s">
        <v>1049</v>
      </c>
      <c r="K276" s="64" t="s">
        <v>1050</v>
      </c>
    </row>
    <row r="277" customFormat="false" ht="15" hidden="false" customHeight="false" outlineLevel="0" collapsed="false">
      <c r="B277" s="27" t="s">
        <v>1031</v>
      </c>
      <c r="E277" s="63" t="s">
        <v>1049</v>
      </c>
      <c r="F277" s="63" t="s">
        <v>1049</v>
      </c>
      <c r="G277" s="63" t="s">
        <v>1049</v>
      </c>
      <c r="H277" s="63" t="s">
        <v>1049</v>
      </c>
      <c r="K277" s="64" t="s">
        <v>1050</v>
      </c>
    </row>
    <row r="278" customFormat="false" ht="15" hidden="false" customHeight="false" outlineLevel="0" collapsed="false">
      <c r="B278" s="27" t="s">
        <v>1032</v>
      </c>
      <c r="E278" s="63" t="s">
        <v>1049</v>
      </c>
      <c r="F278" s="63" t="s">
        <v>1049</v>
      </c>
      <c r="G278" s="63" t="s">
        <v>1049</v>
      </c>
      <c r="H278" s="63" t="s">
        <v>1049</v>
      </c>
      <c r="K278" s="64" t="s">
        <v>1050</v>
      </c>
    </row>
    <row r="279" customFormat="false" ht="15" hidden="false" customHeight="false" outlineLevel="0" collapsed="false">
      <c r="B279" s="27" t="s">
        <v>1033</v>
      </c>
      <c r="E279" s="63" t="s">
        <v>1049</v>
      </c>
      <c r="F279" s="63" t="s">
        <v>1049</v>
      </c>
      <c r="G279" s="63" t="s">
        <v>1049</v>
      </c>
      <c r="H279" s="63" t="s">
        <v>1049</v>
      </c>
      <c r="K279" s="64" t="s">
        <v>1050</v>
      </c>
    </row>
    <row r="280" customFormat="false" ht="15" hidden="false" customHeight="false" outlineLevel="0" collapsed="false">
      <c r="B280" s="27" t="s">
        <v>1034</v>
      </c>
      <c r="E280" s="63" t="s">
        <v>1049</v>
      </c>
      <c r="F280" s="63" t="s">
        <v>1049</v>
      </c>
      <c r="G280" s="63" t="s">
        <v>1049</v>
      </c>
      <c r="H280" s="63" t="s">
        <v>1049</v>
      </c>
      <c r="K280" s="64" t="s">
        <v>1050</v>
      </c>
    </row>
    <row r="281" customFormat="false" ht="15" hidden="false" customHeight="false" outlineLevel="0" collapsed="false">
      <c r="B281" s="27" t="s">
        <v>1035</v>
      </c>
      <c r="E281" s="63" t="s">
        <v>1049</v>
      </c>
      <c r="F281" s="63" t="s">
        <v>1049</v>
      </c>
      <c r="G281" s="63" t="s">
        <v>1049</v>
      </c>
      <c r="H281" s="63" t="s">
        <v>1049</v>
      </c>
      <c r="K281" s="64" t="s">
        <v>1050</v>
      </c>
    </row>
    <row r="282" customFormat="false" ht="15" hidden="false" customHeight="false" outlineLevel="0" collapsed="false">
      <c r="B282" s="27" t="s">
        <v>780</v>
      </c>
      <c r="F282" s="63" t="s">
        <v>1049</v>
      </c>
      <c r="G282" s="63" t="s">
        <v>1049</v>
      </c>
      <c r="H282" s="63" t="s">
        <v>1049</v>
      </c>
      <c r="K282" s="64" t="s">
        <v>1050</v>
      </c>
    </row>
    <row r="283" customFormat="false" ht="15" hidden="false" customHeight="false" outlineLevel="0" collapsed="false">
      <c r="B283" s="27" t="s">
        <v>786</v>
      </c>
      <c r="F283" s="63" t="s">
        <v>1049</v>
      </c>
      <c r="G283" s="63" t="s">
        <v>1049</v>
      </c>
      <c r="H283" s="63" t="s">
        <v>1049</v>
      </c>
      <c r="K283" s="64" t="s">
        <v>1050</v>
      </c>
    </row>
    <row r="284" customFormat="false" ht="15" hidden="false" customHeight="false" outlineLevel="0" collapsed="false">
      <c r="B284" s="27" t="s">
        <v>787</v>
      </c>
      <c r="F284" s="63" t="s">
        <v>1049</v>
      </c>
      <c r="G284" s="63" t="s">
        <v>1049</v>
      </c>
      <c r="H284" s="63" t="s">
        <v>1049</v>
      </c>
      <c r="K284" s="64" t="s">
        <v>1050</v>
      </c>
    </row>
    <row r="285" customFormat="false" ht="15" hidden="false" customHeight="false" outlineLevel="0" collapsed="false">
      <c r="B285" s="27" t="s">
        <v>798</v>
      </c>
      <c r="F285" s="63" t="s">
        <v>1049</v>
      </c>
      <c r="G285" s="63" t="s">
        <v>1049</v>
      </c>
      <c r="H285" s="63" t="s">
        <v>1049</v>
      </c>
      <c r="K285" s="64" t="s">
        <v>1050</v>
      </c>
    </row>
    <row r="286" customFormat="false" ht="15" hidden="false" customHeight="false" outlineLevel="0" collapsed="false">
      <c r="B286" s="27" t="s">
        <v>803</v>
      </c>
      <c r="F286" s="63" t="s">
        <v>1049</v>
      </c>
      <c r="G286" s="63" t="s">
        <v>1049</v>
      </c>
      <c r="H286" s="63" t="s">
        <v>1049</v>
      </c>
      <c r="K286" s="64" t="s">
        <v>1050</v>
      </c>
    </row>
    <row r="287" customFormat="false" ht="15" hidden="false" customHeight="false" outlineLevel="0" collapsed="false">
      <c r="B287" s="27" t="s">
        <v>809</v>
      </c>
      <c r="F287" s="63" t="s">
        <v>1049</v>
      </c>
      <c r="G287" s="63" t="s">
        <v>1049</v>
      </c>
      <c r="H287" s="63" t="s">
        <v>1049</v>
      </c>
      <c r="K287" s="64" t="s">
        <v>1050</v>
      </c>
    </row>
    <row r="288" customFormat="false" ht="15" hidden="false" customHeight="false" outlineLevel="0" collapsed="false">
      <c r="B288" s="27" t="s">
        <v>813</v>
      </c>
      <c r="F288" s="63" t="s">
        <v>1049</v>
      </c>
      <c r="G288" s="63" t="s">
        <v>1049</v>
      </c>
      <c r="H288" s="63" t="s">
        <v>1049</v>
      </c>
      <c r="K288" s="64" t="s">
        <v>1050</v>
      </c>
    </row>
    <row r="289" customFormat="false" ht="15" hidden="false" customHeight="false" outlineLevel="0" collapsed="false">
      <c r="B289" s="27" t="s">
        <v>1010</v>
      </c>
      <c r="F289" s="63" t="s">
        <v>1049</v>
      </c>
      <c r="G289" s="63" t="s">
        <v>1049</v>
      </c>
      <c r="H289" s="63" t="s">
        <v>1049</v>
      </c>
      <c r="K289" s="64" t="s">
        <v>1050</v>
      </c>
    </row>
    <row r="290" customFormat="false" ht="15" hidden="false" customHeight="false" outlineLevel="0" collapsed="false">
      <c r="B290" s="27" t="s">
        <v>1011</v>
      </c>
      <c r="F290" s="63" t="s">
        <v>1049</v>
      </c>
      <c r="G290" s="63" t="s">
        <v>1049</v>
      </c>
      <c r="H290" s="63" t="s">
        <v>1049</v>
      </c>
      <c r="K290" s="64" t="s">
        <v>1050</v>
      </c>
    </row>
    <row r="291" customFormat="false" ht="15" hidden="false" customHeight="false" outlineLevel="0" collapsed="false">
      <c r="B291" s="27" t="s">
        <v>844</v>
      </c>
      <c r="F291" s="63" t="s">
        <v>1049</v>
      </c>
      <c r="G291" s="63" t="s">
        <v>1049</v>
      </c>
      <c r="H291" s="63" t="s">
        <v>1049</v>
      </c>
      <c r="K291" s="64" t="s">
        <v>1050</v>
      </c>
    </row>
    <row r="292" customFormat="false" ht="15" hidden="false" customHeight="false" outlineLevel="0" collapsed="false">
      <c r="B292" s="27" t="s">
        <v>848</v>
      </c>
      <c r="F292" s="63" t="s">
        <v>1049</v>
      </c>
      <c r="G292" s="63" t="s">
        <v>1049</v>
      </c>
      <c r="H292" s="63" t="s">
        <v>1049</v>
      </c>
      <c r="K292" s="64" t="s">
        <v>1050</v>
      </c>
    </row>
    <row r="293" customFormat="false" ht="15" hidden="false" customHeight="false" outlineLevel="0" collapsed="false">
      <c r="B293" s="27" t="s">
        <v>908</v>
      </c>
      <c r="F293" s="63" t="s">
        <v>1049</v>
      </c>
      <c r="G293" s="63" t="s">
        <v>1049</v>
      </c>
      <c r="H293" s="63" t="s">
        <v>1049</v>
      </c>
      <c r="K293" s="64" t="s">
        <v>1050</v>
      </c>
    </row>
    <row r="294" customFormat="false" ht="15" hidden="false" customHeight="false" outlineLevel="0" collapsed="false">
      <c r="B294" s="27" t="s">
        <v>909</v>
      </c>
      <c r="F294" s="63" t="s">
        <v>1049</v>
      </c>
      <c r="G294" s="63" t="s">
        <v>1049</v>
      </c>
      <c r="H294" s="63" t="s">
        <v>1049</v>
      </c>
      <c r="K294" s="64" t="s">
        <v>1050</v>
      </c>
    </row>
    <row r="295" customFormat="false" ht="15" hidden="false" customHeight="false" outlineLevel="0" collapsed="false">
      <c r="B295" s="27" t="s">
        <v>923</v>
      </c>
      <c r="E295" s="63" t="s">
        <v>1049</v>
      </c>
      <c r="F295" s="63" t="s">
        <v>1049</v>
      </c>
      <c r="G295" s="63" t="s">
        <v>1049</v>
      </c>
      <c r="H295" s="63" t="s">
        <v>1049</v>
      </c>
      <c r="K295" s="64" t="s">
        <v>1050</v>
      </c>
    </row>
    <row r="296" customFormat="false" ht="15" hidden="false" customHeight="false" outlineLevel="0" collapsed="false">
      <c r="B296" s="27" t="s">
        <v>935</v>
      </c>
      <c r="E296" s="63" t="s">
        <v>1049</v>
      </c>
      <c r="F296" s="63" t="s">
        <v>1049</v>
      </c>
      <c r="G296" s="63" t="s">
        <v>1049</v>
      </c>
      <c r="H296" s="63" t="s">
        <v>1049</v>
      </c>
      <c r="K296" s="64" t="s">
        <v>1050</v>
      </c>
    </row>
    <row r="297" customFormat="false" ht="15" hidden="false" customHeight="false" outlineLevel="0" collapsed="false">
      <c r="B297" s="27" t="s">
        <v>936</v>
      </c>
      <c r="E297" s="63" t="s">
        <v>1049</v>
      </c>
      <c r="F297" s="63" t="s">
        <v>1049</v>
      </c>
      <c r="G297" s="63" t="s">
        <v>1049</v>
      </c>
      <c r="H297" s="63" t="s">
        <v>1049</v>
      </c>
      <c r="K297" s="64" t="s">
        <v>1050</v>
      </c>
    </row>
    <row r="298" customFormat="false" ht="15" hidden="false" customHeight="false" outlineLevel="0" collapsed="false">
      <c r="B298" s="27" t="s">
        <v>943</v>
      </c>
      <c r="E298" s="63" t="s">
        <v>1049</v>
      </c>
      <c r="F298" s="63" t="s">
        <v>1049</v>
      </c>
      <c r="G298" s="63" t="s">
        <v>1049</v>
      </c>
      <c r="H298" s="63" t="s">
        <v>1049</v>
      </c>
      <c r="K298" s="64" t="s">
        <v>1050</v>
      </c>
    </row>
    <row r="299" customFormat="false" ht="15" hidden="false" customHeight="false" outlineLevel="0" collapsed="false">
      <c r="B299" s="27" t="s">
        <v>945</v>
      </c>
      <c r="E299" s="63" t="s">
        <v>1049</v>
      </c>
      <c r="F299" s="63" t="s">
        <v>1049</v>
      </c>
      <c r="G299" s="63" t="s">
        <v>1049</v>
      </c>
      <c r="H299" s="63" t="s">
        <v>1049</v>
      </c>
      <c r="K299" s="64" t="s">
        <v>1050</v>
      </c>
    </row>
    <row r="300" customFormat="false" ht="15" hidden="false" customHeight="false" outlineLevel="0" collapsed="false">
      <c r="B300" s="27" t="s">
        <v>952</v>
      </c>
      <c r="E300" s="63" t="s">
        <v>1049</v>
      </c>
      <c r="F300" s="63" t="s">
        <v>1049</v>
      </c>
      <c r="G300" s="63" t="s">
        <v>1049</v>
      </c>
      <c r="H300" s="63" t="s">
        <v>1049</v>
      </c>
      <c r="K300" s="64" t="s">
        <v>1050</v>
      </c>
    </row>
    <row r="301" customFormat="false" ht="15" hidden="false" customHeight="false" outlineLevel="0" collapsed="false">
      <c r="B301" s="27" t="s">
        <v>961</v>
      </c>
      <c r="E301" s="63" t="s">
        <v>1049</v>
      </c>
      <c r="F301" s="63" t="s">
        <v>1049</v>
      </c>
      <c r="G301" s="63" t="s">
        <v>1049</v>
      </c>
      <c r="H301" s="63" t="s">
        <v>1049</v>
      </c>
      <c r="K301" s="64" t="s">
        <v>1050</v>
      </c>
    </row>
    <row r="302" customFormat="false" ht="15" hidden="false" customHeight="false" outlineLevel="0" collapsed="false">
      <c r="B302" s="27" t="s">
        <v>962</v>
      </c>
      <c r="E302" s="63" t="s">
        <v>1049</v>
      </c>
      <c r="F302" s="63" t="s">
        <v>1049</v>
      </c>
      <c r="G302" s="63" t="s">
        <v>1049</v>
      </c>
      <c r="H302" s="63" t="s">
        <v>1049</v>
      </c>
      <c r="K302" s="64" t="s">
        <v>1050</v>
      </c>
    </row>
    <row r="303" customFormat="false" ht="15" hidden="false" customHeight="false" outlineLevel="0" collapsed="false">
      <c r="B303" s="27" t="s">
        <v>1012</v>
      </c>
      <c r="E303" s="63" t="s">
        <v>1049</v>
      </c>
      <c r="F303" s="63" t="s">
        <v>1049</v>
      </c>
      <c r="G303" s="63" t="s">
        <v>1049</v>
      </c>
      <c r="H303" s="63" t="s">
        <v>1049</v>
      </c>
      <c r="K303" s="64" t="s">
        <v>1050</v>
      </c>
    </row>
    <row r="304" customFormat="false" ht="15" hidden="false" customHeight="false" outlineLevel="0" collapsed="false">
      <c r="B304" s="27" t="s">
        <v>1013</v>
      </c>
      <c r="E304" s="63" t="s">
        <v>1049</v>
      </c>
      <c r="F304" s="63" t="s">
        <v>1049</v>
      </c>
      <c r="G304" s="63" t="s">
        <v>1049</v>
      </c>
      <c r="H304" s="63" t="s">
        <v>1049</v>
      </c>
      <c r="K304" s="64" t="s">
        <v>1050</v>
      </c>
    </row>
    <row r="305" customFormat="false" ht="15" hidden="false" customHeight="false" outlineLevel="0" collapsed="false">
      <c r="B305" s="27" t="s">
        <v>1014</v>
      </c>
      <c r="E305" s="63" t="s">
        <v>1049</v>
      </c>
      <c r="F305" s="63" t="s">
        <v>1049</v>
      </c>
      <c r="G305" s="63" t="s">
        <v>1049</v>
      </c>
      <c r="H305" s="63" t="s">
        <v>1049</v>
      </c>
      <c r="K305" s="64" t="s">
        <v>1050</v>
      </c>
    </row>
    <row r="306" customFormat="false" ht="15" hidden="false" customHeight="false" outlineLevel="0" collapsed="false">
      <c r="B306" s="27" t="s">
        <v>1036</v>
      </c>
      <c r="E306" s="63" t="s">
        <v>1049</v>
      </c>
      <c r="F306" s="63" t="s">
        <v>1049</v>
      </c>
      <c r="G306" s="63" t="s">
        <v>1049</v>
      </c>
      <c r="H306" s="63" t="s">
        <v>1049</v>
      </c>
      <c r="K306" s="64" t="s">
        <v>1050</v>
      </c>
    </row>
    <row r="307" customFormat="false" ht="15" hidden="false" customHeight="false" outlineLevel="0" collapsed="false">
      <c r="B307" s="27" t="s">
        <v>1037</v>
      </c>
      <c r="E307" s="63" t="s">
        <v>1049</v>
      </c>
      <c r="F307" s="63" t="s">
        <v>1049</v>
      </c>
      <c r="G307" s="63" t="s">
        <v>1049</v>
      </c>
      <c r="H307" s="63" t="s">
        <v>1049</v>
      </c>
      <c r="K307" s="64" t="s">
        <v>1050</v>
      </c>
    </row>
    <row r="308" customFormat="false" ht="15" hidden="false" customHeight="false" outlineLevel="0" collapsed="false">
      <c r="B308" s="27" t="s">
        <v>1038</v>
      </c>
      <c r="E308" s="63" t="s">
        <v>1049</v>
      </c>
      <c r="F308" s="63" t="s">
        <v>1049</v>
      </c>
      <c r="G308" s="63" t="s">
        <v>1049</v>
      </c>
      <c r="H308" s="63" t="s">
        <v>1049</v>
      </c>
      <c r="K308" s="64" t="s">
        <v>1050</v>
      </c>
    </row>
    <row r="309" customFormat="false" ht="15" hidden="false" customHeight="false" outlineLevel="0" collapsed="false">
      <c r="B309" s="27" t="s">
        <v>1039</v>
      </c>
      <c r="F309" s="63" t="s">
        <v>1049</v>
      </c>
      <c r="G309" s="63" t="s">
        <v>1049</v>
      </c>
      <c r="H309" s="63" t="s">
        <v>1049</v>
      </c>
      <c r="K309" s="64" t="s">
        <v>1050</v>
      </c>
    </row>
    <row r="310" customFormat="false" ht="15" hidden="false" customHeight="false" outlineLevel="0" collapsed="false">
      <c r="B310" s="27" t="s">
        <v>1040</v>
      </c>
      <c r="F310" s="63" t="s">
        <v>1049</v>
      </c>
      <c r="G310" s="63" t="s">
        <v>1049</v>
      </c>
      <c r="H310" s="63" t="s">
        <v>1049</v>
      </c>
      <c r="K310" s="64" t="s">
        <v>1050</v>
      </c>
    </row>
    <row r="311" customFormat="false" ht="15" hidden="false" customHeight="false" outlineLevel="0" collapsed="false">
      <c r="B311" s="27" t="s">
        <v>1041</v>
      </c>
      <c r="F311" s="63" t="s">
        <v>1049</v>
      </c>
      <c r="G311" s="63" t="s">
        <v>1049</v>
      </c>
      <c r="H311" s="63" t="s">
        <v>1049</v>
      </c>
      <c r="K311" s="64" t="s">
        <v>1050</v>
      </c>
    </row>
    <row r="313" customFormat="false" ht="15" hidden="false" customHeight="false" outlineLevel="0" collapsed="false">
      <c r="B313" s="54" t="s">
        <v>1176</v>
      </c>
      <c r="C313" s="14"/>
      <c r="D313" s="14"/>
      <c r="E313" s="14"/>
      <c r="F313" s="14"/>
      <c r="G313" s="14"/>
      <c r="H313" s="14"/>
      <c r="M313" s="55" t="str">
        <f aca="false">IF(COUNTIF(M10:M312,"source missing")=0,"ALL OK",COUNTIF(M10:M312,"source missing")&amp;" missing")</f>
        <v>ALL OK</v>
      </c>
    </row>
    <row r="315" customFormat="false" ht="15" hidden="false" customHeight="false" outlineLevel="0" collapsed="false">
      <c r="A315" s="25" t="s">
        <v>11</v>
      </c>
      <c r="B315" s="16" t="s">
        <v>431</v>
      </c>
    </row>
  </sheetData>
  <conditionalFormatting sqref="M10:M313">
    <cfRule type="cellIs" priority="2" operator="equal" aboveAverage="0" equalAverage="0" bottom="0" percent="0" rank="0" text="" dxfId="2">
      <formula>"OK"</formula>
    </cfRule>
    <cfRule type="cellIs" priority="3" operator="equal" aboveAverage="0" equalAverage="0" bottom="0" percent="0" rank="0" text="" dxfId="2">
      <formula>"ALL OK"</formula>
    </cfRule>
    <cfRule type="cellIs" priority="4" operator="equal" aboveAverage="0" equalAverage="0" bottom="0" percent="0" rank="0" text="" dxfId="1">
      <formula>"source missing"</formula>
    </cfRule>
  </conditionalFormatting>
  <printOptions headings="false" gridLines="false" gridLinesSet="true" horizontalCentered="false" verticalCentered="false"/>
  <pageMargins left="0.4" right="0.4" top="0.4" bottom="0.4"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A1:N74"/>
  <sheetViews>
    <sheetView showFormulas="false" showGridLines="false" showRowColHeaders="true" showZeros="true" rightToLeft="false" tabSelected="false" showOutlineSymbols="true" defaultGridColor="true" view="pageBreakPreview" topLeftCell="A1" colorId="64" zoomScale="85" zoomScaleNormal="100" zoomScalePageLayoutView="85"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2" min="2" style="0" width="9"/>
    <col collapsed="false" customWidth="true" hidden="false" outlineLevel="0" max="3" min="3" style="0" width="11"/>
    <col collapsed="false" customWidth="true" hidden="false" outlineLevel="0" max="4" min="4" style="0" width="12"/>
    <col collapsed="false" customWidth="true" hidden="false" outlineLevel="0" max="5" min="5" style="0" width="10"/>
    <col collapsed="false" customWidth="true" hidden="false" outlineLevel="0" max="6" min="6" style="0" width="22"/>
    <col collapsed="false" customWidth="true" hidden="false" outlineLevel="0" max="7" min="7" style="0" width="42"/>
    <col collapsed="false" customWidth="true" hidden="false" outlineLevel="0" max="8" min="8" style="0" width="36"/>
    <col collapsed="false" customWidth="true" hidden="false" outlineLevel="0" max="10" min="9" style="0" width="34"/>
    <col collapsed="false" customWidth="true" hidden="false" outlineLevel="0" max="11" min="11" style="0" width="36"/>
    <col collapsed="false" customWidth="true" hidden="false" outlineLevel="0" max="13" min="12" style="0" width="26"/>
    <col collapsed="false" customWidth="true" hidden="false" outlineLevel="0" max="14" min="14" style="0" width="3"/>
  </cols>
  <sheetData>
    <row r="1" customFormat="false" ht="12" hidden="false" customHeight="true" outlineLevel="0" collapsed="false">
      <c r="A1" s="14"/>
      <c r="B1" s="14"/>
      <c r="C1" s="14"/>
      <c r="D1" s="14"/>
      <c r="E1" s="14"/>
      <c r="F1" s="14"/>
      <c r="G1" s="14"/>
      <c r="H1" s="14"/>
      <c r="I1" s="14"/>
      <c r="J1" s="14"/>
      <c r="K1" s="14"/>
      <c r="L1" s="14"/>
      <c r="M1" s="14"/>
      <c r="N1" s="14"/>
    </row>
    <row r="2" customFormat="false" ht="12" hidden="false" customHeight="true" outlineLevel="0" collapsed="false">
      <c r="A2" s="14"/>
      <c r="B2" s="14"/>
      <c r="C2" s="14"/>
      <c r="D2" s="14"/>
      <c r="E2" s="14"/>
      <c r="F2" s="14"/>
      <c r="G2" s="14"/>
      <c r="H2" s="14"/>
      <c r="I2" s="14"/>
      <c r="J2" s="14"/>
      <c r="K2" s="14"/>
      <c r="L2" s="14"/>
      <c r="M2" s="14"/>
      <c r="N2" s="14"/>
    </row>
    <row r="3" customFormat="false" ht="23.25" hidden="false" customHeight="true" outlineLevel="0" collapsed="false">
      <c r="A3" s="14"/>
      <c r="B3" s="15" t="str">
        <f aca="true">MID(CELL("filename",B3),FIND("]",CELL("filename",B3))+1,256)</f>
        <v>Log</v>
      </c>
      <c r="C3" s="14"/>
      <c r="D3" s="14"/>
      <c r="E3" s="14"/>
      <c r="F3" s="14"/>
      <c r="G3" s="14"/>
      <c r="H3" s="14"/>
      <c r="I3" s="14"/>
      <c r="J3" s="14"/>
      <c r="K3" s="14"/>
      <c r="L3" s="14"/>
      <c r="M3" s="14"/>
      <c r="N3" s="14"/>
    </row>
    <row r="4" customFormat="false" ht="12" hidden="false" customHeight="true" outlineLevel="0" collapsed="false"/>
    <row r="5" customFormat="false" ht="12" hidden="false" customHeight="true" outlineLevel="0" collapsed="false"/>
    <row r="7" customFormat="false" ht="15" hidden="false" customHeight="false" outlineLevel="0" collapsed="false">
      <c r="A7" s="25" t="s">
        <v>11</v>
      </c>
      <c r="B7" s="26" t="s">
        <v>1177</v>
      </c>
      <c r="C7" s="14"/>
      <c r="D7" s="14"/>
      <c r="E7" s="14"/>
      <c r="F7" s="14"/>
      <c r="G7" s="14"/>
      <c r="H7" s="14"/>
      <c r="I7" s="14"/>
      <c r="J7" s="14"/>
      <c r="K7" s="14"/>
      <c r="L7" s="14"/>
      <c r="M7" s="14"/>
    </row>
    <row r="9" customFormat="false" ht="42" hidden="false" customHeight="true" outlineLevel="0" collapsed="false">
      <c r="B9" s="67" t="s">
        <v>1178</v>
      </c>
      <c r="C9" s="67" t="s">
        <v>1179</v>
      </c>
      <c r="D9" s="67" t="s">
        <v>1180</v>
      </c>
      <c r="E9" s="67" t="s">
        <v>1181</v>
      </c>
      <c r="F9" s="67" t="s">
        <v>1182</v>
      </c>
      <c r="G9" s="67" t="s">
        <v>1183</v>
      </c>
      <c r="H9" s="67" t="s">
        <v>1184</v>
      </c>
      <c r="I9" s="67" t="s">
        <v>1185</v>
      </c>
      <c r="J9" s="67" t="s">
        <v>1186</v>
      </c>
      <c r="K9" s="67" t="s">
        <v>1187</v>
      </c>
      <c r="L9" s="67" t="s">
        <v>1188</v>
      </c>
      <c r="M9" s="67" t="s">
        <v>1189</v>
      </c>
    </row>
    <row r="10" customFormat="false" ht="32.8" hidden="false" customHeight="false" outlineLevel="0" collapsed="false">
      <c r="B10" s="68" t="s">
        <v>1190</v>
      </c>
      <c r="C10" s="69" t="n">
        <v>46292</v>
      </c>
      <c r="D10" s="70" t="s">
        <v>1191</v>
      </c>
      <c r="E10" s="70" t="s">
        <v>1192</v>
      </c>
      <c r="F10" s="70" t="s">
        <v>1193</v>
      </c>
      <c r="G10" s="70" t="s">
        <v>1194</v>
      </c>
      <c r="H10" s="70" t="s">
        <v>1195</v>
      </c>
      <c r="I10" s="70" t="s">
        <v>1196</v>
      </c>
      <c r="J10" s="70" t="s">
        <v>1197</v>
      </c>
      <c r="K10" s="70" t="s">
        <v>1198</v>
      </c>
      <c r="L10" s="70" t="s">
        <v>1199</v>
      </c>
      <c r="M10" s="70" t="s">
        <v>1200</v>
      </c>
    </row>
    <row r="11" customFormat="false" ht="43.25" hidden="false" customHeight="false" outlineLevel="0" collapsed="false">
      <c r="B11" s="68" t="s">
        <v>1201</v>
      </c>
      <c r="C11" s="69" t="n">
        <v>46292</v>
      </c>
      <c r="D11" s="70" t="s">
        <v>1191</v>
      </c>
      <c r="E11" s="70" t="s">
        <v>1192</v>
      </c>
      <c r="F11" s="70" t="s">
        <v>1193</v>
      </c>
      <c r="G11" s="70" t="s">
        <v>1202</v>
      </c>
      <c r="H11" s="70" t="s">
        <v>1203</v>
      </c>
      <c r="I11" s="70" t="s">
        <v>1204</v>
      </c>
      <c r="J11" s="70" t="s">
        <v>1205</v>
      </c>
      <c r="K11" s="70" t="s">
        <v>1206</v>
      </c>
      <c r="L11" s="70" t="s">
        <v>1207</v>
      </c>
      <c r="M11" s="70" t="s">
        <v>1208</v>
      </c>
    </row>
    <row r="12" customFormat="false" ht="64.15" hidden="false" customHeight="false" outlineLevel="0" collapsed="false">
      <c r="B12" s="68" t="s">
        <v>1209</v>
      </c>
      <c r="C12" s="69" t="n">
        <v>46292</v>
      </c>
      <c r="D12" s="70" t="s">
        <v>1191</v>
      </c>
      <c r="E12" s="70" t="s">
        <v>1192</v>
      </c>
      <c r="F12" s="70" t="s">
        <v>1193</v>
      </c>
      <c r="G12" s="70" t="s">
        <v>1210</v>
      </c>
      <c r="H12" s="70" t="s">
        <v>1211</v>
      </c>
      <c r="I12" s="70" t="s">
        <v>1212</v>
      </c>
      <c r="J12" s="70" t="s">
        <v>1213</v>
      </c>
      <c r="K12" s="70" t="s">
        <v>1214</v>
      </c>
      <c r="L12" s="70" t="s">
        <v>1215</v>
      </c>
      <c r="M12" s="70" t="s">
        <v>1216</v>
      </c>
    </row>
    <row r="13" customFormat="false" ht="74.6" hidden="false" customHeight="false" outlineLevel="0" collapsed="false">
      <c r="B13" s="68" t="s">
        <v>1217</v>
      </c>
      <c r="C13" s="69" t="n">
        <v>46292</v>
      </c>
      <c r="D13" s="70" t="s">
        <v>1191</v>
      </c>
      <c r="E13" s="70" t="s">
        <v>1192</v>
      </c>
      <c r="F13" s="70" t="s">
        <v>1218</v>
      </c>
      <c r="G13" s="70" t="s">
        <v>1219</v>
      </c>
      <c r="H13" s="70" t="s">
        <v>1104</v>
      </c>
      <c r="I13" s="70" t="s">
        <v>1220</v>
      </c>
      <c r="J13" s="70" t="s">
        <v>1221</v>
      </c>
      <c r="K13" s="70" t="s">
        <v>1222</v>
      </c>
      <c r="L13" s="70" t="s">
        <v>1223</v>
      </c>
      <c r="M13" s="70" t="s">
        <v>1224</v>
      </c>
    </row>
    <row r="14" customFormat="false" ht="32.8" hidden="false" customHeight="false" outlineLevel="0" collapsed="false">
      <c r="B14" s="68" t="s">
        <v>1225</v>
      </c>
      <c r="C14" s="69" t="n">
        <v>46292</v>
      </c>
      <c r="D14" s="70" t="s">
        <v>1191</v>
      </c>
      <c r="E14" s="70" t="s">
        <v>1192</v>
      </c>
      <c r="F14" s="70" t="s">
        <v>1226</v>
      </c>
      <c r="G14" s="70" t="s">
        <v>1227</v>
      </c>
      <c r="H14" s="70" t="s">
        <v>1228</v>
      </c>
      <c r="I14" s="70" t="s">
        <v>1204</v>
      </c>
      <c r="J14" s="70" t="s">
        <v>1229</v>
      </c>
      <c r="K14" s="70" t="s">
        <v>1230</v>
      </c>
      <c r="L14" s="70" t="s">
        <v>1231</v>
      </c>
      <c r="M14" s="70" t="s">
        <v>1208</v>
      </c>
    </row>
    <row r="15" customFormat="false" ht="64.15" hidden="false" customHeight="false" outlineLevel="0" collapsed="false">
      <c r="B15" s="68" t="s">
        <v>1232</v>
      </c>
      <c r="C15" s="69" t="n">
        <v>46292</v>
      </c>
      <c r="D15" s="70" t="s">
        <v>1191</v>
      </c>
      <c r="E15" s="70" t="s">
        <v>1192</v>
      </c>
      <c r="F15" s="70" t="s">
        <v>1233</v>
      </c>
      <c r="G15" s="70" t="s">
        <v>1234</v>
      </c>
      <c r="H15" s="70" t="s">
        <v>1235</v>
      </c>
      <c r="I15" s="70" t="s">
        <v>1236</v>
      </c>
      <c r="J15" s="70" t="s">
        <v>1237</v>
      </c>
      <c r="K15" s="70" t="s">
        <v>1238</v>
      </c>
      <c r="L15" s="70" t="s">
        <v>1239</v>
      </c>
      <c r="M15" s="70" t="s">
        <v>1240</v>
      </c>
    </row>
    <row r="16" customFormat="false" ht="32.8" hidden="false" customHeight="false" outlineLevel="0" collapsed="false">
      <c r="B16" s="68" t="s">
        <v>1241</v>
      </c>
      <c r="C16" s="69" t="n">
        <v>46292</v>
      </c>
      <c r="D16" s="70" t="s">
        <v>1191</v>
      </c>
      <c r="E16" s="70" t="s">
        <v>1192</v>
      </c>
      <c r="F16" s="70" t="s">
        <v>1242</v>
      </c>
      <c r="G16" s="70" t="s">
        <v>1243</v>
      </c>
      <c r="H16" s="70" t="s">
        <v>1244</v>
      </c>
      <c r="I16" s="70" t="s">
        <v>1204</v>
      </c>
      <c r="J16" s="70" t="s">
        <v>1245</v>
      </c>
      <c r="K16" s="70" t="s">
        <v>1246</v>
      </c>
      <c r="L16" s="70" t="s">
        <v>1247</v>
      </c>
      <c r="M16" s="70" t="s">
        <v>1208</v>
      </c>
    </row>
    <row r="17" customFormat="false" ht="32.8" hidden="false" customHeight="false" outlineLevel="0" collapsed="false">
      <c r="B17" s="68" t="s">
        <v>1248</v>
      </c>
      <c r="C17" s="69" t="n">
        <v>46292</v>
      </c>
      <c r="D17" s="70" t="s">
        <v>1191</v>
      </c>
      <c r="E17" s="70" t="s">
        <v>1192</v>
      </c>
      <c r="F17" s="70" t="s">
        <v>1249</v>
      </c>
      <c r="G17" s="70" t="s">
        <v>1250</v>
      </c>
      <c r="H17" s="70" t="s">
        <v>1251</v>
      </c>
      <c r="I17" s="70" t="s">
        <v>1204</v>
      </c>
      <c r="J17" s="70" t="s">
        <v>1252</v>
      </c>
      <c r="K17" s="70" t="s">
        <v>1253</v>
      </c>
      <c r="L17" s="70" t="s">
        <v>1254</v>
      </c>
      <c r="M17" s="70" t="s">
        <v>1208</v>
      </c>
    </row>
    <row r="18" customFormat="false" ht="22.35" hidden="false" customHeight="false" outlineLevel="0" collapsed="false">
      <c r="B18" s="68" t="s">
        <v>1255</v>
      </c>
      <c r="C18" s="69" t="n">
        <v>46292</v>
      </c>
      <c r="D18" s="70" t="s">
        <v>1191</v>
      </c>
      <c r="E18" s="70" t="s">
        <v>1192</v>
      </c>
      <c r="F18" s="70" t="s">
        <v>1256</v>
      </c>
      <c r="G18" s="70" t="s">
        <v>1257</v>
      </c>
      <c r="H18" s="70" t="s">
        <v>1258</v>
      </c>
      <c r="I18" s="70" t="s">
        <v>1204</v>
      </c>
      <c r="J18" s="70" t="s">
        <v>1259</v>
      </c>
      <c r="K18" s="70" t="s">
        <v>1260</v>
      </c>
      <c r="L18" s="70" t="s">
        <v>1261</v>
      </c>
      <c r="M18" s="70" t="s">
        <v>1200</v>
      </c>
    </row>
    <row r="19" customFormat="false" ht="53.7" hidden="false" customHeight="false" outlineLevel="0" collapsed="false">
      <c r="B19" s="68" t="s">
        <v>1262</v>
      </c>
      <c r="C19" s="69" t="n">
        <v>46292</v>
      </c>
      <c r="D19" s="70" t="s">
        <v>1191</v>
      </c>
      <c r="E19" s="70" t="s">
        <v>1192</v>
      </c>
      <c r="F19" s="70" t="s">
        <v>1263</v>
      </c>
      <c r="G19" s="70" t="s">
        <v>1264</v>
      </c>
      <c r="H19" s="70" t="s">
        <v>1265</v>
      </c>
      <c r="I19" s="70" t="s">
        <v>1266</v>
      </c>
      <c r="J19" s="70" t="s">
        <v>1267</v>
      </c>
      <c r="K19" s="70" t="s">
        <v>1268</v>
      </c>
      <c r="L19" s="70" t="s">
        <v>1269</v>
      </c>
      <c r="M19" s="70" t="s">
        <v>1270</v>
      </c>
    </row>
    <row r="20" customFormat="false" ht="43.25" hidden="false" customHeight="false" outlineLevel="0" collapsed="false">
      <c r="B20" s="68" t="s">
        <v>1271</v>
      </c>
      <c r="C20" s="69" t="n">
        <v>46292</v>
      </c>
      <c r="D20" s="70" t="s">
        <v>1191</v>
      </c>
      <c r="E20" s="70" t="s">
        <v>1192</v>
      </c>
      <c r="F20" s="70" t="s">
        <v>1272</v>
      </c>
      <c r="G20" s="70" t="s">
        <v>1273</v>
      </c>
      <c r="H20" s="70" t="s">
        <v>1274</v>
      </c>
      <c r="I20" s="70" t="s">
        <v>1204</v>
      </c>
      <c r="J20" s="70" t="s">
        <v>1275</v>
      </c>
      <c r="K20" s="70" t="s">
        <v>1276</v>
      </c>
      <c r="L20" s="70" t="s">
        <v>1277</v>
      </c>
      <c r="M20" s="70" t="s">
        <v>1208</v>
      </c>
    </row>
    <row r="21" customFormat="false" ht="53.7" hidden="false" customHeight="false" outlineLevel="0" collapsed="false">
      <c r="B21" s="68" t="s">
        <v>1278</v>
      </c>
      <c r="C21" s="69" t="n">
        <v>46292</v>
      </c>
      <c r="D21" s="70" t="s">
        <v>1191</v>
      </c>
      <c r="E21" s="70" t="s">
        <v>1192</v>
      </c>
      <c r="F21" s="70" t="s">
        <v>1279</v>
      </c>
      <c r="G21" s="70" t="s">
        <v>1280</v>
      </c>
      <c r="H21" s="70" t="s">
        <v>1281</v>
      </c>
      <c r="I21" s="70" t="s">
        <v>1282</v>
      </c>
      <c r="J21" s="70" t="s">
        <v>1283</v>
      </c>
      <c r="K21" s="70" t="s">
        <v>1284</v>
      </c>
      <c r="L21" s="70" t="s">
        <v>1285</v>
      </c>
      <c r="M21" s="70" t="s">
        <v>1286</v>
      </c>
    </row>
    <row r="22" customFormat="false" ht="126.85" hidden="false" customHeight="false" outlineLevel="0" collapsed="false">
      <c r="B22" s="68" t="s">
        <v>1287</v>
      </c>
      <c r="C22" s="69" t="n">
        <v>46292</v>
      </c>
      <c r="D22" s="70" t="s">
        <v>1191</v>
      </c>
      <c r="E22" s="70" t="s">
        <v>1192</v>
      </c>
      <c r="F22" s="70" t="s">
        <v>1193</v>
      </c>
      <c r="G22" s="70" t="s">
        <v>1288</v>
      </c>
      <c r="H22" s="70" t="s">
        <v>1289</v>
      </c>
      <c r="I22" s="70" t="s">
        <v>1290</v>
      </c>
      <c r="J22" s="70" t="s">
        <v>1291</v>
      </c>
      <c r="K22" s="70" t="s">
        <v>1292</v>
      </c>
      <c r="L22" s="70" t="s">
        <v>1293</v>
      </c>
      <c r="M22" s="70" t="s">
        <v>1208</v>
      </c>
    </row>
    <row r="23" customFormat="false" ht="74.6" hidden="false" customHeight="false" outlineLevel="0" collapsed="false">
      <c r="B23" s="68" t="s">
        <v>1294</v>
      </c>
      <c r="C23" s="69" t="n">
        <v>46292</v>
      </c>
      <c r="D23" s="70" t="s">
        <v>1191</v>
      </c>
      <c r="E23" s="70" t="s">
        <v>1192</v>
      </c>
      <c r="F23" s="70" t="s">
        <v>1295</v>
      </c>
      <c r="G23" s="70" t="s">
        <v>1296</v>
      </c>
      <c r="H23" s="70" t="s">
        <v>1297</v>
      </c>
      <c r="I23" s="70" t="s">
        <v>1204</v>
      </c>
      <c r="J23" s="70" t="s">
        <v>1298</v>
      </c>
      <c r="K23" s="70" t="s">
        <v>1299</v>
      </c>
      <c r="L23" s="70" t="s">
        <v>1300</v>
      </c>
      <c r="M23" s="70" t="s">
        <v>1208</v>
      </c>
    </row>
    <row r="24" customFormat="false" ht="64.15" hidden="false" customHeight="false" outlineLevel="0" collapsed="false">
      <c r="B24" s="68" t="s">
        <v>1301</v>
      </c>
      <c r="C24" s="69" t="n">
        <v>46292</v>
      </c>
      <c r="D24" s="70" t="s">
        <v>1191</v>
      </c>
      <c r="E24" s="70" t="s">
        <v>1192</v>
      </c>
      <c r="F24" s="70" t="s">
        <v>1302</v>
      </c>
      <c r="G24" s="70" t="s">
        <v>1303</v>
      </c>
      <c r="H24" s="70" t="s">
        <v>1304</v>
      </c>
      <c r="I24" s="70" t="s">
        <v>1204</v>
      </c>
      <c r="J24" s="70" t="s">
        <v>1305</v>
      </c>
      <c r="K24" s="70" t="s">
        <v>1306</v>
      </c>
      <c r="L24" s="70" t="s">
        <v>1307</v>
      </c>
      <c r="M24" s="70" t="s">
        <v>1208</v>
      </c>
    </row>
    <row r="25" customFormat="false" ht="53.7" hidden="false" customHeight="false" outlineLevel="0" collapsed="false">
      <c r="B25" s="68" t="s">
        <v>1308</v>
      </c>
      <c r="C25" s="69" t="n">
        <v>46292</v>
      </c>
      <c r="D25" s="70" t="s">
        <v>1191</v>
      </c>
      <c r="E25" s="70" t="s">
        <v>1192</v>
      </c>
      <c r="F25" s="70" t="s">
        <v>1309</v>
      </c>
      <c r="G25" s="70" t="s">
        <v>1310</v>
      </c>
      <c r="H25" s="70" t="s">
        <v>1311</v>
      </c>
      <c r="I25" s="70" t="s">
        <v>1204</v>
      </c>
      <c r="J25" s="70" t="s">
        <v>1312</v>
      </c>
      <c r="K25" s="70" t="s">
        <v>1313</v>
      </c>
      <c r="L25" s="70" t="s">
        <v>1314</v>
      </c>
      <c r="M25" s="70" t="s">
        <v>1208</v>
      </c>
    </row>
    <row r="26" customFormat="false" ht="43.25" hidden="false" customHeight="false" outlineLevel="0" collapsed="false">
      <c r="B26" s="68" t="s">
        <v>1315</v>
      </c>
      <c r="C26" s="69" t="n">
        <v>46292</v>
      </c>
      <c r="D26" s="70" t="s">
        <v>1191</v>
      </c>
      <c r="E26" s="70" t="s">
        <v>1192</v>
      </c>
      <c r="F26" s="70" t="s">
        <v>1316</v>
      </c>
      <c r="G26" s="70" t="s">
        <v>1317</v>
      </c>
      <c r="H26" s="70" t="s">
        <v>1318</v>
      </c>
      <c r="I26" s="70" t="s">
        <v>1204</v>
      </c>
      <c r="J26" s="70" t="s">
        <v>1319</v>
      </c>
      <c r="K26" s="70" t="s">
        <v>1320</v>
      </c>
      <c r="L26" s="70" t="s">
        <v>1321</v>
      </c>
      <c r="M26" s="70" t="s">
        <v>1208</v>
      </c>
    </row>
    <row r="27" customFormat="false" ht="64.15" hidden="false" customHeight="false" outlineLevel="0" collapsed="false">
      <c r="B27" s="68" t="s">
        <v>1322</v>
      </c>
      <c r="C27" s="69" t="n">
        <v>46292</v>
      </c>
      <c r="D27" s="70" t="s">
        <v>1191</v>
      </c>
      <c r="E27" s="70" t="s">
        <v>1192</v>
      </c>
      <c r="F27" s="70" t="s">
        <v>1323</v>
      </c>
      <c r="G27" s="70" t="s">
        <v>1324</v>
      </c>
      <c r="H27" s="70" t="s">
        <v>1325</v>
      </c>
      <c r="I27" s="70" t="s">
        <v>1326</v>
      </c>
      <c r="J27" s="70" t="s">
        <v>1327</v>
      </c>
      <c r="K27" s="70" t="s">
        <v>1328</v>
      </c>
      <c r="L27" s="70" t="s">
        <v>1329</v>
      </c>
      <c r="M27" s="70" t="s">
        <v>1330</v>
      </c>
    </row>
    <row r="28" customFormat="false" ht="53.7" hidden="false" customHeight="false" outlineLevel="0" collapsed="false">
      <c r="B28" s="68" t="s">
        <v>1331</v>
      </c>
      <c r="C28" s="69" t="n">
        <v>46292</v>
      </c>
      <c r="D28" s="70" t="s">
        <v>1191</v>
      </c>
      <c r="E28" s="70" t="s">
        <v>1192</v>
      </c>
      <c r="F28" s="70" t="s">
        <v>1332</v>
      </c>
      <c r="G28" s="70" t="s">
        <v>1333</v>
      </c>
      <c r="H28" s="70" t="s">
        <v>1334</v>
      </c>
      <c r="I28" s="70" t="s">
        <v>1335</v>
      </c>
      <c r="J28" s="70" t="s">
        <v>1336</v>
      </c>
      <c r="K28" s="70" t="s">
        <v>1337</v>
      </c>
      <c r="L28" s="70" t="s">
        <v>1338</v>
      </c>
      <c r="M28" s="70" t="s">
        <v>1200</v>
      </c>
    </row>
    <row r="29" customFormat="false" ht="74.6" hidden="false" customHeight="false" outlineLevel="0" collapsed="false">
      <c r="B29" s="68" t="s">
        <v>1339</v>
      </c>
      <c r="C29" s="69" t="n">
        <v>46292</v>
      </c>
      <c r="D29" s="70" t="s">
        <v>1191</v>
      </c>
      <c r="E29" s="70" t="s">
        <v>1192</v>
      </c>
      <c r="F29" s="70" t="s">
        <v>1332</v>
      </c>
      <c r="G29" s="70" t="s">
        <v>1340</v>
      </c>
      <c r="H29" s="70" t="s">
        <v>1341</v>
      </c>
      <c r="I29" s="70" t="s">
        <v>1342</v>
      </c>
      <c r="J29" s="70" t="s">
        <v>1343</v>
      </c>
      <c r="K29" s="70" t="s">
        <v>1344</v>
      </c>
      <c r="L29" s="70" t="s">
        <v>1345</v>
      </c>
      <c r="M29" s="70" t="s">
        <v>1346</v>
      </c>
    </row>
    <row r="30" customFormat="false" ht="74.6" hidden="false" customHeight="false" outlineLevel="0" collapsed="false">
      <c r="B30" s="68" t="s">
        <v>1347</v>
      </c>
      <c r="C30" s="69" t="n">
        <v>46292</v>
      </c>
      <c r="D30" s="70" t="s">
        <v>1191</v>
      </c>
      <c r="E30" s="70" t="s">
        <v>1192</v>
      </c>
      <c r="F30" s="70" t="s">
        <v>1348</v>
      </c>
      <c r="G30" s="70" t="s">
        <v>1349</v>
      </c>
      <c r="H30" s="70" t="s">
        <v>1350</v>
      </c>
      <c r="I30" s="70" t="s">
        <v>1204</v>
      </c>
      <c r="J30" s="70" t="s">
        <v>1351</v>
      </c>
      <c r="K30" s="70" t="s">
        <v>1352</v>
      </c>
      <c r="L30" s="70" t="s">
        <v>1353</v>
      </c>
      <c r="M30" s="70" t="s">
        <v>1200</v>
      </c>
    </row>
    <row r="31" customFormat="false" ht="64.15" hidden="false" customHeight="false" outlineLevel="0" collapsed="false">
      <c r="B31" s="68" t="s">
        <v>1354</v>
      </c>
      <c r="C31" s="69" t="n">
        <v>46292</v>
      </c>
      <c r="D31" s="70" t="s">
        <v>1191</v>
      </c>
      <c r="E31" s="70" t="s">
        <v>1192</v>
      </c>
      <c r="F31" s="70" t="s">
        <v>1355</v>
      </c>
      <c r="G31" s="70" t="s">
        <v>1356</v>
      </c>
      <c r="H31" s="70" t="s">
        <v>1357</v>
      </c>
      <c r="I31" s="70" t="s">
        <v>1358</v>
      </c>
      <c r="J31" s="70" t="s">
        <v>1359</v>
      </c>
      <c r="K31" s="70" t="s">
        <v>1360</v>
      </c>
      <c r="L31" s="70" t="s">
        <v>1361</v>
      </c>
      <c r="M31" s="70" t="s">
        <v>1362</v>
      </c>
    </row>
    <row r="32" customFormat="false" ht="74.6" hidden="false" customHeight="false" outlineLevel="0" collapsed="false">
      <c r="B32" s="68" t="s">
        <v>1363</v>
      </c>
      <c r="C32" s="69" t="n">
        <v>46292</v>
      </c>
      <c r="D32" s="70" t="s">
        <v>1191</v>
      </c>
      <c r="E32" s="70" t="s">
        <v>1192</v>
      </c>
      <c r="F32" s="70" t="s">
        <v>1364</v>
      </c>
      <c r="G32" s="70" t="s">
        <v>1365</v>
      </c>
      <c r="H32" s="70" t="s">
        <v>1366</v>
      </c>
      <c r="I32" s="70" t="s">
        <v>1204</v>
      </c>
      <c r="J32" s="70" t="s">
        <v>1367</v>
      </c>
      <c r="K32" s="70" t="s">
        <v>1368</v>
      </c>
      <c r="L32" s="70" t="s">
        <v>1369</v>
      </c>
      <c r="M32" s="70" t="s">
        <v>1208</v>
      </c>
    </row>
    <row r="33" customFormat="false" ht="43.25" hidden="false" customHeight="false" outlineLevel="0" collapsed="false">
      <c r="B33" s="68" t="s">
        <v>1370</v>
      </c>
      <c r="C33" s="69" t="n">
        <v>46292</v>
      </c>
      <c r="D33" s="70" t="s">
        <v>1191</v>
      </c>
      <c r="E33" s="70" t="s">
        <v>1192</v>
      </c>
      <c r="F33" s="70" t="s">
        <v>1371</v>
      </c>
      <c r="G33" s="70" t="s">
        <v>1372</v>
      </c>
      <c r="H33" s="70" t="s">
        <v>1373</v>
      </c>
      <c r="I33" s="70" t="s">
        <v>1204</v>
      </c>
      <c r="J33" s="70" t="s">
        <v>1374</v>
      </c>
      <c r="K33" s="70" t="s">
        <v>1375</v>
      </c>
      <c r="L33" s="70" t="s">
        <v>1376</v>
      </c>
      <c r="M33" s="70" t="s">
        <v>1208</v>
      </c>
    </row>
    <row r="34" customFormat="false" ht="53.7" hidden="false" customHeight="false" outlineLevel="0" collapsed="false">
      <c r="B34" s="68" t="s">
        <v>1377</v>
      </c>
      <c r="C34" s="69" t="n">
        <v>46292</v>
      </c>
      <c r="D34" s="70" t="s">
        <v>1191</v>
      </c>
      <c r="E34" s="70" t="s">
        <v>1192</v>
      </c>
      <c r="F34" s="70" t="s">
        <v>1378</v>
      </c>
      <c r="G34" s="70" t="s">
        <v>1379</v>
      </c>
      <c r="H34" s="70" t="s">
        <v>1380</v>
      </c>
      <c r="I34" s="70" t="s">
        <v>1204</v>
      </c>
      <c r="J34" s="70" t="s">
        <v>1381</v>
      </c>
      <c r="K34" s="70" t="s">
        <v>1382</v>
      </c>
      <c r="L34" s="70" t="s">
        <v>1383</v>
      </c>
      <c r="M34" s="70" t="s">
        <v>1200</v>
      </c>
    </row>
    <row r="35" customFormat="false" ht="53.7" hidden="false" customHeight="false" outlineLevel="0" collapsed="false">
      <c r="B35" s="68" t="s">
        <v>1384</v>
      </c>
      <c r="C35" s="69" t="n">
        <v>46292</v>
      </c>
      <c r="D35" s="70" t="s">
        <v>1191</v>
      </c>
      <c r="E35" s="70" t="s">
        <v>1192</v>
      </c>
      <c r="F35" s="70" t="s">
        <v>1364</v>
      </c>
      <c r="G35" s="70" t="s">
        <v>1385</v>
      </c>
      <c r="H35" s="70" t="s">
        <v>1386</v>
      </c>
      <c r="I35" s="70" t="s">
        <v>1387</v>
      </c>
      <c r="J35" s="70" t="s">
        <v>1388</v>
      </c>
      <c r="K35" s="70" t="s">
        <v>1389</v>
      </c>
      <c r="L35" s="70" t="s">
        <v>1390</v>
      </c>
      <c r="M35" s="70" t="s">
        <v>1391</v>
      </c>
    </row>
    <row r="36" customFormat="false" ht="64.15" hidden="false" customHeight="false" outlineLevel="0" collapsed="false">
      <c r="B36" s="68" t="s">
        <v>1392</v>
      </c>
      <c r="C36" s="69" t="n">
        <v>46292</v>
      </c>
      <c r="D36" s="70" t="s">
        <v>1191</v>
      </c>
      <c r="E36" s="70" t="s">
        <v>1192</v>
      </c>
      <c r="F36" s="70" t="s">
        <v>1364</v>
      </c>
      <c r="G36" s="70" t="s">
        <v>1393</v>
      </c>
      <c r="H36" s="70" t="s">
        <v>1394</v>
      </c>
      <c r="I36" s="70" t="s">
        <v>1204</v>
      </c>
      <c r="J36" s="70" t="s">
        <v>1395</v>
      </c>
      <c r="K36" s="70" t="s">
        <v>1396</v>
      </c>
      <c r="L36" s="70" t="s">
        <v>1397</v>
      </c>
      <c r="M36" s="70" t="s">
        <v>1208</v>
      </c>
    </row>
    <row r="37" customFormat="false" ht="32.8" hidden="false" customHeight="false" outlineLevel="0" collapsed="false">
      <c r="B37" s="68" t="s">
        <v>1398</v>
      </c>
      <c r="C37" s="69" t="n">
        <v>46292</v>
      </c>
      <c r="D37" s="70" t="s">
        <v>1191</v>
      </c>
      <c r="E37" s="70" t="s">
        <v>1192</v>
      </c>
      <c r="F37" s="70" t="s">
        <v>1399</v>
      </c>
      <c r="G37" s="70" t="s">
        <v>1400</v>
      </c>
      <c r="H37" s="70" t="s">
        <v>1228</v>
      </c>
      <c r="I37" s="70" t="s">
        <v>1204</v>
      </c>
      <c r="J37" s="70" t="s">
        <v>1401</v>
      </c>
      <c r="K37" s="70" t="s">
        <v>1402</v>
      </c>
      <c r="L37" s="70" t="s">
        <v>1231</v>
      </c>
      <c r="M37" s="70" t="s">
        <v>1200</v>
      </c>
    </row>
    <row r="38" customFormat="false" ht="43.25" hidden="false" customHeight="false" outlineLevel="0" collapsed="false">
      <c r="B38" s="68" t="s">
        <v>1403</v>
      </c>
      <c r="C38" s="69" t="n">
        <v>46292</v>
      </c>
      <c r="D38" s="70" t="s">
        <v>1191</v>
      </c>
      <c r="E38" s="70" t="s">
        <v>1192</v>
      </c>
      <c r="F38" s="70" t="s">
        <v>1404</v>
      </c>
      <c r="G38" s="70" t="s">
        <v>1405</v>
      </c>
      <c r="H38" s="70" t="s">
        <v>1406</v>
      </c>
      <c r="I38" s="70" t="s">
        <v>1204</v>
      </c>
      <c r="J38" s="70" t="s">
        <v>1407</v>
      </c>
      <c r="K38" s="70" t="s">
        <v>1408</v>
      </c>
      <c r="L38" s="70" t="s">
        <v>1409</v>
      </c>
      <c r="M38" s="70" t="s">
        <v>1208</v>
      </c>
    </row>
    <row r="39" customFormat="false" ht="105.95" hidden="false" customHeight="false" outlineLevel="0" collapsed="false">
      <c r="B39" s="68" t="s">
        <v>1410</v>
      </c>
      <c r="C39" s="69" t="n">
        <v>46292</v>
      </c>
      <c r="D39" s="70" t="s">
        <v>1191</v>
      </c>
      <c r="E39" s="70" t="s">
        <v>1192</v>
      </c>
      <c r="F39" s="70" t="s">
        <v>1411</v>
      </c>
      <c r="G39" s="70" t="s">
        <v>1412</v>
      </c>
      <c r="H39" s="70" t="s">
        <v>1413</v>
      </c>
      <c r="I39" s="70" t="s">
        <v>1204</v>
      </c>
      <c r="J39" s="70" t="s">
        <v>1414</v>
      </c>
      <c r="K39" s="70" t="s">
        <v>1415</v>
      </c>
      <c r="L39" s="70" t="s">
        <v>1416</v>
      </c>
      <c r="M39" s="70" t="s">
        <v>1208</v>
      </c>
    </row>
    <row r="40" customFormat="false" ht="64.15" hidden="false" customHeight="false" outlineLevel="0" collapsed="false">
      <c r="B40" s="68" t="s">
        <v>1417</v>
      </c>
      <c r="C40" s="69" t="n">
        <v>46292</v>
      </c>
      <c r="D40" s="70" t="s">
        <v>1191</v>
      </c>
      <c r="E40" s="70" t="s">
        <v>1192</v>
      </c>
      <c r="F40" s="70" t="s">
        <v>1418</v>
      </c>
      <c r="G40" s="70" t="s">
        <v>1419</v>
      </c>
      <c r="H40" s="70" t="s">
        <v>1420</v>
      </c>
      <c r="I40" s="70" t="s">
        <v>1204</v>
      </c>
      <c r="J40" s="70" t="s">
        <v>1421</v>
      </c>
      <c r="K40" s="70" t="s">
        <v>1422</v>
      </c>
      <c r="L40" s="70" t="s">
        <v>1423</v>
      </c>
      <c r="M40" s="70" t="s">
        <v>1208</v>
      </c>
    </row>
    <row r="41" customFormat="false" ht="43.25" hidden="false" customHeight="false" outlineLevel="0" collapsed="false">
      <c r="B41" s="68" t="s">
        <v>1424</v>
      </c>
      <c r="C41" s="69" t="n">
        <v>46292</v>
      </c>
      <c r="D41" s="70" t="s">
        <v>1191</v>
      </c>
      <c r="E41" s="70" t="s">
        <v>1192</v>
      </c>
      <c r="F41" s="70" t="s">
        <v>1418</v>
      </c>
      <c r="G41" s="70" t="s">
        <v>1425</v>
      </c>
      <c r="H41" s="70" t="s">
        <v>1426</v>
      </c>
      <c r="I41" s="70" t="s">
        <v>1204</v>
      </c>
      <c r="J41" s="70" t="s">
        <v>1427</v>
      </c>
      <c r="K41" s="70" t="s">
        <v>1428</v>
      </c>
      <c r="L41" s="70" t="s">
        <v>33</v>
      </c>
      <c r="M41" s="70" t="s">
        <v>1208</v>
      </c>
    </row>
    <row r="42" customFormat="false" ht="32.8" hidden="false" customHeight="false" outlineLevel="0" collapsed="false">
      <c r="B42" s="68" t="s">
        <v>1429</v>
      </c>
      <c r="C42" s="69" t="n">
        <v>46292</v>
      </c>
      <c r="D42" s="70" t="s">
        <v>1191</v>
      </c>
      <c r="E42" s="70" t="s">
        <v>1192</v>
      </c>
      <c r="F42" s="70" t="s">
        <v>1430</v>
      </c>
      <c r="G42" s="70" t="s">
        <v>1431</v>
      </c>
      <c r="H42" s="70" t="s">
        <v>1432</v>
      </c>
      <c r="I42" s="70" t="s">
        <v>1433</v>
      </c>
      <c r="J42" s="70" t="s">
        <v>1434</v>
      </c>
      <c r="K42" s="70" t="s">
        <v>1435</v>
      </c>
      <c r="L42" s="70" t="s">
        <v>1436</v>
      </c>
      <c r="M42" s="70" t="s">
        <v>1208</v>
      </c>
    </row>
    <row r="43" customFormat="false" ht="74.6" hidden="false" customHeight="false" outlineLevel="0" collapsed="false">
      <c r="B43" s="68" t="s">
        <v>1437</v>
      </c>
      <c r="C43" s="69" t="n">
        <v>46292</v>
      </c>
      <c r="D43" s="70" t="s">
        <v>1191</v>
      </c>
      <c r="E43" s="70" t="s">
        <v>1192</v>
      </c>
      <c r="F43" s="70" t="s">
        <v>1438</v>
      </c>
      <c r="G43" s="70" t="s">
        <v>1439</v>
      </c>
      <c r="H43" s="70" t="s">
        <v>1440</v>
      </c>
      <c r="I43" s="70" t="s">
        <v>1441</v>
      </c>
      <c r="J43" s="70" t="s">
        <v>1442</v>
      </c>
      <c r="K43" s="70" t="s">
        <v>1443</v>
      </c>
      <c r="L43" s="70" t="s">
        <v>1444</v>
      </c>
      <c r="M43" s="70" t="s">
        <v>1445</v>
      </c>
    </row>
    <row r="44" customFormat="false" ht="32.8" hidden="false" customHeight="false" outlineLevel="0" collapsed="false">
      <c r="B44" s="68" t="s">
        <v>1446</v>
      </c>
      <c r="C44" s="69" t="n">
        <v>46292</v>
      </c>
      <c r="D44" s="70" t="s">
        <v>1191</v>
      </c>
      <c r="E44" s="70" t="s">
        <v>1192</v>
      </c>
      <c r="F44" s="70" t="s">
        <v>1447</v>
      </c>
      <c r="G44" s="70" t="s">
        <v>1448</v>
      </c>
      <c r="H44" s="70" t="s">
        <v>1449</v>
      </c>
      <c r="I44" s="70" t="s">
        <v>1204</v>
      </c>
      <c r="J44" s="70" t="s">
        <v>1450</v>
      </c>
      <c r="K44" s="70" t="s">
        <v>1451</v>
      </c>
      <c r="L44" s="70" t="s">
        <v>1452</v>
      </c>
      <c r="M44" s="70" t="s">
        <v>1208</v>
      </c>
    </row>
    <row r="45" customFormat="false" ht="53.7" hidden="false" customHeight="false" outlineLevel="0" collapsed="false">
      <c r="B45" s="68" t="s">
        <v>1453</v>
      </c>
      <c r="C45" s="69" t="n">
        <v>46292</v>
      </c>
      <c r="D45" s="70" t="s">
        <v>1191</v>
      </c>
      <c r="E45" s="70" t="s">
        <v>1192</v>
      </c>
      <c r="F45" s="70" t="s">
        <v>1454</v>
      </c>
      <c r="G45" s="70" t="s">
        <v>1455</v>
      </c>
      <c r="H45" s="70" t="s">
        <v>1456</v>
      </c>
      <c r="I45" s="70" t="s">
        <v>1204</v>
      </c>
      <c r="J45" s="70" t="s">
        <v>1457</v>
      </c>
      <c r="K45" s="70" t="s">
        <v>1458</v>
      </c>
      <c r="L45" s="70" t="s">
        <v>1459</v>
      </c>
      <c r="M45" s="70" t="s">
        <v>1208</v>
      </c>
    </row>
    <row r="46" customFormat="false" ht="85.05" hidden="false" customHeight="false" outlineLevel="0" collapsed="false">
      <c r="B46" s="68" t="s">
        <v>1460</v>
      </c>
      <c r="C46" s="69" t="n">
        <v>46292</v>
      </c>
      <c r="D46" s="70" t="s">
        <v>1191</v>
      </c>
      <c r="E46" s="70" t="s">
        <v>1192</v>
      </c>
      <c r="F46" s="70" t="s">
        <v>1461</v>
      </c>
      <c r="G46" s="70" t="s">
        <v>1462</v>
      </c>
      <c r="H46" s="70" t="s">
        <v>1463</v>
      </c>
      <c r="I46" s="70" t="s">
        <v>1204</v>
      </c>
      <c r="J46" s="70" t="s">
        <v>1464</v>
      </c>
      <c r="K46" s="70" t="s">
        <v>1465</v>
      </c>
      <c r="L46" s="70" t="s">
        <v>1466</v>
      </c>
      <c r="M46" s="70" t="s">
        <v>1208</v>
      </c>
    </row>
    <row r="47" customFormat="false" ht="64.15" hidden="false" customHeight="false" outlineLevel="0" collapsed="false">
      <c r="B47" s="68" t="s">
        <v>1467</v>
      </c>
      <c r="C47" s="69" t="n">
        <v>46292</v>
      </c>
      <c r="D47" s="70" t="s">
        <v>1191</v>
      </c>
      <c r="E47" s="70" t="s">
        <v>1192</v>
      </c>
      <c r="F47" s="70" t="s">
        <v>1468</v>
      </c>
      <c r="G47" s="70" t="s">
        <v>1469</v>
      </c>
      <c r="H47" s="70" t="s">
        <v>1470</v>
      </c>
      <c r="I47" s="70" t="s">
        <v>1204</v>
      </c>
      <c r="J47" s="70" t="s">
        <v>1471</v>
      </c>
      <c r="K47" s="70" t="s">
        <v>1472</v>
      </c>
      <c r="L47" s="70" t="s">
        <v>1473</v>
      </c>
      <c r="M47" s="70" t="s">
        <v>1474</v>
      </c>
    </row>
    <row r="48" customFormat="false" ht="64.15" hidden="false" customHeight="false" outlineLevel="0" collapsed="false">
      <c r="B48" s="68" t="s">
        <v>1475</v>
      </c>
      <c r="C48" s="69" t="n">
        <v>46292</v>
      </c>
      <c r="D48" s="70" t="s">
        <v>1191</v>
      </c>
      <c r="E48" s="70" t="s">
        <v>1192</v>
      </c>
      <c r="F48" s="70" t="s">
        <v>1476</v>
      </c>
      <c r="G48" s="70" t="s">
        <v>1477</v>
      </c>
      <c r="H48" s="70" t="s">
        <v>1478</v>
      </c>
      <c r="I48" s="70" t="s">
        <v>1204</v>
      </c>
      <c r="J48" s="70" t="s">
        <v>1479</v>
      </c>
      <c r="K48" s="70" t="s">
        <v>1480</v>
      </c>
      <c r="L48" s="70" t="s">
        <v>1481</v>
      </c>
      <c r="M48" s="70" t="s">
        <v>1474</v>
      </c>
    </row>
    <row r="49" customFormat="false" ht="74.6" hidden="false" customHeight="false" outlineLevel="0" collapsed="false">
      <c r="B49" s="68" t="s">
        <v>1482</v>
      </c>
      <c r="C49" s="69" t="n">
        <v>46292</v>
      </c>
      <c r="D49" s="70" t="s">
        <v>1191</v>
      </c>
      <c r="E49" s="70" t="s">
        <v>1192</v>
      </c>
      <c r="F49" s="70" t="s">
        <v>1468</v>
      </c>
      <c r="G49" s="70" t="s">
        <v>1483</v>
      </c>
      <c r="H49" s="70" t="s">
        <v>1484</v>
      </c>
      <c r="I49" s="70" t="s">
        <v>1485</v>
      </c>
      <c r="J49" s="70" t="s">
        <v>1486</v>
      </c>
      <c r="K49" s="70" t="s">
        <v>1487</v>
      </c>
      <c r="L49" s="70" t="s">
        <v>1488</v>
      </c>
      <c r="M49" s="70" t="s">
        <v>1208</v>
      </c>
    </row>
    <row r="50" customFormat="false" ht="53.7" hidden="false" customHeight="false" outlineLevel="0" collapsed="false">
      <c r="B50" s="68" t="s">
        <v>1489</v>
      </c>
      <c r="C50" s="69" t="n">
        <v>46292</v>
      </c>
      <c r="D50" s="70" t="s">
        <v>1191</v>
      </c>
      <c r="E50" s="70" t="s">
        <v>1192</v>
      </c>
      <c r="F50" s="70" t="s">
        <v>1490</v>
      </c>
      <c r="G50" s="70" t="s">
        <v>1491</v>
      </c>
      <c r="H50" s="70" t="s">
        <v>1492</v>
      </c>
      <c r="I50" s="70" t="s">
        <v>1204</v>
      </c>
      <c r="J50" s="70" t="s">
        <v>1493</v>
      </c>
      <c r="K50" s="70" t="s">
        <v>1494</v>
      </c>
      <c r="L50" s="70" t="s">
        <v>1495</v>
      </c>
      <c r="M50" s="70" t="s">
        <v>1208</v>
      </c>
    </row>
    <row r="51" customFormat="false" ht="53.7" hidden="false" customHeight="false" outlineLevel="0" collapsed="false">
      <c r="B51" s="68" t="s">
        <v>1496</v>
      </c>
      <c r="C51" s="69" t="n">
        <v>46292</v>
      </c>
      <c r="D51" s="70" t="s">
        <v>1191</v>
      </c>
      <c r="E51" s="70" t="s">
        <v>1192</v>
      </c>
      <c r="F51" s="70" t="s">
        <v>1497</v>
      </c>
      <c r="G51" s="70" t="s">
        <v>1498</v>
      </c>
      <c r="H51" s="70" t="s">
        <v>1499</v>
      </c>
      <c r="I51" s="70" t="s">
        <v>1204</v>
      </c>
      <c r="J51" s="70" t="s">
        <v>1500</v>
      </c>
      <c r="K51" s="70" t="s">
        <v>1501</v>
      </c>
      <c r="L51" s="70" t="s">
        <v>1502</v>
      </c>
      <c r="M51" s="70" t="s">
        <v>1200</v>
      </c>
    </row>
    <row r="52" customFormat="false" ht="43.25" hidden="false" customHeight="false" outlineLevel="0" collapsed="false">
      <c r="B52" s="68" t="s">
        <v>1503</v>
      </c>
      <c r="C52" s="69" t="n">
        <v>46292</v>
      </c>
      <c r="D52" s="70" t="s">
        <v>1191</v>
      </c>
      <c r="E52" s="70" t="s">
        <v>1192</v>
      </c>
      <c r="F52" s="70" t="s">
        <v>1504</v>
      </c>
      <c r="G52" s="70" t="s">
        <v>1505</v>
      </c>
      <c r="H52" s="70" t="s">
        <v>1506</v>
      </c>
      <c r="I52" s="70" t="s">
        <v>1204</v>
      </c>
      <c r="J52" s="70" t="s">
        <v>1507</v>
      </c>
      <c r="K52" s="70" t="s">
        <v>1508</v>
      </c>
      <c r="L52" s="70" t="s">
        <v>1509</v>
      </c>
      <c r="M52" s="70" t="s">
        <v>1208</v>
      </c>
    </row>
    <row r="53" customFormat="false" ht="32.8" hidden="false" customHeight="false" outlineLevel="0" collapsed="false">
      <c r="B53" s="68" t="s">
        <v>1510</v>
      </c>
      <c r="C53" s="69" t="n">
        <v>46292</v>
      </c>
      <c r="D53" s="70" t="s">
        <v>1191</v>
      </c>
      <c r="E53" s="70" t="s">
        <v>1192</v>
      </c>
      <c r="F53" s="70" t="s">
        <v>1511</v>
      </c>
      <c r="G53" s="70" t="s">
        <v>1512</v>
      </c>
      <c r="H53" s="70" t="s">
        <v>1513</v>
      </c>
      <c r="I53" s="70" t="s">
        <v>1204</v>
      </c>
      <c r="J53" s="70" t="s">
        <v>1514</v>
      </c>
      <c r="K53" s="70" t="s">
        <v>1515</v>
      </c>
      <c r="L53" s="70" t="s">
        <v>1516</v>
      </c>
      <c r="M53" s="70" t="s">
        <v>1208</v>
      </c>
    </row>
    <row r="54" customFormat="false" ht="64.15" hidden="false" customHeight="false" outlineLevel="0" collapsed="false">
      <c r="B54" s="68" t="s">
        <v>1517</v>
      </c>
      <c r="C54" s="69" t="n">
        <v>46292</v>
      </c>
      <c r="D54" s="70" t="s">
        <v>1191</v>
      </c>
      <c r="E54" s="70" t="s">
        <v>1192</v>
      </c>
      <c r="F54" s="70" t="s">
        <v>1518</v>
      </c>
      <c r="G54" s="70" t="s">
        <v>1519</v>
      </c>
      <c r="H54" s="70" t="s">
        <v>1520</v>
      </c>
      <c r="I54" s="70" t="s">
        <v>1204</v>
      </c>
      <c r="J54" s="70" t="s">
        <v>1521</v>
      </c>
      <c r="K54" s="70" t="s">
        <v>1522</v>
      </c>
      <c r="L54" s="70" t="s">
        <v>1523</v>
      </c>
      <c r="M54" s="70" t="s">
        <v>1208</v>
      </c>
    </row>
    <row r="55" customFormat="false" ht="53.7" hidden="false" customHeight="false" outlineLevel="0" collapsed="false">
      <c r="B55" s="68" t="s">
        <v>1524</v>
      </c>
      <c r="C55" s="69" t="n">
        <v>46292</v>
      </c>
      <c r="D55" s="70" t="s">
        <v>1191</v>
      </c>
      <c r="E55" s="70" t="s">
        <v>1192</v>
      </c>
      <c r="F55" s="70" t="s">
        <v>1525</v>
      </c>
      <c r="G55" s="70" t="s">
        <v>1526</v>
      </c>
      <c r="H55" s="70" t="s">
        <v>1527</v>
      </c>
      <c r="I55" s="70" t="s">
        <v>1204</v>
      </c>
      <c r="J55" s="70" t="s">
        <v>1528</v>
      </c>
      <c r="K55" s="70" t="s">
        <v>1529</v>
      </c>
      <c r="L55" s="70" t="s">
        <v>1530</v>
      </c>
      <c r="M55" s="70" t="s">
        <v>1208</v>
      </c>
    </row>
    <row r="56" customFormat="false" ht="64.15" hidden="false" customHeight="false" outlineLevel="0" collapsed="false">
      <c r="B56" s="68" t="s">
        <v>1531</v>
      </c>
      <c r="C56" s="69" t="n">
        <v>46292</v>
      </c>
      <c r="D56" s="70" t="s">
        <v>1191</v>
      </c>
      <c r="E56" s="70" t="s">
        <v>1192</v>
      </c>
      <c r="F56" s="70" t="s">
        <v>1532</v>
      </c>
      <c r="G56" s="70" t="s">
        <v>1533</v>
      </c>
      <c r="H56" s="70" t="s">
        <v>1534</v>
      </c>
      <c r="I56" s="70" t="s">
        <v>1204</v>
      </c>
      <c r="J56" s="70" t="s">
        <v>1535</v>
      </c>
      <c r="K56" s="70" t="s">
        <v>1536</v>
      </c>
      <c r="L56" s="70" t="s">
        <v>1537</v>
      </c>
      <c r="M56" s="70" t="s">
        <v>1208</v>
      </c>
    </row>
    <row r="57" customFormat="false" ht="32.8" hidden="false" customHeight="false" outlineLevel="0" collapsed="false">
      <c r="B57" s="68" t="s">
        <v>1538</v>
      </c>
      <c r="C57" s="69" t="n">
        <v>46292</v>
      </c>
      <c r="D57" s="70" t="s">
        <v>1191</v>
      </c>
      <c r="E57" s="70" t="s">
        <v>1192</v>
      </c>
      <c r="F57" s="70" t="s">
        <v>1539</v>
      </c>
      <c r="G57" s="70" t="s">
        <v>1540</v>
      </c>
      <c r="H57" s="70" t="s">
        <v>1541</v>
      </c>
      <c r="I57" s="70" t="s">
        <v>1204</v>
      </c>
      <c r="J57" s="70" t="s">
        <v>1542</v>
      </c>
      <c r="K57" s="70" t="s">
        <v>1543</v>
      </c>
      <c r="L57" s="70" t="s">
        <v>1544</v>
      </c>
      <c r="M57" s="70" t="s">
        <v>1200</v>
      </c>
    </row>
    <row r="58" customFormat="false" ht="32.8" hidden="false" customHeight="false" outlineLevel="0" collapsed="false">
      <c r="B58" s="68" t="s">
        <v>1545</v>
      </c>
      <c r="C58" s="69" t="n">
        <v>46292</v>
      </c>
      <c r="D58" s="70" t="s">
        <v>1191</v>
      </c>
      <c r="E58" s="70" t="s">
        <v>1192</v>
      </c>
      <c r="F58" s="70" t="s">
        <v>1546</v>
      </c>
      <c r="G58" s="70" t="s">
        <v>1547</v>
      </c>
      <c r="H58" s="70" t="s">
        <v>1548</v>
      </c>
      <c r="I58" s="70" t="s">
        <v>1204</v>
      </c>
      <c r="J58" s="70" t="s">
        <v>1549</v>
      </c>
      <c r="K58" s="70" t="s">
        <v>1550</v>
      </c>
      <c r="L58" s="70" t="s">
        <v>1551</v>
      </c>
      <c r="M58" s="70" t="s">
        <v>1208</v>
      </c>
    </row>
    <row r="59" customFormat="false" ht="53.7" hidden="false" customHeight="false" outlineLevel="0" collapsed="false">
      <c r="B59" s="68" t="s">
        <v>1552</v>
      </c>
      <c r="C59" s="69" t="n">
        <v>46292</v>
      </c>
      <c r="D59" s="70" t="s">
        <v>1191</v>
      </c>
      <c r="E59" s="70" t="s">
        <v>1192</v>
      </c>
      <c r="F59" s="70" t="s">
        <v>1546</v>
      </c>
      <c r="G59" s="70" t="s">
        <v>1553</v>
      </c>
      <c r="H59" s="70" t="s">
        <v>1554</v>
      </c>
      <c r="I59" s="70" t="s">
        <v>1204</v>
      </c>
      <c r="J59" s="70" t="s">
        <v>1555</v>
      </c>
      <c r="K59" s="70" t="s">
        <v>1556</v>
      </c>
      <c r="L59" s="70" t="s">
        <v>1557</v>
      </c>
      <c r="M59" s="70" t="s">
        <v>1200</v>
      </c>
    </row>
    <row r="60" customFormat="false" ht="32.8" hidden="false" customHeight="false" outlineLevel="0" collapsed="false">
      <c r="B60" s="68" t="s">
        <v>1558</v>
      </c>
      <c r="C60" s="69" t="n">
        <v>46292</v>
      </c>
      <c r="D60" s="70" t="s">
        <v>1191</v>
      </c>
      <c r="E60" s="70" t="s">
        <v>1192</v>
      </c>
      <c r="F60" s="70" t="s">
        <v>1559</v>
      </c>
      <c r="G60" s="70" t="s">
        <v>1560</v>
      </c>
      <c r="H60" s="70" t="s">
        <v>1561</v>
      </c>
      <c r="I60" s="70" t="s">
        <v>1204</v>
      </c>
      <c r="J60" s="70" t="s">
        <v>1562</v>
      </c>
      <c r="K60" s="70" t="s">
        <v>1563</v>
      </c>
      <c r="L60" s="70" t="s">
        <v>1564</v>
      </c>
      <c r="M60" s="70" t="s">
        <v>1208</v>
      </c>
    </row>
    <row r="61" customFormat="false" ht="43.25" hidden="false" customHeight="false" outlineLevel="0" collapsed="false">
      <c r="B61" s="68" t="s">
        <v>1565</v>
      </c>
      <c r="C61" s="69" t="n">
        <v>46292</v>
      </c>
      <c r="D61" s="70" t="s">
        <v>1191</v>
      </c>
      <c r="E61" s="70" t="s">
        <v>1192</v>
      </c>
      <c r="F61" s="70" t="s">
        <v>1566</v>
      </c>
      <c r="G61" s="70" t="s">
        <v>1567</v>
      </c>
      <c r="H61" s="70" t="s">
        <v>1568</v>
      </c>
      <c r="I61" s="70" t="s">
        <v>1569</v>
      </c>
      <c r="J61" s="70" t="s">
        <v>1570</v>
      </c>
      <c r="K61" s="70" t="s">
        <v>1571</v>
      </c>
      <c r="L61" s="70" t="s">
        <v>1572</v>
      </c>
      <c r="M61" s="70" t="s">
        <v>1573</v>
      </c>
    </row>
    <row r="64" customFormat="false" ht="15" hidden="false" customHeight="false" outlineLevel="0" collapsed="false">
      <c r="A64" s="25" t="s">
        <v>11</v>
      </c>
      <c r="B64" s="26" t="s">
        <v>1574</v>
      </c>
      <c r="C64" s="14"/>
      <c r="D64" s="14"/>
      <c r="E64" s="14"/>
      <c r="F64" s="14"/>
      <c r="G64" s="14"/>
      <c r="H64" s="14"/>
      <c r="I64" s="14"/>
      <c r="J64" s="14"/>
      <c r="K64" s="14"/>
      <c r="L64" s="14"/>
      <c r="M64" s="14"/>
    </row>
    <row r="66" customFormat="false" ht="25.5" hidden="false" customHeight="true" outlineLevel="0" collapsed="false">
      <c r="B66" s="71" t="s">
        <v>1575</v>
      </c>
      <c r="C66" s="71"/>
      <c r="D66" s="71"/>
      <c r="E66" s="72" t="s">
        <v>1576</v>
      </c>
      <c r="F66" s="72"/>
      <c r="G66" s="72"/>
      <c r="H66" s="72"/>
      <c r="I66" s="72"/>
      <c r="J66" s="72"/>
      <c r="K66" s="72"/>
      <c r="L66" s="72"/>
      <c r="M66" s="72"/>
    </row>
    <row r="67" customFormat="false" ht="25.5" hidden="false" customHeight="true" outlineLevel="0" collapsed="false">
      <c r="B67" s="71" t="s">
        <v>1577</v>
      </c>
      <c r="C67" s="71"/>
      <c r="D67" s="71"/>
      <c r="E67" s="72" t="s">
        <v>1578</v>
      </c>
      <c r="F67" s="72"/>
      <c r="G67" s="72"/>
      <c r="H67" s="72"/>
      <c r="I67" s="72"/>
      <c r="J67" s="72"/>
      <c r="K67" s="72"/>
      <c r="L67" s="72"/>
      <c r="M67" s="72"/>
    </row>
    <row r="68" customFormat="false" ht="25.5" hidden="false" customHeight="true" outlineLevel="0" collapsed="false">
      <c r="B68" s="71" t="s">
        <v>1579</v>
      </c>
      <c r="C68" s="71"/>
      <c r="D68" s="71"/>
      <c r="E68" s="72" t="s">
        <v>1580</v>
      </c>
      <c r="F68" s="72"/>
      <c r="G68" s="72"/>
      <c r="H68" s="72"/>
      <c r="I68" s="72"/>
      <c r="J68" s="72"/>
      <c r="K68" s="72"/>
      <c r="L68" s="72"/>
      <c r="M68" s="72"/>
    </row>
    <row r="69" customFormat="false" ht="25.5" hidden="false" customHeight="true" outlineLevel="0" collapsed="false">
      <c r="B69" s="71" t="s">
        <v>1581</v>
      </c>
      <c r="C69" s="71"/>
      <c r="D69" s="71"/>
      <c r="E69" s="72" t="s">
        <v>1582</v>
      </c>
      <c r="F69" s="72"/>
      <c r="G69" s="72"/>
      <c r="H69" s="72"/>
      <c r="I69" s="72"/>
      <c r="J69" s="72"/>
      <c r="K69" s="72"/>
      <c r="L69" s="72"/>
      <c r="M69" s="72"/>
    </row>
    <row r="70" customFormat="false" ht="25.5" hidden="false" customHeight="true" outlineLevel="0" collapsed="false">
      <c r="B70" s="71" t="s">
        <v>1583</v>
      </c>
      <c r="C70" s="71"/>
      <c r="D70" s="71"/>
      <c r="E70" s="72" t="s">
        <v>1584</v>
      </c>
      <c r="F70" s="72"/>
      <c r="G70" s="72"/>
      <c r="H70" s="72"/>
      <c r="I70" s="72"/>
      <c r="J70" s="72"/>
      <c r="K70" s="72"/>
      <c r="L70" s="72"/>
      <c r="M70" s="72"/>
    </row>
    <row r="71" customFormat="false" ht="25.5" hidden="false" customHeight="true" outlineLevel="0" collapsed="false">
      <c r="B71" s="71" t="s">
        <v>1585</v>
      </c>
      <c r="C71" s="71"/>
      <c r="D71" s="71"/>
      <c r="E71" s="72" t="s">
        <v>1586</v>
      </c>
      <c r="F71" s="72"/>
      <c r="G71" s="72"/>
      <c r="H71" s="72"/>
      <c r="I71" s="72"/>
      <c r="J71" s="72"/>
      <c r="K71" s="72"/>
      <c r="L71" s="72"/>
      <c r="M71" s="72"/>
    </row>
    <row r="72" customFormat="false" ht="25.5" hidden="false" customHeight="true" outlineLevel="0" collapsed="false">
      <c r="B72" s="71" t="s">
        <v>1587</v>
      </c>
      <c r="C72" s="71"/>
      <c r="D72" s="71"/>
      <c r="E72" s="73" t="n">
        <f aca="false">COUNTIF(M10:M61,"*review*")+COUNTIF(M10:M61,"Awaiting*")+COUNTIF(M10:M61,"Blocked*")</f>
        <v>0</v>
      </c>
    </row>
    <row r="74" customFormat="false" ht="15" hidden="false" customHeight="false" outlineLevel="0" collapsed="false">
      <c r="A74" s="25" t="s">
        <v>11</v>
      </c>
      <c r="B74" s="16" t="s">
        <v>431</v>
      </c>
    </row>
  </sheetData>
  <mergeCells count="13">
    <mergeCell ref="B66:D66"/>
    <mergeCell ref="E66:M66"/>
    <mergeCell ref="B67:D67"/>
    <mergeCell ref="E67:M67"/>
    <mergeCell ref="B68:D68"/>
    <mergeCell ref="E68:M68"/>
    <mergeCell ref="B69:D69"/>
    <mergeCell ref="E69:M69"/>
    <mergeCell ref="B70:D70"/>
    <mergeCell ref="E70:M70"/>
    <mergeCell ref="B71:D71"/>
    <mergeCell ref="E71:M71"/>
    <mergeCell ref="B72:D72"/>
  </mergeCells>
  <conditionalFormatting sqref="M10:M81">
    <cfRule type="expression" priority="2" aboveAverage="0" equalAverage="0" bottom="0" percent="0" rank="0" text="" dxfId="2">
      <formula>ISNUMBER(SEARCH("Resolved",M10))</formula>
    </cfRule>
    <cfRule type="expression" priority="3" aboveAverage="0" equalAverage="0" bottom="0" percent="0" rank="0" text="" dxfId="3">
      <formula>ISNUMBER(SEARCH("review",M10))</formula>
    </cfRule>
    <cfRule type="expression" priority="4" aboveAverage="0" equalAverage="0" bottom="0" percent="0" rank="0" text="" dxfId="1">
      <formula>OR(ISNUMBER(SEARCH("Awaiting",M10)),ISNUMBER(SEARCH("Blocked",M10)))</formula>
    </cfRule>
  </conditionalFormatting>
  <printOptions headings="false" gridLines="false" gridLinesSet="true" horizontalCentered="false" verticalCentered="false"/>
  <pageMargins left="0.4" right="0.4" top="0.4" bottom="0.4"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2026-06-10T08:35:01Z</dcterms:created>
  <dc:creator>Freya Rosenstand</dc:creator>
  <dc:description/>
  <dc:language>en-US</dc:language>
  <cp:lastModifiedBy>Freya Rosenstand</cp:lastModifiedBy>
  <cp:lastPrinted>2026-06-21T14:45:06Z</cp:lastPrinted>
  <dcterms:modified xsi:type="dcterms:W3CDTF">2026-09-27T20:13:05Z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0x0101007784D5A394CDFE47B05DF646FEE6C70B</vt:lpwstr>
  </property>
</Properties>
</file>