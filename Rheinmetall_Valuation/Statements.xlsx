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esktop\Study\SECOND YEAR ESS\ESS_2\Finanal\Rheinmetall_Valuation\"/>
    </mc:Choice>
  </mc:AlternateContent>
  <xr:revisionPtr revIDLastSave="0" documentId="8_{7E978D5D-55B3-403F-8C5F-92DDEB7F312B}" xr6:coauthVersionLast="47" xr6:coauthVersionMax="47" xr10:uidLastSave="{00000000-0000-0000-0000-000000000000}"/>
  <bookViews>
    <workbookView xWindow="-110" yWindow="-110" windowWidth="19420" windowHeight="11500" firstSheet="2" activeTab="2" xr2:uid="{874DFB16-7B5B-4FC0-B579-2BF4E335344B}"/>
  </bookViews>
  <sheets>
    <sheet name="Income Statement " sheetId="4" r:id="rId1"/>
    <sheet name="Statement of Financial Position" sheetId="3" r:id="rId2"/>
    <sheet name="Statement of Comprehensive Inco" sheetId="2" r:id="rId3"/>
    <sheet name="Sheet1" sheetId="1" r:id="rId4"/>
  </sheets>
  <definedNames>
    <definedName name="ExternalData_1" localSheetId="2" hidden="1">'Statement of Comprehensive Inco'!$A$1:$D$14</definedName>
    <definedName name="ExternalData_2" localSheetId="1" hidden="1">'Statement of Financial Position'!$A$1:$E$47</definedName>
    <definedName name="ExternalData_3" localSheetId="0" hidden="1">'Income Statement '!$A$1:$E$34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B1DFDE-2188-4012-842D-1774A5C3DB74}" keepAlive="1" name="Query - Income Statement (Page 199)" description="Connection to the 'Income Statement (Page 199)' query in the workbook." type="5" refreshedVersion="7" background="1" saveData="1">
    <dbPr connection="Provider=Microsoft.Mashup.OleDb.1;Data Source=$Workbook$;Location=&quot;Income Statement (Page 199)&quot;;Extended Properties=&quot;&quot;" command="SELECT * FROM [Income Statement (Page 199)]"/>
  </connection>
  <connection id="2" xr16:uid="{9434F1B9-C3EF-4353-84DF-CE7B7BB7897D}" keepAlive="1" name="Query - Statement of Comprehensive Income (Page 199)" description="Connection to the 'Statement of Comprehensive Income (Page 199)' query in the workbook." type="5" refreshedVersion="7" background="1" saveData="1">
    <dbPr connection="Provider=Microsoft.Mashup.OleDb.1;Data Source=$Workbook$;Location=&quot;Statement of Comprehensive Income (Page 199)&quot;;Extended Properties=&quot;&quot;" command="SELECT * FROM [Statement of Comprehensive Income (Page 199)]"/>
  </connection>
  <connection id="3" xr16:uid="{2750C202-3ED6-4259-95E3-31F8BFF5FDE3}" keepAlive="1" name="Query - Statement of Financial Position (Page 200)" description="Connection to the 'Statement of Financial Position (Page 200)' query in the workbook." type="5" refreshedVersion="7" background="1" saveData="1">
    <dbPr connection="Provider=Microsoft.Mashup.OleDb.1;Data Source=$Workbook$;Location=&quot;Statement of Financial Position (Page 200)&quot;;Extended Properties=&quot;&quot;" command="SELECT * FROM [Statement of Financial Position (Page 200)]"/>
  </connection>
  <connection id="4" xr16:uid="{5E950C35-96DC-41B7-B20D-68128E094D40}" keepAlive="1" name="Query - Statement of Financial Position (Page 200) (2)" description="Connection to the 'Statement of Financial Position (Page 200) (2)' query in the workbook." type="5" refreshedVersion="7" background="1" saveData="1">
    <dbPr connection="Provider=Microsoft.Mashup.OleDb.1;Data Source=$Workbook$;Location=&quot;Statement of Financial Position (Page 200) (2)&quot;;Extended Properties=&quot;&quot;" command="SELECT * FROM [Statement of Financial Position (Page 200) (2)]"/>
  </connection>
</connections>
</file>

<file path=xl/sharedStrings.xml><?xml version="1.0" encoding="utf-8"?>
<sst xmlns="http://schemas.openxmlformats.org/spreadsheetml/2006/main" count="116" uniqueCount="99">
  <si>
    <t>€ million</t>
  </si>
  <si>
    <t>Notes</t>
  </si>
  <si>
    <t>12/31/2025</t>
  </si>
  <si>
    <t>12/31/2024</t>
  </si>
  <si>
    <t>Assets</t>
  </si>
  <si>
    <t>Goodwill</t>
  </si>
  <si>
    <t>Other intangible assets</t>
  </si>
  <si>
    <t>Right-of-use assets</t>
  </si>
  <si>
    <t>Property, plant and equipment</t>
  </si>
  <si>
    <t>Investment property</t>
  </si>
  <si>
    <t>Investments accounted for using the equity method</t>
  </si>
  <si>
    <t>Other non-current assets</t>
  </si>
  <si>
    <t>Deferred taxes</t>
  </si>
  <si>
    <t>Non-current assets</t>
  </si>
  <si>
    <t>Inventories</t>
  </si>
  <si>
    <t>Contract assets</t>
  </si>
  <si>
    <t>Trade receivables</t>
  </si>
  <si>
    <t>Other current assets</t>
  </si>
  <si>
    <t>Income tax receivables</t>
  </si>
  <si>
    <t>Cash and cash equivalents</t>
  </si>
  <si>
    <t>Assets held for sale</t>
  </si>
  <si>
    <t>-</t>
  </si>
  <si>
    <t>Current assets</t>
  </si>
  <si>
    <t>Total assets</t>
  </si>
  <si>
    <t>2025</t>
  </si>
  <si>
    <t>Earnings after taxes</t>
  </si>
  <si>
    <t>835</t>
  </si>
  <si>
    <t>Remeasurement of net defined benefit liability from pensions</t>
  </si>
  <si>
    <t>52</t>
  </si>
  <si>
    <t>Other comprehensive income from investments accounted for using the equity method</t>
  </si>
  <si>
    <t>Amounts not reclassified to the income statement</t>
  </si>
  <si>
    <t>Change in value of derivative financial instruments (cash flow hedge)</t>
  </si>
  <si>
    <t>31</t>
  </si>
  <si>
    <t>Currency translation difference</t>
  </si>
  <si>
    <t>(138)</t>
  </si>
  <si>
    <t>6</t>
  </si>
  <si>
    <t>Amounts reclassified to the income statement</t>
  </si>
  <si>
    <t>(101)</t>
  </si>
  <si>
    <t>Other comprehensive income after taxes</t>
  </si>
  <si>
    <t>(49)</t>
  </si>
  <si>
    <t>Total comprehensive income</t>
  </si>
  <si>
    <t>786</t>
  </si>
  <si>
    <t>Of which:</t>
  </si>
  <si>
    <t/>
  </si>
  <si>
    <t>Non-controlling interests</t>
  </si>
  <si>
    <t>150</t>
  </si>
  <si>
    <t>Rheinmetall AG shareholders</t>
  </si>
  <si>
    <t>636</t>
  </si>
  <si>
    <t>Equity and liabilities</t>
  </si>
  <si>
    <t>Share capital</t>
  </si>
  <si>
    <t>Capital reserves</t>
  </si>
  <si>
    <t>Retained earnings</t>
  </si>
  <si>
    <t>Treasury shares</t>
  </si>
  <si>
    <t>Rheinmetall AG shareholders' equity</t>
  </si>
  <si>
    <t>Equity</t>
  </si>
  <si>
    <t>Provisions for pensions and similar obligations</t>
  </si>
  <si>
    <t>Other non-current provisions</t>
  </si>
  <si>
    <t>Non-current financial debts</t>
  </si>
  <si>
    <t>Other non-current liabilities</t>
  </si>
  <si>
    <t>Non-current liabilities</t>
  </si>
  <si>
    <t>Other current provisions</t>
  </si>
  <si>
    <t>Current financial debts</t>
  </si>
  <si>
    <t>Contract liabilities</t>
  </si>
  <si>
    <t>Trade liabilities</t>
  </si>
  <si>
    <t>Other current liabilities</t>
  </si>
  <si>
    <t>Income tax liabilities</t>
  </si>
  <si>
    <t>Liabilities directly associated with assets held for sale</t>
  </si>
  <si>
    <t>Current liabilities</t>
  </si>
  <si>
    <t>Total equity and liabilities</t>
  </si>
  <si>
    <t>Sales</t>
  </si>
  <si>
    <t>Total operating performance</t>
  </si>
  <si>
    <t>Other operating income</t>
  </si>
  <si>
    <t>Cost of materials</t>
  </si>
  <si>
    <t>Personnel costs</t>
  </si>
  <si>
    <t>Amortization, depreciation and impairment</t>
  </si>
  <si>
    <t>Other operating expenses</t>
  </si>
  <si>
    <t>Result from investments accounted for using the equity method</t>
  </si>
  <si>
    <t>Other financial result</t>
  </si>
  <si>
    <t>Earnings before interest and taxes (EBIT)</t>
  </si>
  <si>
    <t>Interest income</t>
  </si>
  <si>
    <t>Interest expenses</t>
  </si>
  <si>
    <t>Earnings before taxes (EBT)</t>
  </si>
  <si>
    <t>Income taxes</t>
  </si>
  <si>
    <t>Earnings from continuing operations</t>
  </si>
  <si>
    <t>Of which non-controlling interests</t>
  </si>
  <si>
    <t>Of which Rheinmetall AG shareholders</t>
  </si>
  <si>
    <t>Earnings from discontinued operations</t>
  </si>
  <si>
    <t>Basic earnings per share</t>
  </si>
  <si>
    <t>Basic earnings per share from continuing operations</t>
  </si>
  <si>
    <t>Basic earnings per share from discontinued operations</t>
  </si>
  <si>
    <t>Diluted earnings per share</t>
  </si>
  <si>
    <t>Diluted earnings per share from continuing operations</t>
  </si>
  <si>
    <t>Diluted earnings per share from discontinued operations</t>
  </si>
  <si>
    <t>2024</t>
  </si>
  <si>
    <t>2023</t>
  </si>
  <si>
    <t>12/31/2023</t>
  </si>
  <si>
    <t>1,65</t>
  </si>
  <si>
    <t>1,27</t>
  </si>
  <si>
    <t>Changes in inventories and work performed by the enterprise and capitalizedcapitalized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</si>
</sst>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;\(#,##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11">
    <dxf>
      <numFmt numFmtId="166" formatCode="#,##0;\(#,##0\)"/>
    </dxf>
    <dxf>
      <numFmt numFmtId="166" formatCode="#,##0;\(#,##0\)"/>
    </dxf>
    <dxf>
      <numFmt numFmtId="166" formatCode="#,##0;\(#,##0\)"/>
      <alignment horizontal="right" vertical="bottom" textRotation="0" wrapText="0" indent="0" justifyLastLine="0" shrinkToFit="0" readingOrder="0"/>
    </dxf>
    <dxf>
      <numFmt numFmtId="0" formatCode="General"/>
    </dxf>
    <dxf>
      <numFmt numFmtId="166" formatCode="#,##0;\(#,##0\)"/>
    </dxf>
    <dxf>
      <numFmt numFmtId="166" formatCode="#,##0;\(#,##0\)"/>
    </dxf>
    <dxf>
      <numFmt numFmtId="166" formatCode="#,##0;\(#,##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9CD4948-DF04-4D1A-952F-B26DEAB46F24}" autoFormatId="16" applyNumberFormats="0" applyBorderFormats="0" applyFontFormats="0" applyPatternFormats="0" applyAlignmentFormats="0" applyWidthHeightFormats="0">
  <queryTableRefresh nextId="11">
    <queryTableFields count="5">
      <queryTableField id="5" name="€ million" tableColumnId="5"/>
      <queryTableField id="6" name="Notes" tableColumnId="6"/>
      <queryTableField id="7" name="2025" tableColumnId="7"/>
      <queryTableField id="8" name="2024" tableColumnId="8"/>
      <queryTableField id="9" name="2023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5CAB70D-282C-4ED2-8310-38DE26E17C9B}" autoFormatId="16" applyNumberFormats="0" applyBorderFormats="0" applyFontFormats="0" applyPatternFormats="0" applyAlignmentFormats="0" applyWidthHeightFormats="0">
  <queryTableRefresh nextId="7">
    <queryTableFields count="5">
      <queryTableField id="1" name="€ million" tableColumnId="1"/>
      <queryTableField id="2" name="Notes" tableColumnId="2"/>
      <queryTableField id="3" name="12/31/2025" tableColumnId="3"/>
      <queryTableField id="4" name="12/31/2024" tableColumnId="4"/>
      <queryTableField id="6" name="12/31/2023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6EAE37D-DCF7-411A-BBF6-8709BCBFB871}" autoFormatId="16" applyNumberFormats="0" applyBorderFormats="0" applyFontFormats="0" applyPatternFormats="0" applyAlignmentFormats="0" applyWidthHeightFormats="0">
  <queryTableRefresh nextId="9">
    <queryTableFields count="4">
      <queryTableField id="4" name="€ million" tableColumnId="4"/>
      <queryTableField id="5" name="2025" tableColumnId="5"/>
      <queryTableField id="6" name="2024" tableColumnId="6"/>
      <queryTableField id="7" name="2023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4A9585-AD25-42F6-8773-E4D724DC2D1C}" name="Income_Statement__Page_199" displayName="Income_Statement__Page_199" ref="A1:E34" tableType="queryTable" totalsRowShown="0">
  <autoFilter ref="A1:E34" xr:uid="{734A9585-AD25-42F6-8773-E4D724DC2D1C}"/>
  <tableColumns count="5">
    <tableColumn id="5" xr3:uid="{D2115C1D-7A81-4CF2-85E2-29EE1A14737E}" uniqueName="5" name="€ million" queryTableFieldId="5" dataDxfId="7"/>
    <tableColumn id="6" xr3:uid="{378B7225-BBF4-49C2-A836-817CE8A44276}" uniqueName="6" name="Notes" queryTableFieldId="6"/>
    <tableColumn id="7" xr3:uid="{ED5CF1A6-24B7-43A4-A9C5-D95FC34C4DD5}" uniqueName="7" name="2025" queryTableFieldId="7" dataDxfId="6"/>
    <tableColumn id="8" xr3:uid="{692A65A9-6795-4679-B1C6-7ABB81C0F254}" uniqueName="8" name="2024" queryTableFieldId="8" dataDxfId="5"/>
    <tableColumn id="9" xr3:uid="{746C59E0-C1DB-47AE-A816-6A1F2535D394}" uniqueName="9" name="2023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C8A02-8D08-4229-AA3B-DEB437E4F022}" name="Statement_of_Financial_Position__Page_200" displayName="Statement_of_Financial_Position__Page_200" ref="A1:E47" tableType="queryTable" totalsRowShown="0">
  <autoFilter ref="A1:E47" xr:uid="{4CAC8A02-8D08-4229-AA3B-DEB437E4F022}"/>
  <tableColumns count="5">
    <tableColumn id="1" xr3:uid="{7E9422E8-2F1A-41B0-99CB-9AC774AE0CC4}" uniqueName="1" name="€ million" queryTableFieldId="1" dataDxfId="8"/>
    <tableColumn id="2" xr3:uid="{E1B53C46-C81B-46BE-BC57-A15DA2C8AF1B}" uniqueName="2" name="Notes" queryTableFieldId="2"/>
    <tableColumn id="3" xr3:uid="{160A794D-7FF4-4C96-B8AC-B0D524488A06}" uniqueName="3" name="12/31/2025" queryTableFieldId="3" dataDxfId="3"/>
    <tableColumn id="4" xr3:uid="{23756164-EBF1-4DF3-A44D-844E2FB138EB}" uniqueName="4" name="12/31/2024" queryTableFieldId="4" dataDxfId="2"/>
    <tableColumn id="6" xr3:uid="{A2BC1B8D-8D70-4903-B346-6E073FADB88B}" uniqueName="6" name="12/31/2023" queryTableFieldId="6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DA2E18-BD71-468A-A485-D1FA65EA0C69}" name="Statement_of_Comprehensive_Income__Page_199" displayName="Statement_of_Comprehensive_Income__Page_199" ref="A1:D14" tableType="queryTable" totalsRowShown="0">
  <autoFilter ref="A1:D14" xr:uid="{D7DA2E18-BD71-468A-A485-D1FA65EA0C69}"/>
  <tableColumns count="4">
    <tableColumn id="4" xr3:uid="{442C8B0A-A356-4AD2-90B1-F24E810F969D}" uniqueName="4" name="€ million" queryTableFieldId="4" dataDxfId="10"/>
    <tableColumn id="5" xr3:uid="{D3C30F9B-736D-4BC5-B790-0DF170195B40}" uniqueName="5" name="2025" queryTableFieldId="5" dataDxfId="9"/>
    <tableColumn id="6" xr3:uid="{8A0754FF-E2CB-4E9F-A809-74CCFD2F57BC}" uniqueName="6" name="2024" queryTableFieldId="6"/>
    <tableColumn id="7" xr3:uid="{A61F35E7-AC14-422D-80A1-702996A2E586}" uniqueName="7" name="2023" queryTableFieldId="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806C-AADE-4F58-BC30-076CAE68363F}">
  <dimension ref="A1:E34"/>
  <sheetViews>
    <sheetView workbookViewId="0">
      <selection activeCell="F7" sqref="F7"/>
    </sheetView>
  </sheetViews>
  <sheetFormatPr defaultRowHeight="14.5" x14ac:dyDescent="0.35"/>
  <cols>
    <col min="1" max="1" width="54.6328125" bestFit="1" customWidth="1"/>
    <col min="2" max="2" width="8" bestFit="1" customWidth="1"/>
    <col min="3" max="3" width="7.08984375" bestFit="1" customWidth="1"/>
    <col min="4" max="4" width="7.26953125" bestFit="1" customWidth="1"/>
    <col min="5" max="5" width="13.36328125" style="2" customWidth="1"/>
    <col min="6" max="8" width="10.54296875" bestFit="1" customWidth="1"/>
  </cols>
  <sheetData>
    <row r="1" spans="1:5" x14ac:dyDescent="0.35">
      <c r="A1" t="s">
        <v>0</v>
      </c>
      <c r="B1" t="s">
        <v>1</v>
      </c>
      <c r="C1" s="1" t="s">
        <v>24</v>
      </c>
      <c r="D1" s="1" t="s">
        <v>93</v>
      </c>
      <c r="E1" s="2" t="s">
        <v>94</v>
      </c>
    </row>
    <row r="2" spans="1:5" x14ac:dyDescent="0.35">
      <c r="A2" s="1" t="s">
        <v>69</v>
      </c>
      <c r="B2">
        <v>-9</v>
      </c>
      <c r="C2" s="2">
        <v>9.9350000000000005</v>
      </c>
      <c r="D2" s="2">
        <v>7.7149999999999999</v>
      </c>
      <c r="E2" s="2">
        <v>7176</v>
      </c>
    </row>
    <row r="3" spans="1:5" x14ac:dyDescent="0.35">
      <c r="A3" s="1" t="s">
        <v>98</v>
      </c>
      <c r="B3">
        <v>-10</v>
      </c>
      <c r="C3" s="2">
        <v>521</v>
      </c>
      <c r="D3" s="2">
        <v>132</v>
      </c>
      <c r="E3" s="2">
        <v>696</v>
      </c>
    </row>
    <row r="4" spans="1:5" x14ac:dyDescent="0.35">
      <c r="A4" s="1" t="s">
        <v>70</v>
      </c>
      <c r="C4" s="2">
        <v>10.456</v>
      </c>
      <c r="D4" s="2">
        <v>7.8470000000000004</v>
      </c>
      <c r="E4" s="2">
        <v>7.8470000000000004</v>
      </c>
    </row>
    <row r="5" spans="1:5" x14ac:dyDescent="0.35">
      <c r="A5" s="1" t="s">
        <v>71</v>
      </c>
      <c r="B5">
        <v>-11</v>
      </c>
      <c r="C5" s="2">
        <v>273</v>
      </c>
      <c r="D5" s="2">
        <v>178</v>
      </c>
      <c r="E5" s="2">
        <v>178</v>
      </c>
    </row>
    <row r="6" spans="1:5" x14ac:dyDescent="0.35">
      <c r="A6" s="1" t="s">
        <v>72</v>
      </c>
      <c r="B6">
        <v>-12</v>
      </c>
      <c r="C6" s="2">
        <v>5.2519999999999998</v>
      </c>
      <c r="D6" s="2">
        <v>3.6930000000000001</v>
      </c>
      <c r="E6" s="2">
        <v>3.6930000000000001</v>
      </c>
    </row>
    <row r="7" spans="1:5" x14ac:dyDescent="0.35">
      <c r="A7" s="1" t="s">
        <v>73</v>
      </c>
      <c r="B7">
        <v>-13</v>
      </c>
      <c r="C7" s="2">
        <v>2.3140000000000001</v>
      </c>
      <c r="D7" s="2">
        <v>1.8440000000000001</v>
      </c>
      <c r="E7" s="2">
        <v>1.8440000000000001</v>
      </c>
    </row>
    <row r="8" spans="1:5" x14ac:dyDescent="0.35">
      <c r="A8" s="1"/>
      <c r="C8" s="2"/>
      <c r="D8" s="2"/>
    </row>
    <row r="9" spans="1:5" x14ac:dyDescent="0.35">
      <c r="A9" s="1" t="s">
        <v>74</v>
      </c>
      <c r="B9">
        <v>-14</v>
      </c>
      <c r="C9" s="2">
        <v>406</v>
      </c>
      <c r="D9" s="2">
        <v>284</v>
      </c>
      <c r="E9" s="2">
        <v>284</v>
      </c>
    </row>
    <row r="10" spans="1:5" x14ac:dyDescent="0.35">
      <c r="A10" s="1" t="s">
        <v>75</v>
      </c>
      <c r="B10">
        <v>-15</v>
      </c>
      <c r="C10" s="2">
        <v>1.1120000000000001</v>
      </c>
      <c r="D10" s="2">
        <v>891</v>
      </c>
      <c r="E10" s="2">
        <v>891</v>
      </c>
    </row>
    <row r="11" spans="1:5" x14ac:dyDescent="0.35">
      <c r="A11" s="1" t="s">
        <v>76</v>
      </c>
      <c r="C11" s="2">
        <v>47</v>
      </c>
      <c r="D11" s="2">
        <v>-33</v>
      </c>
      <c r="E11" s="2">
        <v>-33</v>
      </c>
    </row>
    <row r="12" spans="1:5" x14ac:dyDescent="0.35">
      <c r="A12" s="1" t="s">
        <v>77</v>
      </c>
      <c r="C12" s="2">
        <v>-7</v>
      </c>
      <c r="D12" s="2">
        <v>-9</v>
      </c>
      <c r="E12" s="2">
        <v>-9</v>
      </c>
    </row>
    <row r="13" spans="1:5" x14ac:dyDescent="0.35">
      <c r="A13" s="1" t="s">
        <v>78</v>
      </c>
      <c r="C13" s="2">
        <v>1.6839999999999999</v>
      </c>
      <c r="D13" s="2">
        <v>1.27</v>
      </c>
      <c r="E13" s="2">
        <v>1.27</v>
      </c>
    </row>
    <row r="14" spans="1:5" x14ac:dyDescent="0.35">
      <c r="A14" s="1" t="s">
        <v>79</v>
      </c>
      <c r="C14" s="2">
        <v>4</v>
      </c>
      <c r="D14" s="2">
        <v>14</v>
      </c>
      <c r="E14" s="2">
        <v>14</v>
      </c>
    </row>
    <row r="15" spans="1:5" x14ac:dyDescent="0.35">
      <c r="A15" s="1" t="s">
        <v>80</v>
      </c>
      <c r="C15" s="2">
        <v>116</v>
      </c>
      <c r="D15" s="2">
        <v>116</v>
      </c>
      <c r="E15" s="2">
        <v>116</v>
      </c>
    </row>
    <row r="16" spans="1:5" x14ac:dyDescent="0.35">
      <c r="A16" s="1" t="s">
        <v>81</v>
      </c>
      <c r="C16" s="2">
        <v>1.5720000000000001</v>
      </c>
      <c r="D16" s="2">
        <v>1.1679999999999999</v>
      </c>
      <c r="E16" s="2">
        <v>1.1679999999999999</v>
      </c>
    </row>
    <row r="17" spans="1:5" x14ac:dyDescent="0.35">
      <c r="A17" s="1" t="s">
        <v>82</v>
      </c>
      <c r="B17">
        <v>-16</v>
      </c>
      <c r="C17" s="2">
        <v>-396</v>
      </c>
      <c r="D17" s="2">
        <v>-328</v>
      </c>
      <c r="E17" s="2">
        <v>-328</v>
      </c>
    </row>
    <row r="18" spans="1:5" x14ac:dyDescent="0.35">
      <c r="A18" s="1" t="s">
        <v>83</v>
      </c>
      <c r="C18" s="2">
        <v>1.1759999999999999</v>
      </c>
      <c r="D18" s="2">
        <v>840</v>
      </c>
      <c r="E18" s="2">
        <v>840</v>
      </c>
    </row>
    <row r="19" spans="1:5" x14ac:dyDescent="0.35">
      <c r="A19" s="1" t="s">
        <v>84</v>
      </c>
      <c r="C19" s="2">
        <v>148</v>
      </c>
      <c r="D19" s="2">
        <v>93</v>
      </c>
      <c r="E19" s="2">
        <v>93</v>
      </c>
    </row>
    <row r="20" spans="1:5" x14ac:dyDescent="0.35">
      <c r="A20" s="1" t="s">
        <v>85</v>
      </c>
      <c r="C20" s="2">
        <v>1.028</v>
      </c>
      <c r="D20" s="2">
        <v>747</v>
      </c>
      <c r="E20" s="2">
        <v>747</v>
      </c>
    </row>
    <row r="21" spans="1:5" x14ac:dyDescent="0.35">
      <c r="A21" s="1" t="s">
        <v>86</v>
      </c>
      <c r="B21">
        <v>-8</v>
      </c>
      <c r="C21" s="2">
        <v>-341</v>
      </c>
      <c r="D21" s="2">
        <v>-32</v>
      </c>
      <c r="E21" s="2">
        <v>-32</v>
      </c>
    </row>
    <row r="22" spans="1:5" x14ac:dyDescent="0.35">
      <c r="A22" s="1" t="s">
        <v>84</v>
      </c>
      <c r="C22" s="2">
        <v>-9</v>
      </c>
      <c r="D22" s="2">
        <v>-2</v>
      </c>
      <c r="E22" s="2">
        <v>-2</v>
      </c>
    </row>
    <row r="23" spans="1:5" x14ac:dyDescent="0.35">
      <c r="A23" s="1" t="s">
        <v>85</v>
      </c>
      <c r="C23" s="2">
        <v>-333</v>
      </c>
      <c r="D23" s="2">
        <v>-30</v>
      </c>
      <c r="E23" s="2">
        <v>-30</v>
      </c>
    </row>
    <row r="24" spans="1:5" x14ac:dyDescent="0.35">
      <c r="A24" s="1" t="s">
        <v>25</v>
      </c>
      <c r="C24" s="2">
        <v>835</v>
      </c>
      <c r="D24" s="2">
        <v>808</v>
      </c>
      <c r="E24" s="2">
        <v>808</v>
      </c>
    </row>
    <row r="25" spans="1:5" x14ac:dyDescent="0.35">
      <c r="A25" s="1" t="s">
        <v>84</v>
      </c>
      <c r="C25" s="2">
        <v>139</v>
      </c>
      <c r="D25" s="2">
        <v>91</v>
      </c>
      <c r="E25" s="2">
        <v>91</v>
      </c>
    </row>
    <row r="26" spans="1:5" x14ac:dyDescent="0.35">
      <c r="A26" s="1" t="s">
        <v>85</v>
      </c>
      <c r="C26" s="2">
        <v>696</v>
      </c>
      <c r="D26" s="2">
        <v>717</v>
      </c>
      <c r="E26" s="2">
        <v>717</v>
      </c>
    </row>
    <row r="27" spans="1:5" x14ac:dyDescent="0.35">
      <c r="A27" s="1"/>
      <c r="C27" s="2"/>
      <c r="D27" s="2"/>
    </row>
    <row r="28" spans="1:5" x14ac:dyDescent="0.35">
      <c r="A28" s="1" t="s">
        <v>87</v>
      </c>
      <c r="B28">
        <v>-17</v>
      </c>
      <c r="C28" s="2">
        <v>1538</v>
      </c>
      <c r="D28" s="2">
        <v>1651</v>
      </c>
      <c r="E28" s="2">
        <v>1651</v>
      </c>
    </row>
    <row r="29" spans="1:5" x14ac:dyDescent="0.35">
      <c r="A29" s="1" t="s">
        <v>88</v>
      </c>
      <c r="C29" s="2">
        <v>2273</v>
      </c>
      <c r="D29" s="2">
        <v>1719</v>
      </c>
      <c r="E29" s="2">
        <v>1719</v>
      </c>
    </row>
    <row r="30" spans="1:5" x14ac:dyDescent="0.35">
      <c r="A30" s="1" t="s">
        <v>89</v>
      </c>
      <c r="C30" s="2">
        <v>-735</v>
      </c>
      <c r="D30" s="2">
        <v>-68</v>
      </c>
      <c r="E30" s="2">
        <v>-68</v>
      </c>
    </row>
    <row r="31" spans="1:5" x14ac:dyDescent="0.35">
      <c r="A31" s="1" t="s">
        <v>90</v>
      </c>
      <c r="B31">
        <v>-17</v>
      </c>
      <c r="C31" s="2">
        <v>1516</v>
      </c>
      <c r="D31" s="2">
        <v>1596</v>
      </c>
      <c r="E31" s="2">
        <v>1596</v>
      </c>
    </row>
    <row r="32" spans="1:5" x14ac:dyDescent="0.35">
      <c r="A32" s="1" t="s">
        <v>91</v>
      </c>
      <c r="C32" s="2">
        <v>2229</v>
      </c>
      <c r="D32" s="2">
        <v>1660</v>
      </c>
      <c r="E32" s="2">
        <v>1660</v>
      </c>
    </row>
    <row r="33" spans="1:5" x14ac:dyDescent="0.35">
      <c r="A33" s="1" t="s">
        <v>92</v>
      </c>
      <c r="C33" s="2">
        <v>-713</v>
      </c>
      <c r="D33" s="2">
        <v>-64</v>
      </c>
      <c r="E33" s="2">
        <v>-64</v>
      </c>
    </row>
    <row r="34" spans="1:5" x14ac:dyDescent="0.35">
      <c r="A34" s="1"/>
      <c r="C34" s="2"/>
      <c r="D34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B102-F63A-4D62-84DF-276BBBFD828B}">
  <dimension ref="A1:G47"/>
  <sheetViews>
    <sheetView topLeftCell="A13" workbookViewId="0">
      <selection activeCell="F28" sqref="F28"/>
    </sheetView>
  </sheetViews>
  <sheetFormatPr defaultRowHeight="14.5" x14ac:dyDescent="0.35"/>
  <cols>
    <col min="1" max="1" width="45.26953125" bestFit="1" customWidth="1"/>
    <col min="2" max="2" width="8" bestFit="1" customWidth="1"/>
    <col min="3" max="3" width="12.7265625" style="1" bestFit="1" customWidth="1"/>
    <col min="4" max="4" width="12.7265625" style="3" bestFit="1" customWidth="1"/>
    <col min="5" max="5" width="12.7265625" style="2" bestFit="1" customWidth="1"/>
    <col min="6" max="6" width="12.7265625" customWidth="1"/>
  </cols>
  <sheetData>
    <row r="1" spans="1:7" x14ac:dyDescent="0.35">
      <c r="A1" t="s">
        <v>0</v>
      </c>
      <c r="B1" t="s">
        <v>1</v>
      </c>
      <c r="C1" s="1" t="s">
        <v>2</v>
      </c>
      <c r="D1" s="3" t="s">
        <v>3</v>
      </c>
      <c r="E1" s="2" t="s">
        <v>95</v>
      </c>
    </row>
    <row r="2" spans="1:7" x14ac:dyDescent="0.35">
      <c r="A2" s="1" t="s">
        <v>4</v>
      </c>
      <c r="F2" s="1"/>
    </row>
    <row r="3" spans="1:7" x14ac:dyDescent="0.35">
      <c r="A3" s="1" t="s">
        <v>5</v>
      </c>
      <c r="B3">
        <v>-18</v>
      </c>
      <c r="C3" s="4">
        <v>1354</v>
      </c>
      <c r="D3" s="3">
        <v>1426</v>
      </c>
      <c r="E3" s="2">
        <v>1125</v>
      </c>
      <c r="F3" s="1"/>
      <c r="G3" t="b">
        <f>ISNUMBER(E3)</f>
        <v>1</v>
      </c>
    </row>
    <row r="4" spans="1:7" x14ac:dyDescent="0.35">
      <c r="A4" s="1" t="s">
        <v>6</v>
      </c>
      <c r="B4">
        <v>-18</v>
      </c>
      <c r="C4" s="4">
        <v>1244</v>
      </c>
      <c r="D4" s="3">
        <v>1376</v>
      </c>
      <c r="E4" s="2">
        <v>952</v>
      </c>
      <c r="F4" s="1"/>
    </row>
    <row r="5" spans="1:7" x14ac:dyDescent="0.35">
      <c r="A5" s="1" t="s">
        <v>7</v>
      </c>
      <c r="B5">
        <v>-19</v>
      </c>
      <c r="C5" s="1">
        <v>338</v>
      </c>
      <c r="D5" s="3">
        <v>334</v>
      </c>
      <c r="E5" s="2">
        <v>271</v>
      </c>
      <c r="F5" s="1"/>
    </row>
    <row r="6" spans="1:7" x14ac:dyDescent="0.35">
      <c r="A6" s="1" t="s">
        <v>8</v>
      </c>
      <c r="B6">
        <v>-20</v>
      </c>
      <c r="C6" s="4">
        <v>1962</v>
      </c>
      <c r="D6" s="3">
        <v>1853</v>
      </c>
      <c r="E6" s="2">
        <v>1370</v>
      </c>
      <c r="F6" s="1"/>
    </row>
    <row r="7" spans="1:7" x14ac:dyDescent="0.35">
      <c r="A7" s="1" t="s">
        <v>9</v>
      </c>
      <c r="B7">
        <v>-21</v>
      </c>
      <c r="C7" s="1">
        <v>2</v>
      </c>
      <c r="D7" s="3">
        <v>20</v>
      </c>
      <c r="E7" s="2">
        <v>22</v>
      </c>
      <c r="F7" s="1"/>
    </row>
    <row r="8" spans="1:7" x14ac:dyDescent="0.35">
      <c r="A8" s="1" t="s">
        <v>10</v>
      </c>
      <c r="B8">
        <v>-22</v>
      </c>
      <c r="C8" s="1">
        <v>213</v>
      </c>
      <c r="D8" s="3">
        <v>346</v>
      </c>
      <c r="E8" s="2">
        <v>373</v>
      </c>
      <c r="F8" s="1"/>
    </row>
    <row r="9" spans="1:7" x14ac:dyDescent="0.35">
      <c r="A9" s="1" t="s">
        <v>11</v>
      </c>
      <c r="B9">
        <v>-24</v>
      </c>
      <c r="C9" s="1">
        <v>592</v>
      </c>
      <c r="D9" s="3">
        <v>585</v>
      </c>
      <c r="E9" s="2">
        <v>339</v>
      </c>
      <c r="F9" s="1"/>
    </row>
    <row r="10" spans="1:7" x14ac:dyDescent="0.35">
      <c r="A10" s="1" t="s">
        <v>12</v>
      </c>
      <c r="B10">
        <v>-16</v>
      </c>
      <c r="C10" s="1">
        <v>165</v>
      </c>
      <c r="D10" s="3">
        <v>172</v>
      </c>
      <c r="E10" s="2">
        <v>164</v>
      </c>
      <c r="F10" s="1"/>
    </row>
    <row r="11" spans="1:7" x14ac:dyDescent="0.35">
      <c r="A11" s="1" t="s">
        <v>13</v>
      </c>
      <c r="C11" s="4">
        <v>5871</v>
      </c>
      <c r="D11" s="3">
        <v>6112</v>
      </c>
      <c r="E11" s="2">
        <v>4615</v>
      </c>
      <c r="F11" s="1"/>
    </row>
    <row r="12" spans="1:7" x14ac:dyDescent="0.35">
      <c r="A12" s="1"/>
      <c r="F12" s="1"/>
    </row>
    <row r="13" spans="1:7" x14ac:dyDescent="0.35">
      <c r="A13" s="1" t="s">
        <v>14</v>
      </c>
      <c r="B13">
        <v>-23</v>
      </c>
      <c r="C13" s="4">
        <v>4721</v>
      </c>
      <c r="D13" s="3">
        <v>3989</v>
      </c>
      <c r="E13" s="2">
        <v>3246</v>
      </c>
      <c r="F13" s="1"/>
    </row>
    <row r="14" spans="1:7" x14ac:dyDescent="0.35">
      <c r="A14" s="1" t="s">
        <v>15</v>
      </c>
      <c r="B14">
        <v>-9</v>
      </c>
      <c r="C14" s="1">
        <v>957</v>
      </c>
      <c r="D14" s="3">
        <v>692</v>
      </c>
      <c r="E14" s="2">
        <v>516</v>
      </c>
      <c r="F14" s="1"/>
    </row>
    <row r="15" spans="1:7" x14ac:dyDescent="0.35">
      <c r="A15" s="1" t="s">
        <v>16</v>
      </c>
      <c r="B15">
        <v>-9</v>
      </c>
      <c r="C15" s="4">
        <v>1907</v>
      </c>
      <c r="D15" s="3">
        <v>1959</v>
      </c>
      <c r="E15" s="2">
        <v>2021</v>
      </c>
      <c r="F15" s="1"/>
    </row>
    <row r="16" spans="1:7" x14ac:dyDescent="0.35">
      <c r="A16" s="1" t="s">
        <v>17</v>
      </c>
      <c r="B16">
        <v>-24</v>
      </c>
      <c r="C16" s="1">
        <v>384</v>
      </c>
      <c r="D16" s="3">
        <v>350</v>
      </c>
      <c r="E16" s="2">
        <v>251</v>
      </c>
      <c r="F16" s="1"/>
    </row>
    <row r="17" spans="1:6" x14ac:dyDescent="0.35">
      <c r="A17" s="1" t="s">
        <v>18</v>
      </c>
      <c r="C17" s="1">
        <v>11</v>
      </c>
      <c r="D17" s="3">
        <v>57</v>
      </c>
      <c r="E17" s="2">
        <v>13</v>
      </c>
      <c r="F17" s="1"/>
    </row>
    <row r="18" spans="1:6" x14ac:dyDescent="0.35">
      <c r="A18" s="1" t="s">
        <v>19</v>
      </c>
      <c r="B18">
        <v>-25</v>
      </c>
      <c r="C18" s="1" t="s">
        <v>96</v>
      </c>
      <c r="D18" s="3">
        <v>1184</v>
      </c>
      <c r="E18" s="2">
        <v>850</v>
      </c>
      <c r="F18" s="1"/>
    </row>
    <row r="19" spans="1:6" x14ac:dyDescent="0.35">
      <c r="A19" s="1" t="s">
        <v>20</v>
      </c>
      <c r="B19">
        <v>-8</v>
      </c>
      <c r="C19" s="1" t="s">
        <v>97</v>
      </c>
      <c r="D19" s="3" t="s">
        <v>21</v>
      </c>
      <c r="E19" s="2">
        <v>196</v>
      </c>
      <c r="F19" s="1"/>
    </row>
    <row r="20" spans="1:6" x14ac:dyDescent="0.35">
      <c r="A20" s="1" t="s">
        <v>22</v>
      </c>
      <c r="C20" s="4">
        <v>10901</v>
      </c>
      <c r="D20" s="3">
        <v>8231</v>
      </c>
      <c r="E20" s="2">
        <v>7092</v>
      </c>
      <c r="F20" s="1"/>
    </row>
    <row r="21" spans="1:6" x14ac:dyDescent="0.35">
      <c r="A21" s="1" t="s">
        <v>23</v>
      </c>
      <c r="C21" s="4">
        <v>16772</v>
      </c>
      <c r="D21" s="3">
        <v>14344</v>
      </c>
      <c r="E21" s="2">
        <v>11707</v>
      </c>
      <c r="F21" s="1"/>
    </row>
    <row r="22" spans="1:6" x14ac:dyDescent="0.35">
      <c r="A22" s="1" t="s">
        <v>48</v>
      </c>
      <c r="F22" s="1"/>
    </row>
    <row r="23" spans="1:6" x14ac:dyDescent="0.35">
      <c r="A23" s="1" t="s">
        <v>49</v>
      </c>
      <c r="C23" s="1">
        <v>118</v>
      </c>
      <c r="D23" s="3">
        <v>112</v>
      </c>
      <c r="E23" s="2">
        <v>112</v>
      </c>
      <c r="F23" s="1"/>
    </row>
    <row r="24" spans="1:6" x14ac:dyDescent="0.35">
      <c r="A24" s="1" t="s">
        <v>50</v>
      </c>
      <c r="C24" s="4">
        <v>1394</v>
      </c>
      <c r="D24" s="3">
        <v>696</v>
      </c>
      <c r="E24" s="2">
        <v>676</v>
      </c>
      <c r="F24" s="1"/>
    </row>
    <row r="25" spans="1:6" x14ac:dyDescent="0.35">
      <c r="A25" s="1" t="s">
        <v>51</v>
      </c>
      <c r="C25" s="4">
        <v>3503</v>
      </c>
      <c r="D25" s="3">
        <v>3247</v>
      </c>
      <c r="E25" s="2">
        <v>2533</v>
      </c>
      <c r="F25" s="1"/>
    </row>
    <row r="26" spans="1:6" x14ac:dyDescent="0.35">
      <c r="A26" s="1" t="s">
        <v>52</v>
      </c>
      <c r="C26" s="1">
        <v>-4</v>
      </c>
      <c r="D26" s="3">
        <v>-4</v>
      </c>
      <c r="E26" s="2">
        <v>-5</v>
      </c>
      <c r="F26" s="1"/>
    </row>
    <row r="27" spans="1:6" x14ac:dyDescent="0.35">
      <c r="A27" s="1" t="s">
        <v>53</v>
      </c>
      <c r="C27" s="4">
        <v>5011</v>
      </c>
      <c r="D27" s="3">
        <v>4050</v>
      </c>
      <c r="E27" s="2">
        <v>3316</v>
      </c>
      <c r="F27" s="1"/>
    </row>
    <row r="28" spans="1:6" x14ac:dyDescent="0.35">
      <c r="A28" s="1" t="s">
        <v>44</v>
      </c>
      <c r="C28" s="1">
        <v>604</v>
      </c>
      <c r="D28" s="3">
        <v>414</v>
      </c>
      <c r="E28" s="2">
        <v>327</v>
      </c>
      <c r="F28" s="1"/>
    </row>
    <row r="29" spans="1:6" x14ac:dyDescent="0.35">
      <c r="A29" s="1"/>
      <c r="F29" s="1"/>
    </row>
    <row r="30" spans="1:6" x14ac:dyDescent="0.35">
      <c r="A30" s="1" t="s">
        <v>54</v>
      </c>
      <c r="B30">
        <v>-26</v>
      </c>
      <c r="C30" s="4">
        <v>5614</v>
      </c>
      <c r="D30" s="3">
        <v>4465</v>
      </c>
      <c r="E30" s="2">
        <v>3643</v>
      </c>
      <c r="F30" s="1"/>
    </row>
    <row r="31" spans="1:6" x14ac:dyDescent="0.35">
      <c r="A31" s="1"/>
      <c r="F31" s="1"/>
    </row>
    <row r="32" spans="1:6" x14ac:dyDescent="0.35">
      <c r="A32" s="1" t="s">
        <v>55</v>
      </c>
      <c r="B32">
        <v>-27</v>
      </c>
      <c r="C32" s="1">
        <v>278</v>
      </c>
      <c r="D32" s="3">
        <v>527</v>
      </c>
      <c r="E32" s="2">
        <v>562</v>
      </c>
      <c r="F32" s="1"/>
    </row>
    <row r="33" spans="1:6" x14ac:dyDescent="0.35">
      <c r="A33" s="1" t="s">
        <v>56</v>
      </c>
      <c r="B33">
        <v>-28</v>
      </c>
      <c r="C33" s="1">
        <v>280</v>
      </c>
      <c r="D33" s="3">
        <v>285</v>
      </c>
      <c r="E33" s="2">
        <v>230</v>
      </c>
      <c r="F33" s="1"/>
    </row>
    <row r="34" spans="1:6" x14ac:dyDescent="0.35">
      <c r="A34" s="1" t="s">
        <v>57</v>
      </c>
      <c r="B34">
        <v>-29</v>
      </c>
      <c r="C34" s="4">
        <v>1155</v>
      </c>
      <c r="D34" s="3">
        <v>1871</v>
      </c>
      <c r="E34" s="2">
        <v>1503</v>
      </c>
      <c r="F34" s="1"/>
    </row>
    <row r="35" spans="1:6" x14ac:dyDescent="0.35">
      <c r="A35" s="1" t="s">
        <v>58</v>
      </c>
      <c r="B35">
        <v>-30</v>
      </c>
      <c r="C35" s="1">
        <v>10</v>
      </c>
      <c r="D35" s="3">
        <v>58</v>
      </c>
      <c r="E35" s="2">
        <v>51</v>
      </c>
      <c r="F35" s="1"/>
    </row>
    <row r="36" spans="1:6" x14ac:dyDescent="0.35">
      <c r="A36" s="1" t="s">
        <v>12</v>
      </c>
      <c r="B36">
        <v>-16</v>
      </c>
      <c r="C36" s="1">
        <v>363</v>
      </c>
      <c r="D36" s="3">
        <v>356</v>
      </c>
      <c r="E36" s="2">
        <v>260</v>
      </c>
      <c r="F36" s="1"/>
    </row>
    <row r="37" spans="1:6" x14ac:dyDescent="0.35">
      <c r="A37" s="1" t="s">
        <v>59</v>
      </c>
      <c r="C37" s="4">
        <v>2086</v>
      </c>
      <c r="D37" s="3">
        <v>3097</v>
      </c>
      <c r="E37" s="2">
        <v>2605</v>
      </c>
      <c r="F37" s="1"/>
    </row>
    <row r="38" spans="1:6" x14ac:dyDescent="0.35">
      <c r="A38" s="1"/>
      <c r="F38" s="1"/>
    </row>
    <row r="39" spans="1:6" x14ac:dyDescent="0.35">
      <c r="A39" s="1" t="s">
        <v>60</v>
      </c>
      <c r="B39">
        <v>-28</v>
      </c>
      <c r="C39" s="1">
        <v>891</v>
      </c>
      <c r="D39" s="3">
        <v>807</v>
      </c>
      <c r="E39" s="2">
        <v>690</v>
      </c>
      <c r="F39" s="1"/>
    </row>
    <row r="40" spans="1:6" x14ac:dyDescent="0.35">
      <c r="A40" s="1" t="s">
        <v>61</v>
      </c>
      <c r="B40">
        <v>-29</v>
      </c>
      <c r="C40" s="1">
        <v>126</v>
      </c>
      <c r="D40" s="3">
        <v>552</v>
      </c>
      <c r="E40" s="2">
        <v>410</v>
      </c>
      <c r="F40" s="1"/>
    </row>
    <row r="41" spans="1:6" x14ac:dyDescent="0.35">
      <c r="A41" s="1" t="s">
        <v>62</v>
      </c>
      <c r="B41">
        <v>-9</v>
      </c>
      <c r="C41" s="4">
        <v>5642</v>
      </c>
      <c r="D41" s="3">
        <v>3866</v>
      </c>
      <c r="E41" s="2">
        <v>2594</v>
      </c>
      <c r="F41" s="1"/>
    </row>
    <row r="42" spans="1:6" x14ac:dyDescent="0.35">
      <c r="A42" s="1" t="s">
        <v>63</v>
      </c>
      <c r="C42" s="4">
        <v>1186</v>
      </c>
      <c r="D42" s="3">
        <v>1151</v>
      </c>
      <c r="E42" s="2">
        <v>1222</v>
      </c>
      <c r="F42" s="1"/>
    </row>
    <row r="43" spans="1:6" x14ac:dyDescent="0.35">
      <c r="A43" s="1" t="s">
        <v>64</v>
      </c>
      <c r="B43">
        <v>-30</v>
      </c>
      <c r="C43" s="1">
        <v>318</v>
      </c>
      <c r="D43" s="3">
        <v>288</v>
      </c>
      <c r="E43" s="2">
        <v>274</v>
      </c>
      <c r="F43" s="1"/>
    </row>
    <row r="44" spans="1:6" x14ac:dyDescent="0.35">
      <c r="A44" s="1" t="s">
        <v>65</v>
      </c>
      <c r="C44" s="1">
        <v>200</v>
      </c>
      <c r="D44" s="3">
        <v>118</v>
      </c>
      <c r="E44" s="2">
        <v>108</v>
      </c>
      <c r="F44" s="1"/>
    </row>
    <row r="45" spans="1:6" x14ac:dyDescent="0.35">
      <c r="A45" s="1" t="s">
        <v>66</v>
      </c>
      <c r="B45">
        <v>-8</v>
      </c>
      <c r="C45" s="1">
        <v>708</v>
      </c>
      <c r="D45" s="3" t="s">
        <v>21</v>
      </c>
      <c r="E45" s="2">
        <v>161</v>
      </c>
      <c r="F45" s="1"/>
    </row>
    <row r="46" spans="1:6" x14ac:dyDescent="0.35">
      <c r="A46" s="1" t="s">
        <v>67</v>
      </c>
      <c r="C46" s="4">
        <v>9071</v>
      </c>
      <c r="D46" s="3">
        <v>6782</v>
      </c>
      <c r="E46" s="2">
        <v>5459</v>
      </c>
      <c r="F46" s="1"/>
    </row>
    <row r="47" spans="1:6" x14ac:dyDescent="0.35">
      <c r="A47" s="1" t="s">
        <v>68</v>
      </c>
      <c r="C47" s="4">
        <v>16772</v>
      </c>
      <c r="D47" s="3">
        <v>14344</v>
      </c>
      <c r="E47" s="2">
        <v>11707</v>
      </c>
      <c r="F47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06F5-BD93-403D-9944-8657355277A9}">
  <dimension ref="A1:D14"/>
  <sheetViews>
    <sheetView tabSelected="1" workbookViewId="0">
      <selection activeCell="J12" sqref="J12"/>
    </sheetView>
  </sheetViews>
  <sheetFormatPr defaultRowHeight="14.5" x14ac:dyDescent="0.35"/>
  <cols>
    <col min="1" max="1" width="74.54296875" bestFit="1" customWidth="1"/>
    <col min="2" max="3" width="7.08984375" bestFit="1" customWidth="1"/>
    <col min="4" max="4" width="7.08984375" style="2" customWidth="1"/>
    <col min="5" max="6" width="10.54296875" bestFit="1" customWidth="1"/>
  </cols>
  <sheetData>
    <row r="1" spans="1:4" x14ac:dyDescent="0.35">
      <c r="A1" t="s">
        <v>0</v>
      </c>
      <c r="B1" t="s">
        <v>24</v>
      </c>
      <c r="C1" t="s">
        <v>93</v>
      </c>
      <c r="D1" s="2" t="s">
        <v>94</v>
      </c>
    </row>
    <row r="2" spans="1:4" x14ac:dyDescent="0.35">
      <c r="A2" s="1" t="s">
        <v>25</v>
      </c>
      <c r="B2" s="1" t="s">
        <v>26</v>
      </c>
      <c r="C2">
        <v>808</v>
      </c>
      <c r="D2" s="2">
        <v>586</v>
      </c>
    </row>
    <row r="3" spans="1:4" x14ac:dyDescent="0.35">
      <c r="A3" s="1" t="s">
        <v>27</v>
      </c>
      <c r="B3" s="1" t="s">
        <v>28</v>
      </c>
      <c r="C3">
        <v>165</v>
      </c>
      <c r="D3" s="2">
        <v>30</v>
      </c>
    </row>
    <row r="4" spans="1:4" x14ac:dyDescent="0.35">
      <c r="A4" s="1" t="s">
        <v>29</v>
      </c>
      <c r="B4" s="1" t="s">
        <v>21</v>
      </c>
      <c r="C4">
        <v>-2</v>
      </c>
    </row>
    <row r="5" spans="1:4" x14ac:dyDescent="0.35">
      <c r="A5" s="1" t="s">
        <v>30</v>
      </c>
      <c r="B5" s="1" t="s">
        <v>28</v>
      </c>
      <c r="C5">
        <v>164</v>
      </c>
      <c r="D5" s="2">
        <v>30</v>
      </c>
    </row>
    <row r="6" spans="1:4" x14ac:dyDescent="0.35">
      <c r="A6" s="1" t="s">
        <v>31</v>
      </c>
      <c r="B6" s="1" t="s">
        <v>32</v>
      </c>
      <c r="C6">
        <v>11</v>
      </c>
      <c r="D6" s="2">
        <v>-19</v>
      </c>
    </row>
    <row r="7" spans="1:4" x14ac:dyDescent="0.35">
      <c r="A7" s="1" t="s">
        <v>33</v>
      </c>
      <c r="B7" s="1" t="s">
        <v>34</v>
      </c>
      <c r="C7">
        <v>12</v>
      </c>
      <c r="D7" s="2">
        <v>7</v>
      </c>
    </row>
    <row r="8" spans="1:4" x14ac:dyDescent="0.35">
      <c r="A8" s="1" t="s">
        <v>29</v>
      </c>
      <c r="B8" s="1" t="s">
        <v>35</v>
      </c>
      <c r="C8">
        <v>4</v>
      </c>
      <c r="D8" s="2">
        <v>-8</v>
      </c>
    </row>
    <row r="9" spans="1:4" x14ac:dyDescent="0.35">
      <c r="A9" s="1" t="s">
        <v>36</v>
      </c>
      <c r="B9" s="1" t="s">
        <v>37</v>
      </c>
      <c r="C9">
        <v>27</v>
      </c>
      <c r="D9" s="2">
        <v>-19</v>
      </c>
    </row>
    <row r="10" spans="1:4" x14ac:dyDescent="0.35">
      <c r="A10" s="1" t="s">
        <v>38</v>
      </c>
      <c r="B10" s="1" t="s">
        <v>39</v>
      </c>
      <c r="C10">
        <v>191</v>
      </c>
      <c r="D10" s="2">
        <v>11</v>
      </c>
    </row>
    <row r="11" spans="1:4" x14ac:dyDescent="0.35">
      <c r="A11" s="1" t="s">
        <v>40</v>
      </c>
      <c r="B11" s="1" t="s">
        <v>41</v>
      </c>
      <c r="C11">
        <v>999</v>
      </c>
      <c r="D11" s="2">
        <v>597</v>
      </c>
    </row>
    <row r="12" spans="1:4" x14ac:dyDescent="0.35">
      <c r="A12" s="1" t="s">
        <v>42</v>
      </c>
      <c r="B12" s="1" t="s">
        <v>43</v>
      </c>
    </row>
    <row r="13" spans="1:4" x14ac:dyDescent="0.35">
      <c r="A13" s="1" t="s">
        <v>44</v>
      </c>
      <c r="B13" s="1" t="s">
        <v>45</v>
      </c>
      <c r="C13">
        <v>98</v>
      </c>
      <c r="D13" s="2">
        <v>39</v>
      </c>
    </row>
    <row r="14" spans="1:4" x14ac:dyDescent="0.35">
      <c r="A14" s="1" t="s">
        <v>46</v>
      </c>
      <c r="B14" s="1" t="s">
        <v>47</v>
      </c>
      <c r="C14">
        <v>901</v>
      </c>
      <c r="D14" s="2">
        <v>558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1E33-BB0E-4673-9E2A-41AD2E7C19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82C1B-99F8-481B-8A2F-ECE9DBE5F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 </vt:lpstr>
      <vt:lpstr>Statement of Financial Position</vt:lpstr>
      <vt:lpstr>Statement of Comprehensive Inco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Varga</dc:creator>
  <cp:lastModifiedBy>Ivan Varga</cp:lastModifiedBy>
  <dcterms:created xsi:type="dcterms:W3CDTF">2026-09-27T08:48:01Z</dcterms:created>
  <dcterms:modified xsi:type="dcterms:W3CDTF">2026-09-27T14:28:11Z</dcterms:modified>
</cp:coreProperties>
</file>